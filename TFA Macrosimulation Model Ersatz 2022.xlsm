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ropbox\Dropbox\Modelagem AGTI OGPH Américas 2013 2026\Final documents\"/>
    </mc:Choice>
  </mc:AlternateContent>
  <xr:revisionPtr revIDLastSave="0" documentId="8_{E0420436-9D1E-4A62-A8F9-63FC5D193798}" xr6:coauthVersionLast="47" xr6:coauthVersionMax="47" xr10:uidLastSave="{00000000-0000-0000-0000-000000000000}"/>
  <bookViews>
    <workbookView xWindow="28680" yWindow="-8955" windowWidth="16440" windowHeight="28440" firstSheet="7" activeTab="10" xr2:uid="{00000000-000D-0000-FFFF-FFFF00000000}"/>
  </bookViews>
  <sheets>
    <sheet name="Baseline and counterfactual" sheetId="7" r:id="rId1"/>
    <sheet name="Results" sheetId="17" r:id="rId2"/>
    <sheet name="Stochastic Inputs" sheetId="19" r:id="rId3"/>
    <sheet name="Stochastic outputs" sheetId="20" r:id="rId4"/>
    <sheet name="CodeStochastic" sheetId="21" r:id="rId5"/>
    <sheet name="Outputs for Ersatz" sheetId="22" r:id="rId6"/>
    <sheet name="Results YLL YPLL" sheetId="15" r:id="rId7"/>
    <sheet name="DALY YLL" sheetId="2" r:id="rId8"/>
    <sheet name="YPLL" sheetId="3" r:id="rId9"/>
    <sheet name="TFA Prevalences" sheetId="1" r:id="rId10"/>
    <sheet name="RR TFA" sheetId="8" r:id="rId11"/>
    <sheet name="PAR CHD" sheetId="10" r:id="rId12"/>
    <sheet name="PAR Stroke" sheetId="6" r:id="rId13"/>
  </sheets>
  <externalReferences>
    <externalReference r:id="rId14"/>
    <externalReference r:id="rId15"/>
  </externalReferences>
  <definedNames>
    <definedName name="b_f_aortic_aneurysm_deaths">'[1]Population &amp; Mortality'!$V$39:$V$53</definedName>
    <definedName name="b_f_heart_failure_deaths">'[1]Population &amp; Mortality'!$U$39:$U$53</definedName>
    <definedName name="b_f_hypertensive_disease_deaths">'[1]Population &amp; Mortality'!$N$39:$N$53</definedName>
    <definedName name="b_f_ischaemic_heart_diseases_deaths">'[1]Population &amp; Mortality'!$C$39:$C$53</definedName>
    <definedName name="b_f_population">'[1]Population &amp; Mortality'!$C$4:$C$18</definedName>
    <definedName name="b_f_pulmonary_embolism_deaths">'[1]Population &amp; Mortality'!$W$39:$W$53</definedName>
    <definedName name="b_f_rheumatic_heart_disease_deaths">'[1]Population &amp; Mortality'!$X$39:$X$53</definedName>
    <definedName name="b_f_salt_gd_mean">'[1]Baseline &amp; Counterfactual'!$L$20:$L$34</definedName>
    <definedName name="b_f_salt_gd_stdv">'[1]Baseline &amp; Counterfactual'!$M$20:$M$34</definedName>
    <definedName name="b_f_stroke_deaths">'[1]Population &amp; Mortality'!$B$39:$B$53</definedName>
    <definedName name="b_m_aortic_aneurysm_deaths">'[1]Population &amp; Mortality'!$V$22:$V$36</definedName>
    <definedName name="b_m_heart_failure_deaths">'[1]Population &amp; Mortality'!$U$22:$U$36</definedName>
    <definedName name="b_m_hypertensive_disease_deaths">'[1]Population &amp; Mortality'!$N$22:$N$36</definedName>
    <definedName name="b_m_ischaemic_heart_diseases_deaths">'[1]Population &amp; Mortality'!$C$22:$C$36</definedName>
    <definedName name="b_m_population">'[1]Population &amp; Mortality'!$B$4:$B$18</definedName>
    <definedName name="b_m_pulmonary_embolism_deaths">'[1]Population &amp; Mortality'!$W$22:$W$36</definedName>
    <definedName name="b_m_rheumatic_heart_disease_deaths">'[1]Population &amp; Mortality'!$X$22:$X$36</definedName>
    <definedName name="b_m_salt_gd_mean">'[1]Baseline &amp; Counterfactual'!$L$4:$L$18</definedName>
    <definedName name="b_m_salt_gd_stdv">'[1]Baseline &amp; Counterfactual'!$M$4:$M$18</definedName>
    <definedName name="b_m_stroke_deaths">'[1]Population &amp; Mortality'!$B$22:$B$36</definedName>
    <definedName name="c_f_salt_gd_mean">'[1]Baseline &amp; Counterfactual'!$AA$20:$AA$34</definedName>
    <definedName name="c_f_salt_gd_stdv">'[1]Baseline &amp; Counterfactual'!$AB$20:$AB$34</definedName>
    <definedName name="c_m_salt_gd_mean">'[1]Baseline &amp; Counterfactual'!$AA$4:$AA$18</definedName>
    <definedName name="c_m_salt_gd_stdv">'[1]Baseline &amp; Counterfactual'!$AB$4:$AB$18</definedName>
    <definedName name="MC_aortic_aneurysm_RR_for_20mmHg_BP_reduc">[1]Parameters!$E$23</definedName>
    <definedName name="MC_BP_mmHg_reduc_for_6g_saltday_reduc">[1]Parameters!$E$7</definedName>
    <definedName name="MC_f5059_CHD_RR_for_20mmHg_BP_reduc">[1]Parameters!$E$10</definedName>
    <definedName name="MC_f5059_stroke_RR_for_20mmHg_BP_reduc">[1]Parameters!$E$17</definedName>
    <definedName name="MC_f6069_CHD_RR_for_20mmHg_BP_reduc">[1]Parameters!$E$11</definedName>
    <definedName name="MC_f6069_stroke_RR_for_20mmHg_BP_reduc">[1]Parameters!$E$18</definedName>
    <definedName name="MC_f7079_CHD_RR_for_20mmHg_BP_reduc">[1]Parameters!$E$12</definedName>
    <definedName name="MC_f7079_stroke_RR_for_20mmHg_BP_reduc">[1]Parameters!$E$19</definedName>
    <definedName name="MC_f8089_CHD_RR_for_20mmHg_BP_reduc">[1]Parameters!$E$13</definedName>
    <definedName name="MC_f8089_stroke_RR_for_20mmHg_BP_reduc">[1]Parameters!$E$20</definedName>
    <definedName name="MC_heart_failure_RR_for_20mmHg_BP_reduc">[1]Parameters!$E$22</definedName>
    <definedName name="MC_hypertensive_disease_RR_for_20mmHg_BP_reduc">[1]Parameters!$E$24</definedName>
    <definedName name="MC_pulmonary_embolism_RR_for_20mmHg_BP_reduc">[1]Parameters!$E$26</definedName>
    <definedName name="MC_rheumatic_heart_disease_RR_for_20mmHg_BP_reduc">[1]Parameters!$E$25</definedName>
    <definedName name="MC_u40_CHD_RR_for_20mmHg_BP_reduc">[1]Parameters!$E$8</definedName>
    <definedName name="MC_u40_stroke_RR_for_20mmHg_BP_reduc">[1]Parameters!$E$15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" i="17" l="1"/>
  <c r="J21" i="17"/>
  <c r="I22" i="17"/>
  <c r="J22" i="17"/>
  <c r="I23" i="17"/>
  <c r="J23" i="17"/>
  <c r="I24" i="17"/>
  <c r="J24" i="17"/>
  <c r="I25" i="17"/>
  <c r="J25" i="17"/>
  <c r="I26" i="17"/>
  <c r="J26" i="17"/>
  <c r="I27" i="17"/>
  <c r="J27" i="17"/>
  <c r="I28" i="17"/>
  <c r="J28" i="17"/>
  <c r="I29" i="17"/>
  <c r="J29" i="17"/>
  <c r="I30" i="17"/>
  <c r="J30" i="17"/>
  <c r="I31" i="17"/>
  <c r="J31" i="17"/>
  <c r="I32" i="17"/>
  <c r="J32" i="17"/>
  <c r="I33" i="17"/>
  <c r="J33" i="17"/>
  <c r="J20" i="17"/>
  <c r="I20" i="17"/>
  <c r="I6" i="17"/>
  <c r="J6" i="17"/>
  <c r="I7" i="17"/>
  <c r="J7" i="17"/>
  <c r="I8" i="17"/>
  <c r="J8" i="17"/>
  <c r="I9" i="17"/>
  <c r="J9" i="17"/>
  <c r="I10" i="17"/>
  <c r="J10" i="17"/>
  <c r="I11" i="17"/>
  <c r="J11" i="17"/>
  <c r="I12" i="17"/>
  <c r="J12" i="17"/>
  <c r="I13" i="17"/>
  <c r="J13" i="17"/>
  <c r="I14" i="17"/>
  <c r="J14" i="17"/>
  <c r="I15" i="17"/>
  <c r="J15" i="17"/>
  <c r="I16" i="17"/>
  <c r="J16" i="17"/>
  <c r="I17" i="17"/>
  <c r="J17" i="17"/>
  <c r="I18" i="17"/>
  <c r="J18" i="17"/>
  <c r="J5" i="17"/>
  <c r="I5" i="17"/>
  <c r="G24" i="17"/>
  <c r="G28" i="17"/>
  <c r="G32" i="17"/>
  <c r="G7" i="17"/>
  <c r="G11" i="17"/>
  <c r="G15" i="17"/>
  <c r="H5" i="17"/>
  <c r="F58" i="20"/>
  <c r="G58" i="20"/>
  <c r="C5" i="17" s="1"/>
  <c r="H58" i="20"/>
  <c r="I58" i="20"/>
  <c r="J58" i="20"/>
  <c r="K58" i="20"/>
  <c r="L58" i="20"/>
  <c r="F59" i="20"/>
  <c r="G59" i="20"/>
  <c r="H59" i="20"/>
  <c r="I59" i="20"/>
  <c r="J59" i="20"/>
  <c r="K59" i="20"/>
  <c r="L59" i="20"/>
  <c r="F60" i="20"/>
  <c r="G60" i="20"/>
  <c r="H60" i="20"/>
  <c r="I60" i="20"/>
  <c r="J60" i="20"/>
  <c r="K60" i="20"/>
  <c r="L60" i="20"/>
  <c r="F61" i="20"/>
  <c r="G61" i="20"/>
  <c r="H61" i="20"/>
  <c r="I61" i="20"/>
  <c r="J61" i="20"/>
  <c r="K61" i="20"/>
  <c r="L61" i="20"/>
  <c r="F62" i="20"/>
  <c r="G62" i="20"/>
  <c r="H62" i="20"/>
  <c r="I62" i="20"/>
  <c r="J62" i="20"/>
  <c r="K62" i="20"/>
  <c r="L62" i="20"/>
  <c r="F63" i="20"/>
  <c r="G63" i="20"/>
  <c r="C10" i="17" s="1"/>
  <c r="H63" i="20"/>
  <c r="I63" i="20"/>
  <c r="J63" i="20"/>
  <c r="K63" i="20"/>
  <c r="L63" i="20"/>
  <c r="F64" i="20"/>
  <c r="G64" i="20"/>
  <c r="H64" i="20"/>
  <c r="I64" i="20"/>
  <c r="J64" i="20"/>
  <c r="K64" i="20"/>
  <c r="L64" i="20"/>
  <c r="F65" i="20"/>
  <c r="G65" i="20"/>
  <c r="H65" i="20"/>
  <c r="I65" i="20"/>
  <c r="J65" i="20"/>
  <c r="K65" i="20"/>
  <c r="L65" i="20"/>
  <c r="F66" i="20"/>
  <c r="G66" i="20"/>
  <c r="C13" i="17" s="1"/>
  <c r="H66" i="20"/>
  <c r="I66" i="20"/>
  <c r="J66" i="20"/>
  <c r="K66" i="20"/>
  <c r="L66" i="20"/>
  <c r="F67" i="20"/>
  <c r="G67" i="20"/>
  <c r="H67" i="20"/>
  <c r="I67" i="20"/>
  <c r="J67" i="20"/>
  <c r="K67" i="20"/>
  <c r="L67" i="20"/>
  <c r="F68" i="20"/>
  <c r="G68" i="20"/>
  <c r="H68" i="20"/>
  <c r="I68" i="20"/>
  <c r="J68" i="20"/>
  <c r="K68" i="20"/>
  <c r="L68" i="20"/>
  <c r="F69" i="20"/>
  <c r="G69" i="20"/>
  <c r="H69" i="20"/>
  <c r="I69" i="20"/>
  <c r="J69" i="20"/>
  <c r="K69" i="20"/>
  <c r="L69" i="20"/>
  <c r="F70" i="20"/>
  <c r="G70" i="20"/>
  <c r="H70" i="20"/>
  <c r="I70" i="20"/>
  <c r="J70" i="20"/>
  <c r="K70" i="20"/>
  <c r="L70" i="20"/>
  <c r="F71" i="20"/>
  <c r="G71" i="20"/>
  <c r="C18" i="17" s="1"/>
  <c r="H71" i="20"/>
  <c r="I71" i="20"/>
  <c r="J71" i="20"/>
  <c r="K71" i="20"/>
  <c r="L71" i="20"/>
  <c r="F72" i="20"/>
  <c r="G72" i="20"/>
  <c r="H72" i="20"/>
  <c r="I72" i="20"/>
  <c r="J72" i="20"/>
  <c r="K72" i="20"/>
  <c r="L72" i="20"/>
  <c r="F73" i="20"/>
  <c r="G73" i="20"/>
  <c r="H73" i="20"/>
  <c r="I73" i="20"/>
  <c r="J73" i="20"/>
  <c r="K73" i="20"/>
  <c r="L73" i="20"/>
  <c r="F74" i="20"/>
  <c r="G74" i="20"/>
  <c r="C22" i="17" s="1"/>
  <c r="H74" i="20"/>
  <c r="I74" i="20"/>
  <c r="J74" i="20"/>
  <c r="K74" i="20"/>
  <c r="L74" i="20"/>
  <c r="F75" i="20"/>
  <c r="G75" i="20"/>
  <c r="H75" i="20"/>
  <c r="I75" i="20"/>
  <c r="J75" i="20"/>
  <c r="K75" i="20"/>
  <c r="L75" i="20"/>
  <c r="F76" i="20"/>
  <c r="G76" i="20"/>
  <c r="H76" i="20"/>
  <c r="I76" i="20"/>
  <c r="J76" i="20"/>
  <c r="K76" i="20"/>
  <c r="L76" i="20"/>
  <c r="F77" i="20"/>
  <c r="G77" i="20"/>
  <c r="H77" i="20"/>
  <c r="I77" i="20"/>
  <c r="J77" i="20"/>
  <c r="K77" i="20"/>
  <c r="L77" i="20"/>
  <c r="F78" i="20"/>
  <c r="G78" i="20"/>
  <c r="H78" i="20"/>
  <c r="I78" i="20"/>
  <c r="J78" i="20"/>
  <c r="K78" i="20"/>
  <c r="L78" i="20"/>
  <c r="F79" i="20"/>
  <c r="G79" i="20"/>
  <c r="C27" i="17" s="1"/>
  <c r="H79" i="20"/>
  <c r="I79" i="20"/>
  <c r="J79" i="20"/>
  <c r="K79" i="20"/>
  <c r="L79" i="20"/>
  <c r="F80" i="20"/>
  <c r="G80" i="20"/>
  <c r="H80" i="20"/>
  <c r="I80" i="20"/>
  <c r="J80" i="20"/>
  <c r="K80" i="20"/>
  <c r="L80" i="20"/>
  <c r="F81" i="20"/>
  <c r="G81" i="20"/>
  <c r="H81" i="20"/>
  <c r="I81" i="20"/>
  <c r="J81" i="20"/>
  <c r="K81" i="20"/>
  <c r="L81" i="20"/>
  <c r="F82" i="20"/>
  <c r="G82" i="20"/>
  <c r="C30" i="17" s="1"/>
  <c r="H82" i="20"/>
  <c r="I82" i="20"/>
  <c r="J82" i="20"/>
  <c r="K82" i="20"/>
  <c r="L82" i="20"/>
  <c r="F83" i="20"/>
  <c r="G83" i="20"/>
  <c r="H83" i="20"/>
  <c r="I83" i="20"/>
  <c r="J83" i="20"/>
  <c r="K83" i="20"/>
  <c r="L83" i="20"/>
  <c r="F84" i="20"/>
  <c r="G84" i="20"/>
  <c r="H84" i="20"/>
  <c r="I84" i="20"/>
  <c r="J84" i="20"/>
  <c r="K84" i="20"/>
  <c r="L84" i="20"/>
  <c r="F85" i="20"/>
  <c r="G85" i="20"/>
  <c r="H85" i="20"/>
  <c r="I85" i="20"/>
  <c r="J85" i="20"/>
  <c r="K85" i="20"/>
  <c r="L85" i="20"/>
  <c r="F86" i="20"/>
  <c r="G86" i="20"/>
  <c r="H86" i="20"/>
  <c r="I86" i="20"/>
  <c r="J86" i="20"/>
  <c r="K86" i="20"/>
  <c r="L86" i="20"/>
  <c r="F87" i="20"/>
  <c r="G87" i="20"/>
  <c r="C6" i="17" s="1"/>
  <c r="H87" i="20"/>
  <c r="I87" i="20"/>
  <c r="J87" i="20"/>
  <c r="K87" i="20"/>
  <c r="L87" i="20"/>
  <c r="F88" i="20"/>
  <c r="G88" i="20"/>
  <c r="H88" i="20"/>
  <c r="I88" i="20"/>
  <c r="J88" i="20"/>
  <c r="K88" i="20"/>
  <c r="L88" i="20"/>
  <c r="F89" i="20"/>
  <c r="G89" i="20"/>
  <c r="H89" i="20"/>
  <c r="I89" i="20"/>
  <c r="J89" i="20"/>
  <c r="K89" i="20"/>
  <c r="L89" i="20"/>
  <c r="F90" i="20"/>
  <c r="G90" i="20"/>
  <c r="C9" i="17" s="1"/>
  <c r="H90" i="20"/>
  <c r="I90" i="20"/>
  <c r="J90" i="20"/>
  <c r="K90" i="20"/>
  <c r="L90" i="20"/>
  <c r="F91" i="20"/>
  <c r="G91" i="20"/>
  <c r="H91" i="20"/>
  <c r="I91" i="20"/>
  <c r="J91" i="20"/>
  <c r="K91" i="20"/>
  <c r="L91" i="20"/>
  <c r="F92" i="20"/>
  <c r="G92" i="20"/>
  <c r="H92" i="20"/>
  <c r="I92" i="20"/>
  <c r="J92" i="20"/>
  <c r="K92" i="20"/>
  <c r="L92" i="20"/>
  <c r="F93" i="20"/>
  <c r="G93" i="20"/>
  <c r="C12" i="17" s="1"/>
  <c r="H93" i="20"/>
  <c r="I93" i="20"/>
  <c r="J93" i="20"/>
  <c r="K93" i="20"/>
  <c r="L93" i="20"/>
  <c r="F94" i="20"/>
  <c r="G94" i="20"/>
  <c r="H94" i="20"/>
  <c r="I94" i="20"/>
  <c r="J94" i="20"/>
  <c r="K94" i="20"/>
  <c r="L94" i="20"/>
  <c r="F95" i="20"/>
  <c r="G95" i="20"/>
  <c r="C14" i="17" s="1"/>
  <c r="H95" i="20"/>
  <c r="I95" i="20"/>
  <c r="J95" i="20"/>
  <c r="K95" i="20"/>
  <c r="L95" i="20"/>
  <c r="F96" i="20"/>
  <c r="G96" i="20"/>
  <c r="H96" i="20"/>
  <c r="I96" i="20"/>
  <c r="J96" i="20"/>
  <c r="K96" i="20"/>
  <c r="L96" i="20"/>
  <c r="F97" i="20"/>
  <c r="G97" i="20"/>
  <c r="H97" i="20"/>
  <c r="I97" i="20"/>
  <c r="J97" i="20"/>
  <c r="K97" i="20"/>
  <c r="L97" i="20"/>
  <c r="F98" i="20"/>
  <c r="G98" i="20"/>
  <c r="C17" i="17" s="1"/>
  <c r="H98" i="20"/>
  <c r="I98" i="20"/>
  <c r="J98" i="20"/>
  <c r="K98" i="20"/>
  <c r="L98" i="20"/>
  <c r="F99" i="20"/>
  <c r="G99" i="20"/>
  <c r="H99" i="20"/>
  <c r="I99" i="20"/>
  <c r="J99" i="20"/>
  <c r="K99" i="20"/>
  <c r="L99" i="20"/>
  <c r="F100" i="20"/>
  <c r="G100" i="20"/>
  <c r="H100" i="20"/>
  <c r="I100" i="20"/>
  <c r="J100" i="20"/>
  <c r="K100" i="20"/>
  <c r="L100" i="20"/>
  <c r="F101" i="20"/>
  <c r="G101" i="20"/>
  <c r="H101" i="20"/>
  <c r="I101" i="20"/>
  <c r="J101" i="20"/>
  <c r="K101" i="20"/>
  <c r="L101" i="20"/>
  <c r="F102" i="20"/>
  <c r="G102" i="20"/>
  <c r="H102" i="20"/>
  <c r="I102" i="20"/>
  <c r="J102" i="20"/>
  <c r="K102" i="20"/>
  <c r="L102" i="20"/>
  <c r="F103" i="20"/>
  <c r="G103" i="20"/>
  <c r="H103" i="20"/>
  <c r="I103" i="20"/>
  <c r="J103" i="20"/>
  <c r="K103" i="20"/>
  <c r="L103" i="20"/>
  <c r="F104" i="20"/>
  <c r="G104" i="20"/>
  <c r="H104" i="20"/>
  <c r="I104" i="20"/>
  <c r="J104" i="20"/>
  <c r="K104" i="20"/>
  <c r="L104" i="20"/>
  <c r="F105" i="20"/>
  <c r="G105" i="20"/>
  <c r="H105" i="20"/>
  <c r="I105" i="20"/>
  <c r="J105" i="20"/>
  <c r="K105" i="20"/>
  <c r="L105" i="20"/>
  <c r="F106" i="20"/>
  <c r="G106" i="20"/>
  <c r="H106" i="20"/>
  <c r="I106" i="20"/>
  <c r="J106" i="20"/>
  <c r="K106" i="20"/>
  <c r="L106" i="20"/>
  <c r="F107" i="20"/>
  <c r="G107" i="20"/>
  <c r="H107" i="20"/>
  <c r="I107" i="20"/>
  <c r="J107" i="20"/>
  <c r="K107" i="20"/>
  <c r="L107" i="20"/>
  <c r="F108" i="20"/>
  <c r="G108" i="20"/>
  <c r="H108" i="20"/>
  <c r="I108" i="20"/>
  <c r="J108" i="20"/>
  <c r="K108" i="20"/>
  <c r="L108" i="20"/>
  <c r="F109" i="20"/>
  <c r="G109" i="20"/>
  <c r="H109" i="20"/>
  <c r="I109" i="20"/>
  <c r="J109" i="20"/>
  <c r="K109" i="20"/>
  <c r="L109" i="20"/>
  <c r="F110" i="20"/>
  <c r="G110" i="20"/>
  <c r="H110" i="20"/>
  <c r="I110" i="20"/>
  <c r="J110" i="20"/>
  <c r="K110" i="20"/>
  <c r="L110" i="20"/>
  <c r="F111" i="20"/>
  <c r="G111" i="20"/>
  <c r="H111" i="20"/>
  <c r="I111" i="20"/>
  <c r="J111" i="20"/>
  <c r="K111" i="20"/>
  <c r="L111" i="20"/>
  <c r="F112" i="20"/>
  <c r="G112" i="20"/>
  <c r="H112" i="20"/>
  <c r="I112" i="20"/>
  <c r="J112" i="20"/>
  <c r="K112" i="20"/>
  <c r="L112" i="20"/>
  <c r="F113" i="20"/>
  <c r="G113" i="20"/>
  <c r="H113" i="20"/>
  <c r="I113" i="20"/>
  <c r="J113" i="20"/>
  <c r="K113" i="20"/>
  <c r="L113" i="20"/>
  <c r="F3" i="20"/>
  <c r="G3" i="20"/>
  <c r="B6" i="17" s="1"/>
  <c r="H3" i="20"/>
  <c r="I3" i="20"/>
  <c r="J3" i="20"/>
  <c r="K3" i="20"/>
  <c r="G6" i="17" s="1"/>
  <c r="L3" i="20"/>
  <c r="H6" i="17" s="1"/>
  <c r="F4" i="20"/>
  <c r="G4" i="20"/>
  <c r="H4" i="20"/>
  <c r="I4" i="20"/>
  <c r="J4" i="20"/>
  <c r="K4" i="20"/>
  <c r="L4" i="20"/>
  <c r="H7" i="17" s="1"/>
  <c r="F5" i="20"/>
  <c r="G5" i="20"/>
  <c r="H5" i="20"/>
  <c r="I5" i="20"/>
  <c r="J5" i="20"/>
  <c r="K5" i="20"/>
  <c r="G8" i="17" s="1"/>
  <c r="L5" i="20"/>
  <c r="H8" i="17" s="1"/>
  <c r="F6" i="20"/>
  <c r="G6" i="20"/>
  <c r="H6" i="20"/>
  <c r="I6" i="20"/>
  <c r="J6" i="20"/>
  <c r="K6" i="20"/>
  <c r="G9" i="17" s="1"/>
  <c r="L6" i="20"/>
  <c r="H9" i="17" s="1"/>
  <c r="F7" i="20"/>
  <c r="G7" i="20"/>
  <c r="B10" i="17" s="1"/>
  <c r="H7" i="20"/>
  <c r="I7" i="20"/>
  <c r="J7" i="20"/>
  <c r="K7" i="20"/>
  <c r="G10" i="17" s="1"/>
  <c r="L7" i="20"/>
  <c r="H10" i="17" s="1"/>
  <c r="F8" i="20"/>
  <c r="G8" i="20"/>
  <c r="H8" i="20"/>
  <c r="I8" i="20"/>
  <c r="J8" i="20"/>
  <c r="K8" i="20"/>
  <c r="L8" i="20"/>
  <c r="H11" i="17" s="1"/>
  <c r="F9" i="20"/>
  <c r="G9" i="20"/>
  <c r="H9" i="20"/>
  <c r="I9" i="20"/>
  <c r="J9" i="20"/>
  <c r="K9" i="20"/>
  <c r="G12" i="17" s="1"/>
  <c r="L9" i="20"/>
  <c r="H12" i="17" s="1"/>
  <c r="F10" i="20"/>
  <c r="G10" i="20"/>
  <c r="H10" i="20"/>
  <c r="I10" i="20"/>
  <c r="J10" i="20"/>
  <c r="K10" i="20"/>
  <c r="G13" i="17" s="1"/>
  <c r="L10" i="20"/>
  <c r="H13" i="17" s="1"/>
  <c r="F11" i="20"/>
  <c r="G11" i="20"/>
  <c r="B14" i="17" s="1"/>
  <c r="H11" i="20"/>
  <c r="I11" i="20"/>
  <c r="J11" i="20"/>
  <c r="K11" i="20"/>
  <c r="G14" i="17" s="1"/>
  <c r="L11" i="20"/>
  <c r="H14" i="17" s="1"/>
  <c r="F12" i="20"/>
  <c r="G12" i="20"/>
  <c r="H12" i="20"/>
  <c r="I12" i="20"/>
  <c r="J12" i="20"/>
  <c r="K12" i="20"/>
  <c r="L12" i="20"/>
  <c r="H15" i="17" s="1"/>
  <c r="F13" i="20"/>
  <c r="G13" i="20"/>
  <c r="H13" i="20"/>
  <c r="I13" i="20"/>
  <c r="J13" i="20"/>
  <c r="K13" i="20"/>
  <c r="G16" i="17" s="1"/>
  <c r="L13" i="20"/>
  <c r="H16" i="17" s="1"/>
  <c r="F14" i="20"/>
  <c r="G14" i="20"/>
  <c r="H14" i="20"/>
  <c r="I14" i="20"/>
  <c r="J14" i="20"/>
  <c r="K14" i="20"/>
  <c r="G17" i="17" s="1"/>
  <c r="L14" i="20"/>
  <c r="H17" i="17" s="1"/>
  <c r="F15" i="20"/>
  <c r="G15" i="20"/>
  <c r="B18" i="17" s="1"/>
  <c r="H15" i="20"/>
  <c r="I15" i="20"/>
  <c r="J15" i="20"/>
  <c r="K15" i="20"/>
  <c r="G18" i="17" s="1"/>
  <c r="L15" i="20"/>
  <c r="H18" i="17" s="1"/>
  <c r="F16" i="20"/>
  <c r="G16" i="20"/>
  <c r="H16" i="20"/>
  <c r="I16" i="20"/>
  <c r="J16" i="20"/>
  <c r="K16" i="20"/>
  <c r="G20" i="17" s="1"/>
  <c r="L16" i="20"/>
  <c r="H20" i="17" s="1"/>
  <c r="F17" i="20"/>
  <c r="G17" i="20"/>
  <c r="H17" i="20"/>
  <c r="I17" i="20"/>
  <c r="J17" i="20"/>
  <c r="K17" i="20"/>
  <c r="G21" i="17" s="1"/>
  <c r="L17" i="20"/>
  <c r="H21" i="17" s="1"/>
  <c r="F18" i="20"/>
  <c r="G18" i="20"/>
  <c r="H18" i="20"/>
  <c r="I18" i="20"/>
  <c r="J18" i="20"/>
  <c r="K18" i="20"/>
  <c r="G22" i="17" s="1"/>
  <c r="L18" i="20"/>
  <c r="H22" i="17" s="1"/>
  <c r="F19" i="20"/>
  <c r="G19" i="20"/>
  <c r="B23" i="17" s="1"/>
  <c r="H19" i="20"/>
  <c r="I19" i="20"/>
  <c r="J19" i="20"/>
  <c r="K19" i="20"/>
  <c r="G23" i="17" s="1"/>
  <c r="L19" i="20"/>
  <c r="H23" i="17" s="1"/>
  <c r="F20" i="20"/>
  <c r="G20" i="20"/>
  <c r="H20" i="20"/>
  <c r="I20" i="20"/>
  <c r="J20" i="20"/>
  <c r="K20" i="20"/>
  <c r="L20" i="20"/>
  <c r="H24" i="17" s="1"/>
  <c r="F21" i="20"/>
  <c r="G21" i="20"/>
  <c r="H21" i="20"/>
  <c r="I21" i="20"/>
  <c r="J21" i="20"/>
  <c r="K21" i="20"/>
  <c r="G25" i="17" s="1"/>
  <c r="L21" i="20"/>
  <c r="H25" i="17" s="1"/>
  <c r="F22" i="20"/>
  <c r="G22" i="20"/>
  <c r="H22" i="20"/>
  <c r="I22" i="20"/>
  <c r="J22" i="20"/>
  <c r="K22" i="20"/>
  <c r="G26" i="17" s="1"/>
  <c r="L22" i="20"/>
  <c r="H26" i="17" s="1"/>
  <c r="F23" i="20"/>
  <c r="G23" i="20"/>
  <c r="H23" i="20"/>
  <c r="I23" i="20"/>
  <c r="J23" i="20"/>
  <c r="K23" i="20"/>
  <c r="G27" i="17" s="1"/>
  <c r="L23" i="20"/>
  <c r="H27" i="17" s="1"/>
  <c r="F24" i="20"/>
  <c r="G24" i="20"/>
  <c r="H24" i="20"/>
  <c r="I24" i="20"/>
  <c r="J24" i="20"/>
  <c r="K24" i="20"/>
  <c r="L24" i="20"/>
  <c r="H28" i="17" s="1"/>
  <c r="F25" i="20"/>
  <c r="G25" i="20"/>
  <c r="H25" i="20"/>
  <c r="I25" i="20"/>
  <c r="J25" i="20"/>
  <c r="K25" i="20"/>
  <c r="G29" i="17" s="1"/>
  <c r="L25" i="20"/>
  <c r="H29" i="17" s="1"/>
  <c r="F26" i="20"/>
  <c r="G26" i="20"/>
  <c r="H26" i="20"/>
  <c r="I26" i="20"/>
  <c r="J26" i="20"/>
  <c r="K26" i="20"/>
  <c r="G30" i="17" s="1"/>
  <c r="L26" i="20"/>
  <c r="H30" i="17" s="1"/>
  <c r="F27" i="20"/>
  <c r="G27" i="20"/>
  <c r="B31" i="17" s="1"/>
  <c r="H27" i="20"/>
  <c r="I27" i="20"/>
  <c r="J27" i="20"/>
  <c r="K27" i="20"/>
  <c r="G31" i="17" s="1"/>
  <c r="L27" i="20"/>
  <c r="H31" i="17" s="1"/>
  <c r="F28" i="20"/>
  <c r="G28" i="20"/>
  <c r="H28" i="20"/>
  <c r="I28" i="20"/>
  <c r="J28" i="20"/>
  <c r="K28" i="20"/>
  <c r="L28" i="20"/>
  <c r="H32" i="17" s="1"/>
  <c r="F29" i="20"/>
  <c r="G29" i="20"/>
  <c r="H29" i="20"/>
  <c r="I29" i="20"/>
  <c r="J29" i="20"/>
  <c r="K29" i="20"/>
  <c r="G33" i="17" s="1"/>
  <c r="L29" i="20"/>
  <c r="H33" i="17" s="1"/>
  <c r="F30" i="20"/>
  <c r="G30" i="20"/>
  <c r="H30" i="20"/>
  <c r="I30" i="20"/>
  <c r="J30" i="20"/>
  <c r="K30" i="20"/>
  <c r="L30" i="20"/>
  <c r="F31" i="20"/>
  <c r="G31" i="20"/>
  <c r="H31" i="20"/>
  <c r="I31" i="20"/>
  <c r="J31" i="20"/>
  <c r="K31" i="20"/>
  <c r="L31" i="20"/>
  <c r="F32" i="20"/>
  <c r="G32" i="20"/>
  <c r="H32" i="20"/>
  <c r="I32" i="20"/>
  <c r="J32" i="20"/>
  <c r="K32" i="20"/>
  <c r="L32" i="20"/>
  <c r="F33" i="20"/>
  <c r="G33" i="20"/>
  <c r="H33" i="20"/>
  <c r="I33" i="20"/>
  <c r="J33" i="20"/>
  <c r="K33" i="20"/>
  <c r="L33" i="20"/>
  <c r="F34" i="20"/>
  <c r="G34" i="20"/>
  <c r="H34" i="20"/>
  <c r="I34" i="20"/>
  <c r="J34" i="20"/>
  <c r="K34" i="20"/>
  <c r="L34" i="20"/>
  <c r="F35" i="20"/>
  <c r="G35" i="20"/>
  <c r="H35" i="20"/>
  <c r="I35" i="20"/>
  <c r="J35" i="20"/>
  <c r="K35" i="20"/>
  <c r="L35" i="20"/>
  <c r="F36" i="20"/>
  <c r="G36" i="20"/>
  <c r="H36" i="20"/>
  <c r="I36" i="20"/>
  <c r="J36" i="20"/>
  <c r="K36" i="20"/>
  <c r="L36" i="20"/>
  <c r="F37" i="20"/>
  <c r="G37" i="20"/>
  <c r="H37" i="20"/>
  <c r="I37" i="20"/>
  <c r="J37" i="20"/>
  <c r="K37" i="20"/>
  <c r="L37" i="20"/>
  <c r="F38" i="20"/>
  <c r="G38" i="20"/>
  <c r="H38" i="20"/>
  <c r="I38" i="20"/>
  <c r="J38" i="20"/>
  <c r="K38" i="20"/>
  <c r="L38" i="20"/>
  <c r="F39" i="20"/>
  <c r="G39" i="20"/>
  <c r="H39" i="20"/>
  <c r="I39" i="20"/>
  <c r="J39" i="20"/>
  <c r="K39" i="20"/>
  <c r="L39" i="20"/>
  <c r="F40" i="20"/>
  <c r="G40" i="20"/>
  <c r="H40" i="20"/>
  <c r="I40" i="20"/>
  <c r="J40" i="20"/>
  <c r="K40" i="20"/>
  <c r="L40" i="20"/>
  <c r="F41" i="20"/>
  <c r="G41" i="20"/>
  <c r="H41" i="20"/>
  <c r="I41" i="20"/>
  <c r="J41" i="20"/>
  <c r="K41" i="20"/>
  <c r="L41" i="20"/>
  <c r="F42" i="20"/>
  <c r="G42" i="20"/>
  <c r="H42" i="20"/>
  <c r="I42" i="20"/>
  <c r="J42" i="20"/>
  <c r="K42" i="20"/>
  <c r="L42" i="20"/>
  <c r="F43" i="20"/>
  <c r="G43" i="20"/>
  <c r="H43" i="20"/>
  <c r="I43" i="20"/>
  <c r="J43" i="20"/>
  <c r="K43" i="20"/>
  <c r="L43" i="20"/>
  <c r="F44" i="20"/>
  <c r="G44" i="20"/>
  <c r="H44" i="20"/>
  <c r="I44" i="20"/>
  <c r="J44" i="20"/>
  <c r="K44" i="20"/>
  <c r="L44" i="20"/>
  <c r="F45" i="20"/>
  <c r="G45" i="20"/>
  <c r="H45" i="20"/>
  <c r="I45" i="20"/>
  <c r="J45" i="20"/>
  <c r="K45" i="20"/>
  <c r="L45" i="20"/>
  <c r="F46" i="20"/>
  <c r="G46" i="20"/>
  <c r="B22" i="17" s="1"/>
  <c r="H46" i="20"/>
  <c r="I46" i="20"/>
  <c r="J46" i="20"/>
  <c r="K46" i="20"/>
  <c r="L46" i="20"/>
  <c r="F47" i="20"/>
  <c r="G47" i="20"/>
  <c r="H47" i="20"/>
  <c r="I47" i="20"/>
  <c r="J47" i="20"/>
  <c r="K47" i="20"/>
  <c r="L47" i="20"/>
  <c r="F48" i="20"/>
  <c r="G48" i="20"/>
  <c r="H48" i="20"/>
  <c r="I48" i="20"/>
  <c r="J48" i="20"/>
  <c r="K48" i="20"/>
  <c r="L48" i="20"/>
  <c r="F49" i="20"/>
  <c r="G49" i="20"/>
  <c r="H49" i="20"/>
  <c r="I49" i="20"/>
  <c r="J49" i="20"/>
  <c r="K49" i="20"/>
  <c r="L49" i="20"/>
  <c r="F50" i="20"/>
  <c r="G50" i="20"/>
  <c r="H50" i="20"/>
  <c r="I50" i="20"/>
  <c r="J50" i="20"/>
  <c r="K50" i="20"/>
  <c r="L50" i="20"/>
  <c r="F51" i="20"/>
  <c r="G51" i="20"/>
  <c r="H51" i="20"/>
  <c r="I51" i="20"/>
  <c r="J51" i="20"/>
  <c r="K51" i="20"/>
  <c r="L51" i="20"/>
  <c r="F52" i="20"/>
  <c r="G52" i="20"/>
  <c r="H52" i="20"/>
  <c r="I52" i="20"/>
  <c r="J52" i="20"/>
  <c r="K52" i="20"/>
  <c r="L52" i="20"/>
  <c r="F53" i="20"/>
  <c r="G53" i="20"/>
  <c r="H53" i="20"/>
  <c r="I53" i="20"/>
  <c r="J53" i="20"/>
  <c r="K53" i="20"/>
  <c r="L53" i="20"/>
  <c r="F54" i="20"/>
  <c r="G54" i="20"/>
  <c r="B30" i="17" s="1"/>
  <c r="H54" i="20"/>
  <c r="I54" i="20"/>
  <c r="J54" i="20"/>
  <c r="K54" i="20"/>
  <c r="L54" i="20"/>
  <c r="F55" i="20"/>
  <c r="G55" i="20"/>
  <c r="H55" i="20"/>
  <c r="I55" i="20"/>
  <c r="J55" i="20"/>
  <c r="K55" i="20"/>
  <c r="L55" i="20"/>
  <c r="F56" i="20"/>
  <c r="G56" i="20"/>
  <c r="H56" i="20"/>
  <c r="I56" i="20"/>
  <c r="J56" i="20"/>
  <c r="K56" i="20"/>
  <c r="L56" i="20"/>
  <c r="F57" i="20"/>
  <c r="G57" i="20"/>
  <c r="H57" i="20"/>
  <c r="I57" i="20"/>
  <c r="J57" i="20"/>
  <c r="K57" i="20"/>
  <c r="L57" i="20"/>
  <c r="G2" i="20"/>
  <c r="B5" i="17" s="1"/>
  <c r="H2" i="20"/>
  <c r="I2" i="20"/>
  <c r="J2" i="20"/>
  <c r="K2" i="20"/>
  <c r="G5" i="17" s="1"/>
  <c r="L2" i="20"/>
  <c r="F2" i="20"/>
  <c r="E47" i="19"/>
  <c r="E55" i="19"/>
  <c r="E32" i="19"/>
  <c r="E34" i="19"/>
  <c r="E52" i="19"/>
  <c r="K57" i="19"/>
  <c r="E50" i="19"/>
  <c r="E37" i="19"/>
  <c r="E53" i="19"/>
  <c r="E39" i="19"/>
  <c r="E36" i="19"/>
  <c r="E44" i="19"/>
  <c r="E40" i="19"/>
  <c r="E42" i="19"/>
  <c r="E29" i="19"/>
  <c r="E38" i="19"/>
  <c r="E54" i="19"/>
  <c r="E48" i="19"/>
  <c r="E41" i="19"/>
  <c r="E30" i="19"/>
  <c r="E56" i="19"/>
  <c r="E35" i="19"/>
  <c r="E45" i="19"/>
  <c r="E31" i="19"/>
  <c r="E33" i="19"/>
  <c r="E43" i="19"/>
  <c r="E51" i="19"/>
  <c r="E49" i="19"/>
  <c r="E46" i="19"/>
  <c r="E57" i="19"/>
  <c r="B13" i="17" l="1"/>
  <c r="C29" i="17"/>
  <c r="C21" i="17"/>
  <c r="B32" i="17"/>
  <c r="B24" i="17"/>
  <c r="B15" i="17"/>
  <c r="B7" i="17"/>
  <c r="C31" i="17"/>
  <c r="C23" i="17"/>
  <c r="B33" i="17"/>
  <c r="B25" i="17"/>
  <c r="B16" i="17"/>
  <c r="B8" i="17"/>
  <c r="C32" i="17"/>
  <c r="C24" i="17"/>
  <c r="C15" i="17"/>
  <c r="C7" i="17"/>
  <c r="B26" i="17"/>
  <c r="B17" i="17"/>
  <c r="B9" i="17"/>
  <c r="C33" i="17"/>
  <c r="C25" i="17"/>
  <c r="C16" i="17"/>
  <c r="C8" i="17"/>
  <c r="B27" i="17"/>
  <c r="C26" i="17"/>
  <c r="B28" i="17"/>
  <c r="B20" i="17"/>
  <c r="B11" i="17"/>
  <c r="B29" i="17"/>
  <c r="B21" i="17"/>
  <c r="B12" i="17"/>
  <c r="C28" i="17"/>
  <c r="C20" i="17"/>
  <c r="C11" i="17"/>
  <c r="B32" i="8"/>
  <c r="B24" i="8"/>
  <c r="B31" i="8"/>
  <c r="B23" i="8"/>
  <c r="B30" i="8"/>
  <c r="B22" i="8"/>
  <c r="B29" i="8"/>
  <c r="B28" i="8"/>
  <c r="B35" i="8"/>
  <c r="B27" i="8"/>
  <c r="B34" i="8"/>
  <c r="B26" i="8"/>
  <c r="B33" i="8"/>
  <c r="B25" i="8"/>
  <c r="B21" i="8"/>
  <c r="B14" i="8"/>
  <c r="B13" i="8"/>
  <c r="B5" i="8"/>
  <c r="B12" i="8"/>
  <c r="B11" i="8"/>
  <c r="B18" i="8"/>
  <c r="B10" i="8"/>
  <c r="B17" i="8"/>
  <c r="B9" i="8"/>
  <c r="B16" i="8"/>
  <c r="B8" i="8"/>
  <c r="B15" i="8"/>
  <c r="B7" i="8"/>
  <c r="B6" i="8"/>
  <c r="B72" i="8"/>
  <c r="H57" i="19"/>
  <c r="I57" i="19"/>
  <c r="J57" i="19"/>
  <c r="H46" i="19"/>
  <c r="I46" i="19"/>
  <c r="J46" i="19"/>
  <c r="H47" i="19"/>
  <c r="I47" i="19"/>
  <c r="J47" i="19"/>
  <c r="H48" i="19"/>
  <c r="I48" i="19"/>
  <c r="J48" i="19"/>
  <c r="H49" i="19"/>
  <c r="I49" i="19"/>
  <c r="J49" i="19"/>
  <c r="H50" i="19"/>
  <c r="I50" i="19"/>
  <c r="J50" i="19"/>
  <c r="H51" i="19"/>
  <c r="I51" i="19"/>
  <c r="J51" i="19"/>
  <c r="H52" i="19"/>
  <c r="I52" i="19"/>
  <c r="J52" i="19"/>
  <c r="H53" i="19"/>
  <c r="I53" i="19"/>
  <c r="J53" i="19"/>
  <c r="H54" i="19"/>
  <c r="I54" i="19"/>
  <c r="J54" i="19"/>
  <c r="H55" i="19"/>
  <c r="I55" i="19"/>
  <c r="J55" i="19"/>
  <c r="H56" i="19"/>
  <c r="I56" i="19"/>
  <c r="J56" i="19"/>
  <c r="J45" i="19"/>
  <c r="I45" i="19"/>
  <c r="H45" i="19"/>
  <c r="H42" i="19"/>
  <c r="I42" i="19"/>
  <c r="J42" i="19"/>
  <c r="H31" i="19"/>
  <c r="I31" i="19"/>
  <c r="J31" i="19"/>
  <c r="H32" i="19"/>
  <c r="I32" i="19"/>
  <c r="J32" i="19"/>
  <c r="H33" i="19"/>
  <c r="I33" i="19"/>
  <c r="J33" i="19"/>
  <c r="H34" i="19"/>
  <c r="I34" i="19"/>
  <c r="J34" i="19"/>
  <c r="H35" i="19"/>
  <c r="I35" i="19"/>
  <c r="J35" i="19"/>
  <c r="H36" i="19"/>
  <c r="I36" i="19"/>
  <c r="J36" i="19"/>
  <c r="H37" i="19"/>
  <c r="I37" i="19"/>
  <c r="J37" i="19"/>
  <c r="H38" i="19"/>
  <c r="I38" i="19"/>
  <c r="J38" i="19"/>
  <c r="H39" i="19"/>
  <c r="I39" i="19"/>
  <c r="J39" i="19"/>
  <c r="H40" i="19"/>
  <c r="I40" i="19"/>
  <c r="J40" i="19"/>
  <c r="H41" i="19"/>
  <c r="I41" i="19"/>
  <c r="J41" i="19"/>
  <c r="I30" i="19"/>
  <c r="J30" i="19"/>
  <c r="H30" i="19"/>
  <c r="C19" i="19"/>
  <c r="B19" i="19"/>
  <c r="C18" i="19"/>
  <c r="B18" i="19"/>
  <c r="C17" i="19"/>
  <c r="B17" i="19"/>
  <c r="C16" i="19"/>
  <c r="B16" i="19"/>
  <c r="C15" i="19"/>
  <c r="B15" i="19"/>
  <c r="C14" i="19"/>
  <c r="B14" i="19"/>
  <c r="C13" i="19"/>
  <c r="B13" i="19"/>
  <c r="C12" i="19"/>
  <c r="B12" i="19"/>
  <c r="C11" i="19"/>
  <c r="B11" i="19"/>
  <c r="C10" i="19"/>
  <c r="B10" i="19"/>
  <c r="C9" i="19"/>
  <c r="B9" i="19"/>
  <c r="C8" i="19"/>
  <c r="B8" i="19"/>
  <c r="C7" i="19"/>
  <c r="B7" i="19"/>
  <c r="C6" i="19"/>
  <c r="B6" i="19"/>
  <c r="G13" i="19"/>
  <c r="K50" i="19"/>
  <c r="K42" i="19"/>
  <c r="K46" i="19"/>
  <c r="K35" i="19"/>
  <c r="K56" i="19"/>
  <c r="G12" i="19"/>
  <c r="F8" i="19"/>
  <c r="G9" i="19"/>
  <c r="F7" i="19"/>
  <c r="F6" i="19"/>
  <c r="G6" i="19"/>
  <c r="K47" i="19"/>
  <c r="K33" i="19"/>
  <c r="E28" i="19"/>
  <c r="G15" i="19"/>
  <c r="K52" i="19"/>
  <c r="F12" i="19"/>
  <c r="K54" i="19"/>
  <c r="F9" i="19"/>
  <c r="K55" i="19"/>
  <c r="K37" i="19"/>
  <c r="K41" i="19"/>
  <c r="K49" i="19"/>
  <c r="G10" i="19"/>
  <c r="G7" i="19"/>
  <c r="K29" i="19"/>
  <c r="K40" i="19"/>
  <c r="F19" i="19"/>
  <c r="K34" i="19"/>
  <c r="F10" i="19"/>
  <c r="G8" i="19"/>
  <c r="G14" i="19"/>
  <c r="K38" i="19"/>
  <c r="K53" i="19"/>
  <c r="K48" i="19"/>
  <c r="K32" i="19"/>
  <c r="F18" i="19"/>
  <c r="G19" i="19"/>
  <c r="F17" i="19"/>
  <c r="G17" i="19"/>
  <c r="F15" i="19"/>
  <c r="K45" i="19"/>
  <c r="K31" i="19"/>
  <c r="K43" i="19"/>
  <c r="G18" i="19"/>
  <c r="F14" i="19"/>
  <c r="F13" i="19"/>
  <c r="K28" i="19"/>
  <c r="G16" i="19"/>
  <c r="F11" i="19"/>
  <c r="K44" i="19"/>
  <c r="G11" i="19"/>
  <c r="K30" i="19"/>
  <c r="K36" i="19"/>
  <c r="K51" i="19"/>
  <c r="K39" i="19"/>
  <c r="F16" i="19"/>
  <c r="AA72" i="8" l="1"/>
  <c r="S72" i="8"/>
  <c r="K72" i="8"/>
  <c r="C72" i="8"/>
  <c r="D72" i="8"/>
  <c r="Z72" i="8"/>
  <c r="R72" i="8"/>
  <c r="J72" i="8"/>
  <c r="Y72" i="8"/>
  <c r="Q72" i="8"/>
  <c r="I72" i="8"/>
  <c r="T72" i="8"/>
  <c r="X72" i="8"/>
  <c r="P72" i="8"/>
  <c r="H72" i="8"/>
  <c r="W72" i="8"/>
  <c r="O72" i="8"/>
  <c r="G72" i="8"/>
  <c r="M72" i="8"/>
  <c r="V72" i="8"/>
  <c r="N72" i="8"/>
  <c r="F72" i="8"/>
  <c r="U72" i="8"/>
  <c r="E72" i="8"/>
  <c r="L72" i="8"/>
  <c r="W23" i="8"/>
  <c r="O23" i="8"/>
  <c r="G23" i="8"/>
  <c r="U23" i="8"/>
  <c r="M23" i="8"/>
  <c r="E23" i="8"/>
  <c r="T23" i="8"/>
  <c r="AA23" i="8"/>
  <c r="S23" i="8"/>
  <c r="K23" i="8"/>
  <c r="C23" i="8"/>
  <c r="Q23" i="8"/>
  <c r="Z23" i="8"/>
  <c r="R23" i="8"/>
  <c r="J23" i="8"/>
  <c r="Y23" i="8"/>
  <c r="I23" i="8"/>
  <c r="V23" i="8"/>
  <c r="P23" i="8"/>
  <c r="N23" i="8"/>
  <c r="L23" i="8"/>
  <c r="F23" i="8"/>
  <c r="D23" i="8"/>
  <c r="X23" i="8"/>
  <c r="H23" i="8"/>
  <c r="W31" i="8"/>
  <c r="O31" i="8"/>
  <c r="G31" i="8"/>
  <c r="V31" i="8"/>
  <c r="N31" i="8"/>
  <c r="F31" i="8"/>
  <c r="U31" i="8"/>
  <c r="M31" i="8"/>
  <c r="E31" i="8"/>
  <c r="T31" i="8"/>
  <c r="L31" i="8"/>
  <c r="D31" i="8"/>
  <c r="AA31" i="8"/>
  <c r="S31" i="8"/>
  <c r="K31" i="8"/>
  <c r="C31" i="8"/>
  <c r="Q31" i="8"/>
  <c r="Z31" i="8"/>
  <c r="R31" i="8"/>
  <c r="J31" i="8"/>
  <c r="Y31" i="8"/>
  <c r="I31" i="8"/>
  <c r="X31" i="8"/>
  <c r="H31" i="8"/>
  <c r="P31" i="8"/>
  <c r="U25" i="8"/>
  <c r="M25" i="8"/>
  <c r="E25" i="8"/>
  <c r="T25" i="8"/>
  <c r="L25" i="8"/>
  <c r="AA25" i="8"/>
  <c r="S25" i="8"/>
  <c r="K25" i="8"/>
  <c r="C25" i="8"/>
  <c r="Z25" i="8"/>
  <c r="R25" i="8"/>
  <c r="J25" i="8"/>
  <c r="Y25" i="8"/>
  <c r="Q25" i="8"/>
  <c r="I25" i="8"/>
  <c r="O25" i="8"/>
  <c r="X25" i="8"/>
  <c r="P25" i="8"/>
  <c r="H25" i="8"/>
  <c r="W25" i="8"/>
  <c r="G25" i="8"/>
  <c r="D25" i="8"/>
  <c r="V25" i="8"/>
  <c r="N25" i="8"/>
  <c r="F25" i="8"/>
  <c r="X22" i="8"/>
  <c r="P22" i="8"/>
  <c r="H22" i="8"/>
  <c r="V22" i="8"/>
  <c r="N22" i="8"/>
  <c r="F22" i="8"/>
  <c r="T22" i="8"/>
  <c r="L22" i="8"/>
  <c r="D22" i="8"/>
  <c r="Z22" i="8"/>
  <c r="J22" i="8"/>
  <c r="AA22" i="8"/>
  <c r="S22" i="8"/>
  <c r="K22" i="8"/>
  <c r="C22" i="8"/>
  <c r="R22" i="8"/>
  <c r="W22" i="8"/>
  <c r="U22" i="8"/>
  <c r="Q22" i="8"/>
  <c r="M22" i="8"/>
  <c r="I22" i="8"/>
  <c r="G22" i="8"/>
  <c r="Y22" i="8"/>
  <c r="E22" i="8"/>
  <c r="O22" i="8"/>
  <c r="U33" i="8"/>
  <c r="M33" i="8"/>
  <c r="E33" i="8"/>
  <c r="T33" i="8"/>
  <c r="L33" i="8"/>
  <c r="D33" i="8"/>
  <c r="AA33" i="8"/>
  <c r="S33" i="8"/>
  <c r="K33" i="8"/>
  <c r="C33" i="8"/>
  <c r="Z33" i="8"/>
  <c r="R33" i="8"/>
  <c r="J33" i="8"/>
  <c r="Y33" i="8"/>
  <c r="Q33" i="8"/>
  <c r="I33" i="8"/>
  <c r="O33" i="8"/>
  <c r="X33" i="8"/>
  <c r="P33" i="8"/>
  <c r="H33" i="8"/>
  <c r="W33" i="8"/>
  <c r="G33" i="8"/>
  <c r="N33" i="8"/>
  <c r="F33" i="8"/>
  <c r="V33" i="8"/>
  <c r="X30" i="8"/>
  <c r="P30" i="8"/>
  <c r="H30" i="8"/>
  <c r="W30" i="8"/>
  <c r="O30" i="8"/>
  <c r="G30" i="8"/>
  <c r="V30" i="8"/>
  <c r="N30" i="8"/>
  <c r="F30" i="8"/>
  <c r="U30" i="8"/>
  <c r="M30" i="8"/>
  <c r="E30" i="8"/>
  <c r="T30" i="8"/>
  <c r="L30" i="8"/>
  <c r="D30" i="8"/>
  <c r="Z30" i="8"/>
  <c r="J30" i="8"/>
  <c r="AA30" i="8"/>
  <c r="S30" i="8"/>
  <c r="K30" i="8"/>
  <c r="C30" i="8"/>
  <c r="R30" i="8"/>
  <c r="Y30" i="8"/>
  <c r="Q30" i="8"/>
  <c r="I30" i="8"/>
  <c r="T34" i="8"/>
  <c r="L34" i="8"/>
  <c r="D34" i="8"/>
  <c r="AA34" i="8"/>
  <c r="S34" i="8"/>
  <c r="K34" i="8"/>
  <c r="C34" i="8"/>
  <c r="Z34" i="8"/>
  <c r="R34" i="8"/>
  <c r="J34" i="8"/>
  <c r="Y34" i="8"/>
  <c r="Q34" i="8"/>
  <c r="I34" i="8"/>
  <c r="X34" i="8"/>
  <c r="P34" i="8"/>
  <c r="H34" i="8"/>
  <c r="V34" i="8"/>
  <c r="F34" i="8"/>
  <c r="W34" i="8"/>
  <c r="O34" i="8"/>
  <c r="G34" i="8"/>
  <c r="N34" i="8"/>
  <c r="U34" i="8"/>
  <c r="M34" i="8"/>
  <c r="E34" i="8"/>
  <c r="AA27" i="8"/>
  <c r="S27" i="8"/>
  <c r="K27" i="8"/>
  <c r="C27" i="8"/>
  <c r="Z27" i="8"/>
  <c r="R27" i="8"/>
  <c r="J27" i="8"/>
  <c r="Y27" i="8"/>
  <c r="Q27" i="8"/>
  <c r="I27" i="8"/>
  <c r="X27" i="8"/>
  <c r="P27" i="8"/>
  <c r="H27" i="8"/>
  <c r="W27" i="8"/>
  <c r="O27" i="8"/>
  <c r="G27" i="8"/>
  <c r="M27" i="8"/>
  <c r="V27" i="8"/>
  <c r="N27" i="8"/>
  <c r="F27" i="8"/>
  <c r="U27" i="8"/>
  <c r="E27" i="8"/>
  <c r="L27" i="8"/>
  <c r="D27" i="8"/>
  <c r="T27" i="8"/>
  <c r="V24" i="8"/>
  <c r="N24" i="8"/>
  <c r="F24" i="8"/>
  <c r="T24" i="8"/>
  <c r="L24" i="8"/>
  <c r="D24" i="8"/>
  <c r="AA24" i="8"/>
  <c r="S24" i="8"/>
  <c r="K24" i="8"/>
  <c r="C24" i="8"/>
  <c r="Z24" i="8"/>
  <c r="R24" i="8"/>
  <c r="J24" i="8"/>
  <c r="X24" i="8"/>
  <c r="H24" i="8"/>
  <c r="Y24" i="8"/>
  <c r="Q24" i="8"/>
  <c r="I24" i="8"/>
  <c r="P24" i="8"/>
  <c r="W24" i="8"/>
  <c r="U24" i="8"/>
  <c r="M24" i="8"/>
  <c r="G24" i="8"/>
  <c r="E24" i="8"/>
  <c r="O24" i="8"/>
  <c r="AA35" i="8"/>
  <c r="S35" i="8"/>
  <c r="K35" i="8"/>
  <c r="C35" i="8"/>
  <c r="Z35" i="8"/>
  <c r="R35" i="8"/>
  <c r="J35" i="8"/>
  <c r="Y35" i="8"/>
  <c r="Q35" i="8"/>
  <c r="I35" i="8"/>
  <c r="X35" i="8"/>
  <c r="P35" i="8"/>
  <c r="H35" i="8"/>
  <c r="W35" i="8"/>
  <c r="O35" i="8"/>
  <c r="G35" i="8"/>
  <c r="M35" i="8"/>
  <c r="V35" i="8"/>
  <c r="N35" i="8"/>
  <c r="F35" i="8"/>
  <c r="U35" i="8"/>
  <c r="E35" i="8"/>
  <c r="D35" i="8"/>
  <c r="T35" i="8"/>
  <c r="L35" i="8"/>
  <c r="V32" i="8"/>
  <c r="N32" i="8"/>
  <c r="F32" i="8"/>
  <c r="U32" i="8"/>
  <c r="M32" i="8"/>
  <c r="E32" i="8"/>
  <c r="T32" i="8"/>
  <c r="L32" i="8"/>
  <c r="D32" i="8"/>
  <c r="AA32" i="8"/>
  <c r="S32" i="8"/>
  <c r="K32" i="8"/>
  <c r="C32" i="8"/>
  <c r="Z32" i="8"/>
  <c r="R32" i="8"/>
  <c r="J32" i="8"/>
  <c r="X32" i="8"/>
  <c r="H32" i="8"/>
  <c r="Y32" i="8"/>
  <c r="Q32" i="8"/>
  <c r="I32" i="8"/>
  <c r="P32" i="8"/>
  <c r="O32" i="8"/>
  <c r="G32" i="8"/>
  <c r="W32" i="8"/>
  <c r="T26" i="8"/>
  <c r="L26" i="8"/>
  <c r="D26" i="8"/>
  <c r="AA26" i="8"/>
  <c r="S26" i="8"/>
  <c r="K26" i="8"/>
  <c r="C26" i="8"/>
  <c r="Z26" i="8"/>
  <c r="R26" i="8"/>
  <c r="J26" i="8"/>
  <c r="Q26" i="8"/>
  <c r="I26" i="8"/>
  <c r="Y26" i="8"/>
  <c r="X26" i="8"/>
  <c r="P26" i="8"/>
  <c r="H26" i="8"/>
  <c r="V26" i="8"/>
  <c r="F26" i="8"/>
  <c r="W26" i="8"/>
  <c r="O26" i="8"/>
  <c r="G26" i="8"/>
  <c r="N26" i="8"/>
  <c r="U26" i="8"/>
  <c r="M26" i="8"/>
  <c r="E26" i="8"/>
  <c r="Z28" i="8"/>
  <c r="R28" i="8"/>
  <c r="J28" i="8"/>
  <c r="Y28" i="8"/>
  <c r="I28" i="8"/>
  <c r="Q28" i="8"/>
  <c r="X28" i="8"/>
  <c r="P28" i="8"/>
  <c r="H28" i="8"/>
  <c r="W28" i="8"/>
  <c r="O28" i="8"/>
  <c r="G28" i="8"/>
  <c r="V28" i="8"/>
  <c r="N28" i="8"/>
  <c r="F28" i="8"/>
  <c r="T28" i="8"/>
  <c r="D28" i="8"/>
  <c r="U28" i="8"/>
  <c r="M28" i="8"/>
  <c r="E28" i="8"/>
  <c r="L28" i="8"/>
  <c r="S28" i="8"/>
  <c r="K28" i="8"/>
  <c r="C28" i="8"/>
  <c r="AA28" i="8"/>
  <c r="Y21" i="8"/>
  <c r="Q21" i="8"/>
  <c r="I21" i="8"/>
  <c r="W21" i="8"/>
  <c r="O21" i="8"/>
  <c r="G21" i="8"/>
  <c r="U21" i="8"/>
  <c r="M21" i="8"/>
  <c r="E21" i="8"/>
  <c r="S21" i="8"/>
  <c r="C21" i="8"/>
  <c r="T21" i="8"/>
  <c r="L21" i="8"/>
  <c r="D21" i="8"/>
  <c r="AA21" i="8"/>
  <c r="K21" i="8"/>
  <c r="Z21" i="8"/>
  <c r="F21" i="8"/>
  <c r="X21" i="8"/>
  <c r="V21" i="8"/>
  <c r="R21" i="8"/>
  <c r="N21" i="8"/>
  <c r="J21" i="8"/>
  <c r="H21" i="8"/>
  <c r="P21" i="8"/>
  <c r="Y29" i="8"/>
  <c r="Q29" i="8"/>
  <c r="I29" i="8"/>
  <c r="X29" i="8"/>
  <c r="P29" i="8"/>
  <c r="H29" i="8"/>
  <c r="W29" i="8"/>
  <c r="O29" i="8"/>
  <c r="G29" i="8"/>
  <c r="V29" i="8"/>
  <c r="N29" i="8"/>
  <c r="F29" i="8"/>
  <c r="U29" i="8"/>
  <c r="M29" i="8"/>
  <c r="E29" i="8"/>
  <c r="K29" i="8"/>
  <c r="T29" i="8"/>
  <c r="L29" i="8"/>
  <c r="D29" i="8"/>
  <c r="AA29" i="8"/>
  <c r="S29" i="8"/>
  <c r="C29" i="8"/>
  <c r="Z29" i="8"/>
  <c r="R29" i="8"/>
  <c r="J29" i="8"/>
  <c r="AA16" i="8"/>
  <c r="Z16" i="8"/>
  <c r="X16" i="8"/>
  <c r="Y16" i="8"/>
  <c r="AA18" i="8"/>
  <c r="X18" i="8"/>
  <c r="Y18" i="8"/>
  <c r="Z18" i="8"/>
  <c r="X7" i="8"/>
  <c r="Y7" i="8"/>
  <c r="Z7" i="8"/>
  <c r="AA7" i="8"/>
  <c r="Y11" i="8"/>
  <c r="Z11" i="8"/>
  <c r="X11" i="8"/>
  <c r="AA11" i="8"/>
  <c r="AA14" i="8"/>
  <c r="X14" i="8"/>
  <c r="Y14" i="8"/>
  <c r="Z14" i="8"/>
  <c r="Y15" i="8"/>
  <c r="Z15" i="8"/>
  <c r="X15" i="8"/>
  <c r="AA15" i="8"/>
  <c r="AA12" i="8"/>
  <c r="X12" i="8"/>
  <c r="Y12" i="8"/>
  <c r="Z12" i="8"/>
  <c r="Y13" i="8"/>
  <c r="Z13" i="8"/>
  <c r="X13" i="8"/>
  <c r="AA13" i="8"/>
  <c r="Y9" i="8"/>
  <c r="Z9" i="8"/>
  <c r="X9" i="8"/>
  <c r="AA9" i="8"/>
  <c r="Y17" i="8"/>
  <c r="Z17" i="8"/>
  <c r="X17" i="8"/>
  <c r="AA17" i="8"/>
  <c r="AA10" i="8"/>
  <c r="Z10" i="8"/>
  <c r="X10" i="8"/>
  <c r="Y10" i="8"/>
  <c r="AA6" i="8"/>
  <c r="Z6" i="8"/>
  <c r="X6" i="8"/>
  <c r="Y6" i="8"/>
  <c r="AA8" i="8"/>
  <c r="Z8" i="8"/>
  <c r="X8" i="8"/>
  <c r="Y8" i="8"/>
  <c r="Y5" i="8"/>
  <c r="Z5" i="8"/>
  <c r="X5" i="8"/>
  <c r="AA5" i="8"/>
  <c r="K10" i="8"/>
  <c r="S10" i="8"/>
  <c r="L10" i="8"/>
  <c r="T10" i="8"/>
  <c r="E10" i="8"/>
  <c r="M10" i="8"/>
  <c r="U10" i="8"/>
  <c r="P10" i="8"/>
  <c r="F10" i="8"/>
  <c r="N10" i="8"/>
  <c r="V10" i="8"/>
  <c r="G10" i="8"/>
  <c r="O10" i="8"/>
  <c r="W10" i="8"/>
  <c r="H10" i="8"/>
  <c r="I10" i="8"/>
  <c r="Q10" i="8"/>
  <c r="J10" i="8"/>
  <c r="R10" i="8"/>
  <c r="G6" i="8"/>
  <c r="O6" i="8"/>
  <c r="W6" i="8"/>
  <c r="H6" i="8"/>
  <c r="P6" i="8"/>
  <c r="I6" i="8"/>
  <c r="Q6" i="8"/>
  <c r="L6" i="8"/>
  <c r="J6" i="8"/>
  <c r="R6" i="8"/>
  <c r="K6" i="8"/>
  <c r="S6" i="8"/>
  <c r="T6" i="8"/>
  <c r="E6" i="8"/>
  <c r="M6" i="8"/>
  <c r="U6" i="8"/>
  <c r="F6" i="8"/>
  <c r="N6" i="8"/>
  <c r="V6" i="8"/>
  <c r="K18" i="8"/>
  <c r="S18" i="8"/>
  <c r="L18" i="8"/>
  <c r="T18" i="8"/>
  <c r="E18" i="8"/>
  <c r="M18" i="8"/>
  <c r="U18" i="8"/>
  <c r="H18" i="8"/>
  <c r="F18" i="8"/>
  <c r="N18" i="8"/>
  <c r="V18" i="8"/>
  <c r="P18" i="8"/>
  <c r="G18" i="8"/>
  <c r="O18" i="8"/>
  <c r="W18" i="8"/>
  <c r="I18" i="8"/>
  <c r="Q18" i="8"/>
  <c r="J18" i="8"/>
  <c r="R18" i="8"/>
  <c r="L7" i="8"/>
  <c r="T7" i="8"/>
  <c r="E7" i="8"/>
  <c r="M7" i="8"/>
  <c r="U7" i="8"/>
  <c r="F7" i="8"/>
  <c r="N7" i="8"/>
  <c r="V7" i="8"/>
  <c r="I7" i="8"/>
  <c r="Q7" i="8"/>
  <c r="G7" i="8"/>
  <c r="O7" i="8"/>
  <c r="W7" i="8"/>
  <c r="H7" i="8"/>
  <c r="P7" i="8"/>
  <c r="J7" i="8"/>
  <c r="R7" i="8"/>
  <c r="K7" i="8"/>
  <c r="S7" i="8"/>
  <c r="I8" i="8"/>
  <c r="Q8" i="8"/>
  <c r="J8" i="8"/>
  <c r="R8" i="8"/>
  <c r="K8" i="8"/>
  <c r="S8" i="8"/>
  <c r="N8" i="8"/>
  <c r="L8" i="8"/>
  <c r="T8" i="8"/>
  <c r="V8" i="8"/>
  <c r="E8" i="8"/>
  <c r="M8" i="8"/>
  <c r="U8" i="8"/>
  <c r="F8" i="8"/>
  <c r="G8" i="8"/>
  <c r="O8" i="8"/>
  <c r="W8" i="8"/>
  <c r="H8" i="8"/>
  <c r="P8" i="8"/>
  <c r="J5" i="8"/>
  <c r="R5" i="8"/>
  <c r="K5" i="8"/>
  <c r="S5" i="8"/>
  <c r="L5" i="8"/>
  <c r="T5" i="8"/>
  <c r="G5" i="8"/>
  <c r="O5" i="8"/>
  <c r="W5" i="8"/>
  <c r="E5" i="8"/>
  <c r="M5" i="8"/>
  <c r="U5" i="8"/>
  <c r="F5" i="8"/>
  <c r="N5" i="8"/>
  <c r="V5" i="8"/>
  <c r="H5" i="8"/>
  <c r="P5" i="8"/>
  <c r="I5" i="8"/>
  <c r="Q5" i="8"/>
  <c r="I16" i="8"/>
  <c r="Q16" i="8"/>
  <c r="J16" i="8"/>
  <c r="R16" i="8"/>
  <c r="K16" i="8"/>
  <c r="S16" i="8"/>
  <c r="F16" i="8"/>
  <c r="V16" i="8"/>
  <c r="L16" i="8"/>
  <c r="T16" i="8"/>
  <c r="E16" i="8"/>
  <c r="M16" i="8"/>
  <c r="U16" i="8"/>
  <c r="N16" i="8"/>
  <c r="G16" i="8"/>
  <c r="O16" i="8"/>
  <c r="W16" i="8"/>
  <c r="H16" i="8"/>
  <c r="P16" i="8"/>
  <c r="J13" i="8"/>
  <c r="R13" i="8"/>
  <c r="K13" i="8"/>
  <c r="S13" i="8"/>
  <c r="L13" i="8"/>
  <c r="T13" i="8"/>
  <c r="G13" i="8"/>
  <c r="W13" i="8"/>
  <c r="E13" i="8"/>
  <c r="M13" i="8"/>
  <c r="U13" i="8"/>
  <c r="F13" i="8"/>
  <c r="N13" i="8"/>
  <c r="V13" i="8"/>
  <c r="O13" i="8"/>
  <c r="H13" i="8"/>
  <c r="P13" i="8"/>
  <c r="I13" i="8"/>
  <c r="Q13" i="8"/>
  <c r="H11" i="8"/>
  <c r="P11" i="8"/>
  <c r="I11" i="8"/>
  <c r="Q11" i="8"/>
  <c r="J11" i="8"/>
  <c r="R11" i="8"/>
  <c r="U11" i="8"/>
  <c r="K11" i="8"/>
  <c r="S11" i="8"/>
  <c r="L11" i="8"/>
  <c r="T11" i="8"/>
  <c r="E11" i="8"/>
  <c r="M11" i="8"/>
  <c r="F11" i="8"/>
  <c r="N11" i="8"/>
  <c r="V11" i="8"/>
  <c r="G11" i="8"/>
  <c r="O11" i="8"/>
  <c r="W11" i="8"/>
  <c r="L15" i="8"/>
  <c r="T15" i="8"/>
  <c r="E15" i="8"/>
  <c r="M15" i="8"/>
  <c r="U15" i="8"/>
  <c r="F15" i="8"/>
  <c r="N15" i="8"/>
  <c r="V15" i="8"/>
  <c r="G15" i="8"/>
  <c r="O15" i="8"/>
  <c r="W15" i="8"/>
  <c r="I15" i="8"/>
  <c r="H15" i="8"/>
  <c r="P15" i="8"/>
  <c r="Q15" i="8"/>
  <c r="J15" i="8"/>
  <c r="R15" i="8"/>
  <c r="K15" i="8"/>
  <c r="S15" i="8"/>
  <c r="F9" i="8"/>
  <c r="N9" i="8"/>
  <c r="V9" i="8"/>
  <c r="G9" i="8"/>
  <c r="O9" i="8"/>
  <c r="W9" i="8"/>
  <c r="H9" i="8"/>
  <c r="P9" i="8"/>
  <c r="S9" i="8"/>
  <c r="I9" i="8"/>
  <c r="Q9" i="8"/>
  <c r="J9" i="8"/>
  <c r="R9" i="8"/>
  <c r="K9" i="8"/>
  <c r="L9" i="8"/>
  <c r="T9" i="8"/>
  <c r="E9" i="8"/>
  <c r="M9" i="8"/>
  <c r="U9" i="8"/>
  <c r="G14" i="8"/>
  <c r="O14" i="8"/>
  <c r="W14" i="8"/>
  <c r="H14" i="8"/>
  <c r="P14" i="8"/>
  <c r="I14" i="8"/>
  <c r="Q14" i="8"/>
  <c r="T14" i="8"/>
  <c r="J14" i="8"/>
  <c r="R14" i="8"/>
  <c r="K14" i="8"/>
  <c r="S14" i="8"/>
  <c r="L14" i="8"/>
  <c r="E14" i="8"/>
  <c r="M14" i="8"/>
  <c r="U14" i="8"/>
  <c r="F14" i="8"/>
  <c r="N14" i="8"/>
  <c r="V14" i="8"/>
  <c r="E12" i="8"/>
  <c r="M12" i="8"/>
  <c r="U12" i="8"/>
  <c r="F12" i="8"/>
  <c r="N12" i="8"/>
  <c r="V12" i="8"/>
  <c r="G12" i="8"/>
  <c r="O12" i="8"/>
  <c r="W12" i="8"/>
  <c r="H12" i="8"/>
  <c r="P12" i="8"/>
  <c r="R12" i="8"/>
  <c r="I12" i="8"/>
  <c r="Q12" i="8"/>
  <c r="J12" i="8"/>
  <c r="K12" i="8"/>
  <c r="S12" i="8"/>
  <c r="L12" i="8"/>
  <c r="T12" i="8"/>
  <c r="F17" i="8"/>
  <c r="N17" i="8"/>
  <c r="V17" i="8"/>
  <c r="G17" i="8"/>
  <c r="O17" i="8"/>
  <c r="W17" i="8"/>
  <c r="H17" i="8"/>
  <c r="P17" i="8"/>
  <c r="I17" i="8"/>
  <c r="Q17" i="8"/>
  <c r="K17" i="8"/>
  <c r="J17" i="8"/>
  <c r="R17" i="8"/>
  <c r="S17" i="8"/>
  <c r="L17" i="8"/>
  <c r="T17" i="8"/>
  <c r="E17" i="8"/>
  <c r="M17" i="8"/>
  <c r="U17" i="8"/>
  <c r="C10" i="8"/>
  <c r="D10" i="8"/>
  <c r="C6" i="8"/>
  <c r="D6" i="8"/>
  <c r="C18" i="8"/>
  <c r="D18" i="8"/>
  <c r="C7" i="8"/>
  <c r="D7" i="8"/>
  <c r="C11" i="8"/>
  <c r="D11" i="8"/>
  <c r="C17" i="8"/>
  <c r="D17" i="8"/>
  <c r="C12" i="8"/>
  <c r="D12" i="8"/>
  <c r="C8" i="8"/>
  <c r="D8" i="8"/>
  <c r="C5" i="8"/>
  <c r="D5" i="8"/>
  <c r="C15" i="8"/>
  <c r="D15" i="8"/>
  <c r="C16" i="8"/>
  <c r="D16" i="8"/>
  <c r="C13" i="8"/>
  <c r="D13" i="8"/>
  <c r="C9" i="8"/>
  <c r="D9" i="8"/>
  <c r="C14" i="8"/>
  <c r="D14" i="8"/>
  <c r="B4" i="8"/>
  <c r="B64" i="8"/>
  <c r="B71" i="8"/>
  <c r="B65" i="8"/>
  <c r="B66" i="8"/>
  <c r="B63" i="8"/>
  <c r="B59" i="8"/>
  <c r="B67" i="8"/>
  <c r="B68" i="8"/>
  <c r="B61" i="8"/>
  <c r="B69" i="8"/>
  <c r="B60" i="8"/>
  <c r="B62" i="8"/>
  <c r="B70" i="8"/>
  <c r="B58" i="8"/>
  <c r="B52" i="8"/>
  <c r="B45" i="8"/>
  <c r="B53" i="8"/>
  <c r="B47" i="8"/>
  <c r="B46" i="8"/>
  <c r="B54" i="8"/>
  <c r="B48" i="8"/>
  <c r="B44" i="8"/>
  <c r="B49" i="8"/>
  <c r="B42" i="8"/>
  <c r="B50" i="8"/>
  <c r="B43" i="8"/>
  <c r="B51" i="8"/>
  <c r="B55" i="8"/>
  <c r="B41" i="8"/>
  <c r="T71" i="8" l="1"/>
  <c r="L71" i="8"/>
  <c r="D71" i="8"/>
  <c r="AA71" i="8"/>
  <c r="S71" i="8"/>
  <c r="K71" i="8"/>
  <c r="C71" i="8"/>
  <c r="Z71" i="8"/>
  <c r="R71" i="8"/>
  <c r="J71" i="8"/>
  <c r="Y71" i="8"/>
  <c r="Q71" i="8"/>
  <c r="I71" i="8"/>
  <c r="U71" i="8"/>
  <c r="X71" i="8"/>
  <c r="P71" i="8"/>
  <c r="H71" i="8"/>
  <c r="W71" i="8"/>
  <c r="O71" i="8"/>
  <c r="G71" i="8"/>
  <c r="V71" i="8"/>
  <c r="N71" i="8"/>
  <c r="F71" i="8"/>
  <c r="E71" i="8"/>
  <c r="M71" i="8"/>
  <c r="V61" i="8"/>
  <c r="N61" i="8"/>
  <c r="F61" i="8"/>
  <c r="U61" i="8"/>
  <c r="M61" i="8"/>
  <c r="E61" i="8"/>
  <c r="T61" i="8"/>
  <c r="L61" i="8"/>
  <c r="D61" i="8"/>
  <c r="AA61" i="8"/>
  <c r="S61" i="8"/>
  <c r="K61" i="8"/>
  <c r="C61" i="8"/>
  <c r="Z61" i="8"/>
  <c r="R61" i="8"/>
  <c r="J61" i="8"/>
  <c r="X61" i="8"/>
  <c r="H61" i="8"/>
  <c r="Y61" i="8"/>
  <c r="Q61" i="8"/>
  <c r="I61" i="8"/>
  <c r="P61" i="8"/>
  <c r="G61" i="8"/>
  <c r="W61" i="8"/>
  <c r="O61" i="8"/>
  <c r="AA64" i="8"/>
  <c r="S64" i="8"/>
  <c r="K64" i="8"/>
  <c r="C64" i="8"/>
  <c r="Z64" i="8"/>
  <c r="R64" i="8"/>
  <c r="J64" i="8"/>
  <c r="Y64" i="8"/>
  <c r="Q64" i="8"/>
  <c r="I64" i="8"/>
  <c r="X64" i="8"/>
  <c r="P64" i="8"/>
  <c r="H64" i="8"/>
  <c r="W64" i="8"/>
  <c r="O64" i="8"/>
  <c r="G64" i="8"/>
  <c r="U64" i="8"/>
  <c r="E64" i="8"/>
  <c r="V64" i="8"/>
  <c r="N64" i="8"/>
  <c r="F64" i="8"/>
  <c r="M64" i="8"/>
  <c r="T64" i="8"/>
  <c r="D64" i="8"/>
  <c r="L64" i="8"/>
  <c r="W68" i="8"/>
  <c r="O68" i="8"/>
  <c r="G68" i="8"/>
  <c r="V68" i="8"/>
  <c r="N68" i="8"/>
  <c r="F68" i="8"/>
  <c r="T68" i="8"/>
  <c r="U68" i="8"/>
  <c r="M68" i="8"/>
  <c r="E68" i="8"/>
  <c r="P68" i="8"/>
  <c r="L68" i="8"/>
  <c r="D68" i="8"/>
  <c r="AA68" i="8"/>
  <c r="S68" i="8"/>
  <c r="K68" i="8"/>
  <c r="C68" i="8"/>
  <c r="Y68" i="8"/>
  <c r="Z68" i="8"/>
  <c r="R68" i="8"/>
  <c r="J68" i="8"/>
  <c r="Q68" i="8"/>
  <c r="I68" i="8"/>
  <c r="X68" i="8"/>
  <c r="H68" i="8"/>
  <c r="Y58" i="8"/>
  <c r="Q58" i="8"/>
  <c r="I58" i="8"/>
  <c r="X58" i="8"/>
  <c r="P58" i="8"/>
  <c r="H58" i="8"/>
  <c r="W58" i="8"/>
  <c r="O58" i="8"/>
  <c r="G58" i="8"/>
  <c r="F58" i="8"/>
  <c r="V58" i="8"/>
  <c r="N58" i="8"/>
  <c r="U58" i="8"/>
  <c r="M58" i="8"/>
  <c r="E58" i="8"/>
  <c r="S58" i="8"/>
  <c r="T58" i="8"/>
  <c r="L58" i="8"/>
  <c r="D58" i="8"/>
  <c r="AA58" i="8"/>
  <c r="K58" i="8"/>
  <c r="C58" i="8"/>
  <c r="R58" i="8"/>
  <c r="Z58" i="8"/>
  <c r="J58" i="8"/>
  <c r="X59" i="8"/>
  <c r="P59" i="8"/>
  <c r="H59" i="8"/>
  <c r="W59" i="8"/>
  <c r="O59" i="8"/>
  <c r="G59" i="8"/>
  <c r="V59" i="8"/>
  <c r="N59" i="8"/>
  <c r="F59" i="8"/>
  <c r="M59" i="8"/>
  <c r="U59" i="8"/>
  <c r="E59" i="8"/>
  <c r="T59" i="8"/>
  <c r="L59" i="8"/>
  <c r="D59" i="8"/>
  <c r="R59" i="8"/>
  <c r="AA59" i="8"/>
  <c r="S59" i="8"/>
  <c r="K59" i="8"/>
  <c r="C59" i="8"/>
  <c r="Z59" i="8"/>
  <c r="J59" i="8"/>
  <c r="Y59" i="8"/>
  <c r="Q59" i="8"/>
  <c r="I59" i="8"/>
  <c r="U70" i="8"/>
  <c r="M70" i="8"/>
  <c r="E70" i="8"/>
  <c r="T70" i="8"/>
  <c r="L70" i="8"/>
  <c r="D70" i="8"/>
  <c r="AA70" i="8"/>
  <c r="S70" i="8"/>
  <c r="K70" i="8"/>
  <c r="C70" i="8"/>
  <c r="N70" i="8"/>
  <c r="Z70" i="8"/>
  <c r="R70" i="8"/>
  <c r="J70" i="8"/>
  <c r="Y70" i="8"/>
  <c r="Q70" i="8"/>
  <c r="I70" i="8"/>
  <c r="X70" i="8"/>
  <c r="P70" i="8"/>
  <c r="H70" i="8"/>
  <c r="W70" i="8"/>
  <c r="O70" i="8"/>
  <c r="G70" i="8"/>
  <c r="V70" i="8"/>
  <c r="F70" i="8"/>
  <c r="T63" i="8"/>
  <c r="L63" i="8"/>
  <c r="D63" i="8"/>
  <c r="AA63" i="8"/>
  <c r="S63" i="8"/>
  <c r="K63" i="8"/>
  <c r="C63" i="8"/>
  <c r="Z63" i="8"/>
  <c r="R63" i="8"/>
  <c r="J63" i="8"/>
  <c r="Y63" i="8"/>
  <c r="Q63" i="8"/>
  <c r="I63" i="8"/>
  <c r="X63" i="8"/>
  <c r="P63" i="8"/>
  <c r="H63" i="8"/>
  <c r="N63" i="8"/>
  <c r="W63" i="8"/>
  <c r="O63" i="8"/>
  <c r="G63" i="8"/>
  <c r="V63" i="8"/>
  <c r="F63" i="8"/>
  <c r="U63" i="8"/>
  <c r="M63" i="8"/>
  <c r="E63" i="8"/>
  <c r="X67" i="8"/>
  <c r="P67" i="8"/>
  <c r="H67" i="8"/>
  <c r="W67" i="8"/>
  <c r="O67" i="8"/>
  <c r="G67" i="8"/>
  <c r="V67" i="8"/>
  <c r="N67" i="8"/>
  <c r="F67" i="8"/>
  <c r="Y67" i="8"/>
  <c r="U67" i="8"/>
  <c r="M67" i="8"/>
  <c r="E67" i="8"/>
  <c r="T67" i="8"/>
  <c r="L67" i="8"/>
  <c r="D67" i="8"/>
  <c r="R67" i="8"/>
  <c r="AA67" i="8"/>
  <c r="S67" i="8"/>
  <c r="K67" i="8"/>
  <c r="C67" i="8"/>
  <c r="Z67" i="8"/>
  <c r="J67" i="8"/>
  <c r="Q67" i="8"/>
  <c r="I67" i="8"/>
  <c r="U62" i="8"/>
  <c r="M62" i="8"/>
  <c r="E62" i="8"/>
  <c r="T62" i="8"/>
  <c r="L62" i="8"/>
  <c r="D62" i="8"/>
  <c r="AA62" i="8"/>
  <c r="S62" i="8"/>
  <c r="K62" i="8"/>
  <c r="C62" i="8"/>
  <c r="R62" i="8"/>
  <c r="Z62" i="8"/>
  <c r="J62" i="8"/>
  <c r="Y62" i="8"/>
  <c r="Q62" i="8"/>
  <c r="I62" i="8"/>
  <c r="W62" i="8"/>
  <c r="X62" i="8"/>
  <c r="P62" i="8"/>
  <c r="H62" i="8"/>
  <c r="O62" i="8"/>
  <c r="G62" i="8"/>
  <c r="V62" i="8"/>
  <c r="N62" i="8"/>
  <c r="F62" i="8"/>
  <c r="Y66" i="8"/>
  <c r="Q66" i="8"/>
  <c r="I66" i="8"/>
  <c r="X66" i="8"/>
  <c r="P66" i="8"/>
  <c r="H66" i="8"/>
  <c r="W66" i="8"/>
  <c r="O66" i="8"/>
  <c r="G66" i="8"/>
  <c r="V66" i="8"/>
  <c r="N66" i="8"/>
  <c r="F66" i="8"/>
  <c r="U66" i="8"/>
  <c r="M66" i="8"/>
  <c r="E66" i="8"/>
  <c r="S66" i="8"/>
  <c r="C66" i="8"/>
  <c r="T66" i="8"/>
  <c r="L66" i="8"/>
  <c r="D66" i="8"/>
  <c r="AA66" i="8"/>
  <c r="K66" i="8"/>
  <c r="Z66" i="8"/>
  <c r="R66" i="8"/>
  <c r="J66" i="8"/>
  <c r="W60" i="8"/>
  <c r="O60" i="8"/>
  <c r="G60" i="8"/>
  <c r="V60" i="8"/>
  <c r="N60" i="8"/>
  <c r="F60" i="8"/>
  <c r="D60" i="8"/>
  <c r="U60" i="8"/>
  <c r="M60" i="8"/>
  <c r="E60" i="8"/>
  <c r="T60" i="8"/>
  <c r="L60" i="8"/>
  <c r="AA60" i="8"/>
  <c r="S60" i="8"/>
  <c r="K60" i="8"/>
  <c r="C60" i="8"/>
  <c r="Q60" i="8"/>
  <c r="Z60" i="8"/>
  <c r="R60" i="8"/>
  <c r="J60" i="8"/>
  <c r="Y60" i="8"/>
  <c r="I60" i="8"/>
  <c r="H60" i="8"/>
  <c r="X60" i="8"/>
  <c r="P60" i="8"/>
  <c r="Z65" i="8"/>
  <c r="R65" i="8"/>
  <c r="J65" i="8"/>
  <c r="Y65" i="8"/>
  <c r="Q65" i="8"/>
  <c r="I65" i="8"/>
  <c r="X65" i="8"/>
  <c r="P65" i="8"/>
  <c r="H65" i="8"/>
  <c r="W65" i="8"/>
  <c r="O65" i="8"/>
  <c r="G65" i="8"/>
  <c r="V65" i="8"/>
  <c r="N65" i="8"/>
  <c r="F65" i="8"/>
  <c r="L65" i="8"/>
  <c r="U65" i="8"/>
  <c r="M65" i="8"/>
  <c r="E65" i="8"/>
  <c r="T65" i="8"/>
  <c r="D65" i="8"/>
  <c r="K65" i="8"/>
  <c r="C65" i="8"/>
  <c r="AA65" i="8"/>
  <c r="S65" i="8"/>
  <c r="V69" i="8"/>
  <c r="N69" i="8"/>
  <c r="F69" i="8"/>
  <c r="U69" i="8"/>
  <c r="M69" i="8"/>
  <c r="E69" i="8"/>
  <c r="T69" i="8"/>
  <c r="L69" i="8"/>
  <c r="D69" i="8"/>
  <c r="K69" i="8"/>
  <c r="W69" i="8"/>
  <c r="G69" i="8"/>
  <c r="AA69" i="8"/>
  <c r="S69" i="8"/>
  <c r="C69" i="8"/>
  <c r="Z69" i="8"/>
  <c r="R69" i="8"/>
  <c r="J69" i="8"/>
  <c r="Y69" i="8"/>
  <c r="Q69" i="8"/>
  <c r="I69" i="8"/>
  <c r="X69" i="8"/>
  <c r="P69" i="8"/>
  <c r="H69" i="8"/>
  <c r="O69" i="8"/>
  <c r="V52" i="8"/>
  <c r="N52" i="8"/>
  <c r="F52" i="8"/>
  <c r="U52" i="8"/>
  <c r="M52" i="8"/>
  <c r="E52" i="8"/>
  <c r="T52" i="8"/>
  <c r="L52" i="8"/>
  <c r="D52" i="8"/>
  <c r="AA52" i="8"/>
  <c r="S52" i="8"/>
  <c r="K52" i="8"/>
  <c r="C52" i="8"/>
  <c r="Z52" i="8"/>
  <c r="R52" i="8"/>
  <c r="J52" i="8"/>
  <c r="Y52" i="8"/>
  <c r="Q52" i="8"/>
  <c r="I52" i="8"/>
  <c r="O52" i="8"/>
  <c r="X52" i="8"/>
  <c r="P52" i="8"/>
  <c r="H52" i="8"/>
  <c r="W52" i="8"/>
  <c r="G52" i="8"/>
  <c r="AA47" i="8"/>
  <c r="S47" i="8"/>
  <c r="K47" i="8"/>
  <c r="C47" i="8"/>
  <c r="Z47" i="8"/>
  <c r="R47" i="8"/>
  <c r="J47" i="8"/>
  <c r="Y47" i="8"/>
  <c r="Q47" i="8"/>
  <c r="I47" i="8"/>
  <c r="G47" i="8"/>
  <c r="X47" i="8"/>
  <c r="P47" i="8"/>
  <c r="H47" i="8"/>
  <c r="W47" i="8"/>
  <c r="O47" i="8"/>
  <c r="V47" i="8"/>
  <c r="N47" i="8"/>
  <c r="F47" i="8"/>
  <c r="T47" i="8"/>
  <c r="U47" i="8"/>
  <c r="M47" i="8"/>
  <c r="E47" i="8"/>
  <c r="L47" i="8"/>
  <c r="D47" i="8"/>
  <c r="X50" i="8"/>
  <c r="P50" i="8"/>
  <c r="H50" i="8"/>
  <c r="W50" i="8"/>
  <c r="O50" i="8"/>
  <c r="G50" i="8"/>
  <c r="V50" i="8"/>
  <c r="N50" i="8"/>
  <c r="F50" i="8"/>
  <c r="U50" i="8"/>
  <c r="M50" i="8"/>
  <c r="E50" i="8"/>
  <c r="T50" i="8"/>
  <c r="L50" i="8"/>
  <c r="D50" i="8"/>
  <c r="AA50" i="8"/>
  <c r="S50" i="8"/>
  <c r="K50" i="8"/>
  <c r="C50" i="8"/>
  <c r="Q50" i="8"/>
  <c r="Z50" i="8"/>
  <c r="R50" i="8"/>
  <c r="J50" i="8"/>
  <c r="Y50" i="8"/>
  <c r="I50" i="8"/>
  <c r="U53" i="8"/>
  <c r="M53" i="8"/>
  <c r="E53" i="8"/>
  <c r="T53" i="8"/>
  <c r="L53" i="8"/>
  <c r="D53" i="8"/>
  <c r="AA53" i="8"/>
  <c r="S53" i="8"/>
  <c r="K53" i="8"/>
  <c r="C53" i="8"/>
  <c r="Z53" i="8"/>
  <c r="R53" i="8"/>
  <c r="J53" i="8"/>
  <c r="Y53" i="8"/>
  <c r="Q53" i="8"/>
  <c r="I53" i="8"/>
  <c r="X53" i="8"/>
  <c r="P53" i="8"/>
  <c r="H53" i="8"/>
  <c r="V53" i="8"/>
  <c r="F53" i="8"/>
  <c r="W53" i="8"/>
  <c r="O53" i="8"/>
  <c r="G53" i="8"/>
  <c r="N53" i="8"/>
  <c r="W43" i="8"/>
  <c r="O43" i="8"/>
  <c r="G43" i="8"/>
  <c r="V43" i="8"/>
  <c r="N43" i="8"/>
  <c r="F43" i="8"/>
  <c r="U43" i="8"/>
  <c r="M43" i="8"/>
  <c r="E43" i="8"/>
  <c r="T43" i="8"/>
  <c r="L43" i="8"/>
  <c r="D43" i="8"/>
  <c r="AA43" i="8"/>
  <c r="S43" i="8"/>
  <c r="K43" i="8"/>
  <c r="C43" i="8"/>
  <c r="Z43" i="8"/>
  <c r="R43" i="8"/>
  <c r="J43" i="8"/>
  <c r="X43" i="8"/>
  <c r="H43" i="8"/>
  <c r="Y43" i="8"/>
  <c r="Q43" i="8"/>
  <c r="I43" i="8"/>
  <c r="P43" i="8"/>
  <c r="X42" i="8"/>
  <c r="P42" i="8"/>
  <c r="H42" i="8"/>
  <c r="D42" i="8"/>
  <c r="W42" i="8"/>
  <c r="O42" i="8"/>
  <c r="G42" i="8"/>
  <c r="V42" i="8"/>
  <c r="N42" i="8"/>
  <c r="F42" i="8"/>
  <c r="U42" i="8"/>
  <c r="M42" i="8"/>
  <c r="E42" i="8"/>
  <c r="T42" i="8"/>
  <c r="L42" i="8"/>
  <c r="AA42" i="8"/>
  <c r="S42" i="8"/>
  <c r="K42" i="8"/>
  <c r="C42" i="8"/>
  <c r="Q42" i="8"/>
  <c r="Z42" i="8"/>
  <c r="R42" i="8"/>
  <c r="J42" i="8"/>
  <c r="Y42" i="8"/>
  <c r="I42" i="8"/>
  <c r="U45" i="8"/>
  <c r="M45" i="8"/>
  <c r="E45" i="8"/>
  <c r="T45" i="8"/>
  <c r="L45" i="8"/>
  <c r="D45" i="8"/>
  <c r="AA45" i="8"/>
  <c r="S45" i="8"/>
  <c r="K45" i="8"/>
  <c r="C45" i="8"/>
  <c r="V45" i="8"/>
  <c r="Z45" i="8"/>
  <c r="R45" i="8"/>
  <c r="J45" i="8"/>
  <c r="Y45" i="8"/>
  <c r="Q45" i="8"/>
  <c r="I45" i="8"/>
  <c r="F45" i="8"/>
  <c r="X45" i="8"/>
  <c r="P45" i="8"/>
  <c r="H45" i="8"/>
  <c r="W45" i="8"/>
  <c r="O45" i="8"/>
  <c r="G45" i="8"/>
  <c r="N45" i="8"/>
  <c r="Y49" i="8"/>
  <c r="Q49" i="8"/>
  <c r="I49" i="8"/>
  <c r="X49" i="8"/>
  <c r="P49" i="8"/>
  <c r="H49" i="8"/>
  <c r="W49" i="8"/>
  <c r="O49" i="8"/>
  <c r="G49" i="8"/>
  <c r="V49" i="8"/>
  <c r="N49" i="8"/>
  <c r="F49" i="8"/>
  <c r="U49" i="8"/>
  <c r="M49" i="8"/>
  <c r="E49" i="8"/>
  <c r="T49" i="8"/>
  <c r="L49" i="8"/>
  <c r="D49" i="8"/>
  <c r="Z49" i="8"/>
  <c r="J49" i="8"/>
  <c r="AA49" i="8"/>
  <c r="S49" i="8"/>
  <c r="K49" i="8"/>
  <c r="C49" i="8"/>
  <c r="R49" i="8"/>
  <c r="Y41" i="8"/>
  <c r="Q41" i="8"/>
  <c r="I41" i="8"/>
  <c r="X41" i="8"/>
  <c r="P41" i="8"/>
  <c r="H41" i="8"/>
  <c r="U41" i="8"/>
  <c r="W41" i="8"/>
  <c r="O41" i="8"/>
  <c r="G41" i="8"/>
  <c r="V41" i="8"/>
  <c r="N41" i="8"/>
  <c r="F41" i="8"/>
  <c r="M41" i="8"/>
  <c r="E41" i="8"/>
  <c r="T41" i="8"/>
  <c r="L41" i="8"/>
  <c r="D41" i="8"/>
  <c r="Z41" i="8"/>
  <c r="J41" i="8"/>
  <c r="AA41" i="8"/>
  <c r="S41" i="8"/>
  <c r="K41" i="8"/>
  <c r="C41" i="8"/>
  <c r="R41" i="8"/>
  <c r="Z48" i="8"/>
  <c r="R48" i="8"/>
  <c r="J48" i="8"/>
  <c r="Y48" i="8"/>
  <c r="Q48" i="8"/>
  <c r="I48" i="8"/>
  <c r="X48" i="8"/>
  <c r="P48" i="8"/>
  <c r="H48" i="8"/>
  <c r="W48" i="8"/>
  <c r="O48" i="8"/>
  <c r="G48" i="8"/>
  <c r="V48" i="8"/>
  <c r="N48" i="8"/>
  <c r="F48" i="8"/>
  <c r="U48" i="8"/>
  <c r="M48" i="8"/>
  <c r="E48" i="8"/>
  <c r="AA48" i="8"/>
  <c r="K48" i="8"/>
  <c r="T48" i="8"/>
  <c r="L48" i="8"/>
  <c r="D48" i="8"/>
  <c r="S48" i="8"/>
  <c r="C48" i="8"/>
  <c r="V44" i="8"/>
  <c r="N44" i="8"/>
  <c r="F44" i="8"/>
  <c r="U44" i="8"/>
  <c r="M44" i="8"/>
  <c r="E44" i="8"/>
  <c r="T44" i="8"/>
  <c r="L44" i="8"/>
  <c r="D44" i="8"/>
  <c r="AA44" i="8"/>
  <c r="S44" i="8"/>
  <c r="K44" i="8"/>
  <c r="C44" i="8"/>
  <c r="O44" i="8"/>
  <c r="Z44" i="8"/>
  <c r="R44" i="8"/>
  <c r="J44" i="8"/>
  <c r="Y44" i="8"/>
  <c r="Q44" i="8"/>
  <c r="I44" i="8"/>
  <c r="W44" i="8"/>
  <c r="X44" i="8"/>
  <c r="P44" i="8"/>
  <c r="H44" i="8"/>
  <c r="G44" i="8"/>
  <c r="AA55" i="8"/>
  <c r="S55" i="8"/>
  <c r="K55" i="8"/>
  <c r="C55" i="8"/>
  <c r="Z55" i="8"/>
  <c r="R55" i="8"/>
  <c r="J55" i="8"/>
  <c r="Y55" i="8"/>
  <c r="Q55" i="8"/>
  <c r="I55" i="8"/>
  <c r="X55" i="8"/>
  <c r="P55" i="8"/>
  <c r="H55" i="8"/>
  <c r="W55" i="8"/>
  <c r="O55" i="8"/>
  <c r="G55" i="8"/>
  <c r="V55" i="8"/>
  <c r="N55" i="8"/>
  <c r="F55" i="8"/>
  <c r="L55" i="8"/>
  <c r="D55" i="8"/>
  <c r="U55" i="8"/>
  <c r="M55" i="8"/>
  <c r="E55" i="8"/>
  <c r="T55" i="8"/>
  <c r="T54" i="8"/>
  <c r="L54" i="8"/>
  <c r="D54" i="8"/>
  <c r="AA54" i="8"/>
  <c r="S54" i="8"/>
  <c r="K54" i="8"/>
  <c r="C54" i="8"/>
  <c r="Z54" i="8"/>
  <c r="R54" i="8"/>
  <c r="J54" i="8"/>
  <c r="Y54" i="8"/>
  <c r="Q54" i="8"/>
  <c r="I54" i="8"/>
  <c r="X54" i="8"/>
  <c r="P54" i="8"/>
  <c r="H54" i="8"/>
  <c r="W54" i="8"/>
  <c r="O54" i="8"/>
  <c r="G54" i="8"/>
  <c r="U54" i="8"/>
  <c r="E54" i="8"/>
  <c r="V54" i="8"/>
  <c r="N54" i="8"/>
  <c r="F54" i="8"/>
  <c r="M54" i="8"/>
  <c r="W51" i="8"/>
  <c r="O51" i="8"/>
  <c r="G51" i="8"/>
  <c r="V51" i="8"/>
  <c r="N51" i="8"/>
  <c r="F51" i="8"/>
  <c r="U51" i="8"/>
  <c r="M51" i="8"/>
  <c r="E51" i="8"/>
  <c r="T51" i="8"/>
  <c r="L51" i="8"/>
  <c r="D51" i="8"/>
  <c r="AA51" i="8"/>
  <c r="S51" i="8"/>
  <c r="K51" i="8"/>
  <c r="C51" i="8"/>
  <c r="Z51" i="8"/>
  <c r="R51" i="8"/>
  <c r="J51" i="8"/>
  <c r="X51" i="8"/>
  <c r="H51" i="8"/>
  <c r="Y51" i="8"/>
  <c r="Q51" i="8"/>
  <c r="I51" i="8"/>
  <c r="P51" i="8"/>
  <c r="T46" i="8"/>
  <c r="L46" i="8"/>
  <c r="D46" i="8"/>
  <c r="P46" i="8"/>
  <c r="M46" i="8"/>
  <c r="AA46" i="8"/>
  <c r="S46" i="8"/>
  <c r="K46" i="8"/>
  <c r="C46" i="8"/>
  <c r="X46" i="8"/>
  <c r="E46" i="8"/>
  <c r="Z46" i="8"/>
  <c r="R46" i="8"/>
  <c r="J46" i="8"/>
  <c r="Y46" i="8"/>
  <c r="Q46" i="8"/>
  <c r="I46" i="8"/>
  <c r="H46" i="8"/>
  <c r="W46" i="8"/>
  <c r="O46" i="8"/>
  <c r="G46" i="8"/>
  <c r="U46" i="8"/>
  <c r="V46" i="8"/>
  <c r="N46" i="8"/>
  <c r="F46" i="8"/>
  <c r="AA4" i="8"/>
  <c r="X4" i="8"/>
  <c r="Y4" i="8"/>
  <c r="Z4" i="8"/>
  <c r="E4" i="8"/>
  <c r="M4" i="8"/>
  <c r="U4" i="8"/>
  <c r="F4" i="8"/>
  <c r="N4" i="8"/>
  <c r="V4" i="8"/>
  <c r="G4" i="8"/>
  <c r="O4" i="8"/>
  <c r="W4" i="8"/>
  <c r="H4" i="8"/>
  <c r="P4" i="8"/>
  <c r="R4" i="8"/>
  <c r="I4" i="8"/>
  <c r="Q4" i="8"/>
  <c r="J4" i="8"/>
  <c r="K4" i="8"/>
  <c r="S4" i="8"/>
  <c r="L4" i="8"/>
  <c r="T4" i="8"/>
  <c r="C4" i="8"/>
  <c r="D4" i="8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20" i="7"/>
  <c r="D20" i="7" s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3" i="7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4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19" i="10"/>
  <c r="Y33" i="15"/>
  <c r="X33" i="15"/>
  <c r="W33" i="15"/>
  <c r="V33" i="15"/>
  <c r="U33" i="15"/>
  <c r="T33" i="15"/>
  <c r="Y32" i="15"/>
  <c r="X32" i="15"/>
  <c r="W32" i="15"/>
  <c r="V32" i="15"/>
  <c r="U32" i="15"/>
  <c r="T32" i="15"/>
  <c r="Y31" i="15"/>
  <c r="X31" i="15"/>
  <c r="W31" i="15"/>
  <c r="V31" i="15"/>
  <c r="U31" i="15"/>
  <c r="T31" i="15"/>
  <c r="Y30" i="15"/>
  <c r="X30" i="15"/>
  <c r="W30" i="15"/>
  <c r="V30" i="15"/>
  <c r="U30" i="15"/>
  <c r="T30" i="15"/>
  <c r="Y29" i="15"/>
  <c r="X29" i="15"/>
  <c r="W29" i="15"/>
  <c r="V29" i="15"/>
  <c r="U29" i="15"/>
  <c r="T29" i="15"/>
  <c r="Y28" i="15"/>
  <c r="X28" i="15"/>
  <c r="W28" i="15"/>
  <c r="V28" i="15"/>
  <c r="U28" i="15"/>
  <c r="T28" i="15"/>
  <c r="Y27" i="15"/>
  <c r="X27" i="15"/>
  <c r="W27" i="15"/>
  <c r="V27" i="15"/>
  <c r="U27" i="15"/>
  <c r="T27" i="15"/>
  <c r="Y26" i="15"/>
  <c r="X26" i="15"/>
  <c r="W26" i="15"/>
  <c r="V26" i="15"/>
  <c r="U26" i="15"/>
  <c r="T26" i="15"/>
  <c r="Y25" i="15"/>
  <c r="X25" i="15"/>
  <c r="W25" i="15"/>
  <c r="V25" i="15"/>
  <c r="U25" i="15"/>
  <c r="T25" i="15"/>
  <c r="Y24" i="15"/>
  <c r="X24" i="15"/>
  <c r="W24" i="15"/>
  <c r="V24" i="15"/>
  <c r="U24" i="15"/>
  <c r="T24" i="15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I40" i="15" l="1"/>
  <c r="N38" i="15"/>
  <c r="M38" i="15"/>
  <c r="E38" i="15"/>
  <c r="L38" i="15" s="1"/>
  <c r="E25" i="15"/>
  <c r="I25" i="15"/>
  <c r="K25" i="15"/>
  <c r="L25" i="15"/>
  <c r="M25" i="15"/>
  <c r="N25" i="15"/>
  <c r="E26" i="15"/>
  <c r="I26" i="15"/>
  <c r="K26" i="15"/>
  <c r="L26" i="15"/>
  <c r="M26" i="15"/>
  <c r="N26" i="15"/>
  <c r="E27" i="15"/>
  <c r="I27" i="15"/>
  <c r="K27" i="15"/>
  <c r="L27" i="15"/>
  <c r="M27" i="15"/>
  <c r="N27" i="15"/>
  <c r="E28" i="15"/>
  <c r="I28" i="15"/>
  <c r="K28" i="15"/>
  <c r="L28" i="15"/>
  <c r="M28" i="15"/>
  <c r="N28" i="15"/>
  <c r="E29" i="15"/>
  <c r="I29" i="15"/>
  <c r="K29" i="15"/>
  <c r="L29" i="15"/>
  <c r="M29" i="15"/>
  <c r="N29" i="15"/>
  <c r="E30" i="15"/>
  <c r="I30" i="15"/>
  <c r="K30" i="15"/>
  <c r="L30" i="15"/>
  <c r="M30" i="15"/>
  <c r="N30" i="15"/>
  <c r="E31" i="15"/>
  <c r="I31" i="15"/>
  <c r="K31" i="15"/>
  <c r="L31" i="15"/>
  <c r="M31" i="15"/>
  <c r="N31" i="15"/>
  <c r="E32" i="15"/>
  <c r="I32" i="15"/>
  <c r="K32" i="15"/>
  <c r="L32" i="15"/>
  <c r="M32" i="15"/>
  <c r="N32" i="15"/>
  <c r="E33" i="15"/>
  <c r="I33" i="15"/>
  <c r="K33" i="15"/>
  <c r="L33" i="15"/>
  <c r="M33" i="15"/>
  <c r="N33" i="15"/>
  <c r="E34" i="15"/>
  <c r="I34" i="15"/>
  <c r="K34" i="15"/>
  <c r="L34" i="15"/>
  <c r="M34" i="15"/>
  <c r="N34" i="15"/>
  <c r="E35" i="15"/>
  <c r="I35" i="15"/>
  <c r="K35" i="15"/>
  <c r="L35" i="15"/>
  <c r="M35" i="15"/>
  <c r="N35" i="15"/>
  <c r="E36" i="15"/>
  <c r="I36" i="15"/>
  <c r="K36" i="15"/>
  <c r="L36" i="15"/>
  <c r="M36" i="15"/>
  <c r="N36" i="15"/>
  <c r="E37" i="15"/>
  <c r="I37" i="15"/>
  <c r="K37" i="15"/>
  <c r="L37" i="15"/>
  <c r="M37" i="15"/>
  <c r="N37" i="15"/>
  <c r="E24" i="15"/>
  <c r="I24" i="15"/>
  <c r="K24" i="15"/>
  <c r="L24" i="15"/>
  <c r="M24" i="15"/>
  <c r="N24" i="15"/>
  <c r="D8" i="15"/>
  <c r="E8" i="15"/>
  <c r="L8" i="15"/>
  <c r="D9" i="15"/>
  <c r="K9" i="15" s="1"/>
  <c r="E9" i="15"/>
  <c r="L9" i="15"/>
  <c r="D10" i="15"/>
  <c r="K10" i="15" s="1"/>
  <c r="E10" i="15"/>
  <c r="L10" i="15" s="1"/>
  <c r="D11" i="15"/>
  <c r="E11" i="15"/>
  <c r="K11" i="15"/>
  <c r="L11" i="15"/>
  <c r="D12" i="15"/>
  <c r="E12" i="15"/>
  <c r="K12" i="15"/>
  <c r="L12" i="15"/>
  <c r="D13" i="15"/>
  <c r="E13" i="15"/>
  <c r="L13" i="15" s="1"/>
  <c r="D14" i="15"/>
  <c r="E14" i="15"/>
  <c r="L14" i="15" s="1"/>
  <c r="K14" i="15"/>
  <c r="D15" i="15"/>
  <c r="E15" i="15"/>
  <c r="L15" i="15" s="1"/>
  <c r="K15" i="15"/>
  <c r="D16" i="15"/>
  <c r="E16" i="15"/>
  <c r="L16" i="15"/>
  <c r="D17" i="15"/>
  <c r="K17" i="15" s="1"/>
  <c r="E17" i="15"/>
  <c r="L17" i="15"/>
  <c r="D18" i="15"/>
  <c r="K18" i="15" s="1"/>
  <c r="E18" i="15"/>
  <c r="L18" i="15" s="1"/>
  <c r="D19" i="15"/>
  <c r="E19" i="15"/>
  <c r="K19" i="15"/>
  <c r="L19" i="15"/>
  <c r="D20" i="15"/>
  <c r="E20" i="15"/>
  <c r="K20" i="15"/>
  <c r="L20" i="15"/>
  <c r="F3" i="7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3" i="3"/>
  <c r="L5" i="7"/>
  <c r="K16" i="15" l="1"/>
  <c r="K8" i="15"/>
  <c r="K13" i="15"/>
  <c r="M21" i="3" l="1"/>
  <c r="M22" i="3"/>
  <c r="M23" i="3"/>
  <c r="M24" i="3"/>
  <c r="M25" i="3"/>
  <c r="M26" i="3"/>
  <c r="M27" i="3"/>
  <c r="M28" i="3"/>
  <c r="M29" i="3"/>
  <c r="M30" i="3"/>
  <c r="M31" i="3"/>
  <c r="M32" i="3"/>
  <c r="M33" i="3"/>
  <c r="M20" i="3"/>
  <c r="J3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20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3" i="3"/>
  <c r="E23" i="3"/>
  <c r="E24" i="3" s="1"/>
  <c r="E25" i="3" s="1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3" i="3"/>
  <c r="M17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3" i="3"/>
  <c r="F32" i="6" l="1"/>
  <c r="C32" i="6"/>
  <c r="D32" i="6" s="1"/>
  <c r="B32" i="6"/>
  <c r="F31" i="6"/>
  <c r="C31" i="6"/>
  <c r="D31" i="6" s="1"/>
  <c r="B31" i="6"/>
  <c r="F30" i="6"/>
  <c r="C30" i="6"/>
  <c r="D30" i="6" s="1"/>
  <c r="B30" i="6"/>
  <c r="F29" i="6"/>
  <c r="C29" i="6"/>
  <c r="D29" i="6" s="1"/>
  <c r="B29" i="6"/>
  <c r="F28" i="6"/>
  <c r="C28" i="6"/>
  <c r="D28" i="6" s="1"/>
  <c r="B28" i="6"/>
  <c r="F27" i="6"/>
  <c r="C27" i="6"/>
  <c r="D27" i="6" s="1"/>
  <c r="B27" i="6"/>
  <c r="F26" i="6"/>
  <c r="C26" i="6"/>
  <c r="D26" i="6" s="1"/>
  <c r="B26" i="6"/>
  <c r="F25" i="6"/>
  <c r="C25" i="6"/>
  <c r="D25" i="6" s="1"/>
  <c r="B25" i="6"/>
  <c r="F24" i="6"/>
  <c r="C24" i="6"/>
  <c r="D24" i="6" s="1"/>
  <c r="B24" i="6"/>
  <c r="F23" i="6"/>
  <c r="C23" i="6"/>
  <c r="D23" i="6" s="1"/>
  <c r="B23" i="6"/>
  <c r="F22" i="6"/>
  <c r="C22" i="6"/>
  <c r="D22" i="6" s="1"/>
  <c r="B22" i="6"/>
  <c r="F21" i="6"/>
  <c r="C21" i="6"/>
  <c r="D21" i="6" s="1"/>
  <c r="B21" i="6"/>
  <c r="F20" i="6"/>
  <c r="E20" i="6"/>
  <c r="C20" i="6"/>
  <c r="D20" i="6" s="1"/>
  <c r="B20" i="6"/>
  <c r="F19" i="6"/>
  <c r="E19" i="6"/>
  <c r="D19" i="6"/>
  <c r="C19" i="6"/>
  <c r="B19" i="6"/>
  <c r="F17" i="6"/>
  <c r="C17" i="6"/>
  <c r="D17" i="6" s="1"/>
  <c r="B17" i="6"/>
  <c r="F16" i="6"/>
  <c r="C16" i="6"/>
  <c r="D16" i="6" s="1"/>
  <c r="B16" i="6"/>
  <c r="F15" i="6"/>
  <c r="C15" i="6"/>
  <c r="D15" i="6" s="1"/>
  <c r="B15" i="6"/>
  <c r="F14" i="6"/>
  <c r="C14" i="6"/>
  <c r="D14" i="6" s="1"/>
  <c r="B14" i="6"/>
  <c r="F13" i="6"/>
  <c r="C13" i="6"/>
  <c r="D13" i="6" s="1"/>
  <c r="B13" i="6"/>
  <c r="F12" i="6"/>
  <c r="C12" i="6"/>
  <c r="D12" i="6" s="1"/>
  <c r="B12" i="6"/>
  <c r="F11" i="6"/>
  <c r="C11" i="6"/>
  <c r="D11" i="6" s="1"/>
  <c r="B11" i="6"/>
  <c r="F10" i="6"/>
  <c r="C10" i="6"/>
  <c r="D10" i="6" s="1"/>
  <c r="B10" i="6"/>
  <c r="F9" i="6"/>
  <c r="C9" i="6"/>
  <c r="D9" i="6" s="1"/>
  <c r="B9" i="6"/>
  <c r="F8" i="6"/>
  <c r="C8" i="6"/>
  <c r="D8" i="6" s="1"/>
  <c r="B8" i="6"/>
  <c r="F7" i="6"/>
  <c r="C7" i="6"/>
  <c r="D7" i="6" s="1"/>
  <c r="B7" i="6"/>
  <c r="F6" i="6"/>
  <c r="D6" i="6"/>
  <c r="C6" i="6"/>
  <c r="B6" i="6"/>
  <c r="F5" i="6"/>
  <c r="E5" i="6"/>
  <c r="C5" i="6"/>
  <c r="D5" i="6" s="1"/>
  <c r="B5" i="6"/>
  <c r="F4" i="6"/>
  <c r="E4" i="6"/>
  <c r="C4" i="6"/>
  <c r="D4" i="6" s="1"/>
  <c r="C32" i="10"/>
  <c r="D32" i="10" s="1"/>
  <c r="C31" i="10"/>
  <c r="D31" i="10" s="1"/>
  <c r="C30" i="10"/>
  <c r="D30" i="10" s="1"/>
  <c r="C29" i="10"/>
  <c r="D29" i="10" s="1"/>
  <c r="C28" i="10"/>
  <c r="D28" i="10" s="1"/>
  <c r="C27" i="10"/>
  <c r="D27" i="10" s="1"/>
  <c r="C26" i="10"/>
  <c r="D26" i="10" s="1"/>
  <c r="C25" i="10"/>
  <c r="D25" i="10" s="1"/>
  <c r="C24" i="10"/>
  <c r="D24" i="10" s="1"/>
  <c r="C23" i="10"/>
  <c r="D23" i="10" s="1"/>
  <c r="C22" i="10"/>
  <c r="D22" i="10" s="1"/>
  <c r="C21" i="10"/>
  <c r="D21" i="10" s="1"/>
  <c r="E20" i="10"/>
  <c r="C20" i="10"/>
  <c r="D20" i="10" s="1"/>
  <c r="E19" i="10"/>
  <c r="C19" i="10"/>
  <c r="D19" i="10" s="1"/>
  <c r="C17" i="10"/>
  <c r="D17" i="10" s="1"/>
  <c r="D16" i="10"/>
  <c r="C16" i="10"/>
  <c r="C15" i="10"/>
  <c r="D15" i="10" s="1"/>
  <c r="C14" i="10"/>
  <c r="D14" i="10" s="1"/>
  <c r="C13" i="10"/>
  <c r="D13" i="10" s="1"/>
  <c r="C12" i="10"/>
  <c r="D12" i="10" s="1"/>
  <c r="C11" i="10"/>
  <c r="D11" i="10" s="1"/>
  <c r="C10" i="10"/>
  <c r="D10" i="10" s="1"/>
  <c r="C9" i="10"/>
  <c r="D9" i="10" s="1"/>
  <c r="C8" i="10"/>
  <c r="D8" i="10" s="1"/>
  <c r="C7" i="10"/>
  <c r="D7" i="10" s="1"/>
  <c r="C6" i="10"/>
  <c r="D6" i="10" s="1"/>
  <c r="E5" i="10"/>
  <c r="C5" i="10"/>
  <c r="D5" i="10" s="1"/>
  <c r="E4" i="10"/>
  <c r="C4" i="10"/>
  <c r="D4" i="10" s="1"/>
  <c r="E32" i="6"/>
  <c r="E32" i="10"/>
  <c r="E31" i="6"/>
  <c r="E31" i="10"/>
  <c r="E30" i="6"/>
  <c r="E30" i="10"/>
  <c r="E29" i="6"/>
  <c r="E29" i="10"/>
  <c r="E28" i="6"/>
  <c r="E28" i="10"/>
  <c r="E27" i="6"/>
  <c r="E27" i="10"/>
  <c r="E26" i="6"/>
  <c r="E26" i="10"/>
  <c r="E25" i="6"/>
  <c r="E25" i="10"/>
  <c r="E24" i="6"/>
  <c r="E24" i="10"/>
  <c r="E23" i="6"/>
  <c r="E23" i="10"/>
  <c r="E22" i="6"/>
  <c r="E22" i="10"/>
  <c r="E21" i="6"/>
  <c r="E21" i="10"/>
  <c r="E17" i="6"/>
  <c r="E17" i="10"/>
  <c r="E16" i="6"/>
  <c r="E16" i="10"/>
  <c r="E15" i="6"/>
  <c r="E15" i="10"/>
  <c r="E14" i="6"/>
  <c r="E14" i="10"/>
  <c r="E13" i="6"/>
  <c r="E13" i="10"/>
  <c r="E12" i="6"/>
  <c r="E12" i="10"/>
  <c r="E11" i="6"/>
  <c r="E11" i="10"/>
  <c r="E10" i="6"/>
  <c r="E10" i="10"/>
  <c r="E9" i="6"/>
  <c r="E9" i="10"/>
  <c r="E8" i="6"/>
  <c r="E8" i="10"/>
  <c r="E7" i="6"/>
  <c r="E7" i="10"/>
  <c r="E6" i="6"/>
  <c r="E6" i="10"/>
  <c r="E65" i="1"/>
  <c r="D65" i="1"/>
  <c r="C65" i="1"/>
  <c r="B65" i="1"/>
  <c r="H64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H60" i="1" s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H53" i="1" s="1"/>
  <c r="C53" i="1"/>
  <c r="B53" i="1"/>
  <c r="E52" i="1"/>
  <c r="D52" i="1"/>
  <c r="C52" i="1"/>
  <c r="B52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H43" i="1" s="1"/>
  <c r="C43" i="1"/>
  <c r="B43" i="1"/>
  <c r="E42" i="1"/>
  <c r="D42" i="1"/>
  <c r="C42" i="1"/>
  <c r="B42" i="1"/>
  <c r="E41" i="1"/>
  <c r="D41" i="1"/>
  <c r="H41" i="1" s="1"/>
  <c r="C41" i="1"/>
  <c r="B41" i="1"/>
  <c r="E40" i="1"/>
  <c r="D40" i="1"/>
  <c r="C40" i="1"/>
  <c r="B40" i="1"/>
  <c r="H39" i="1"/>
  <c r="E39" i="1"/>
  <c r="D39" i="1"/>
  <c r="C39" i="1"/>
  <c r="B39" i="1"/>
  <c r="E38" i="1"/>
  <c r="D38" i="1"/>
  <c r="C38" i="1"/>
  <c r="B38" i="1"/>
  <c r="E37" i="1"/>
  <c r="D37" i="1"/>
  <c r="C37" i="1"/>
  <c r="B37" i="1"/>
  <c r="G33" i="3"/>
  <c r="F33" i="3"/>
  <c r="G32" i="3"/>
  <c r="F32" i="3"/>
  <c r="G31" i="3"/>
  <c r="F31" i="3"/>
  <c r="G30" i="3"/>
  <c r="F30" i="3"/>
  <c r="G29" i="3"/>
  <c r="F29" i="3"/>
  <c r="G28" i="3"/>
  <c r="F28" i="3"/>
  <c r="G27" i="3"/>
  <c r="F27" i="3"/>
  <c r="J26" i="3"/>
  <c r="G26" i="3"/>
  <c r="F26" i="3"/>
  <c r="E26" i="3"/>
  <c r="E27" i="3" s="1"/>
  <c r="J25" i="3"/>
  <c r="G25" i="3"/>
  <c r="F25" i="3"/>
  <c r="J24" i="3"/>
  <c r="G24" i="3"/>
  <c r="F24" i="3"/>
  <c r="J23" i="3"/>
  <c r="G23" i="3"/>
  <c r="F23" i="3"/>
  <c r="J22" i="3"/>
  <c r="G22" i="3"/>
  <c r="F22" i="3"/>
  <c r="J21" i="3"/>
  <c r="G21" i="3"/>
  <c r="F21" i="3"/>
  <c r="J20" i="3"/>
  <c r="G20" i="3"/>
  <c r="F20" i="3"/>
  <c r="F16" i="3"/>
  <c r="F15" i="3"/>
  <c r="F14" i="3"/>
  <c r="F13" i="3"/>
  <c r="F12" i="3"/>
  <c r="F11" i="3"/>
  <c r="F10" i="3"/>
  <c r="F9" i="3"/>
  <c r="F8" i="3"/>
  <c r="F7" i="3"/>
  <c r="F6" i="3"/>
  <c r="E6" i="3"/>
  <c r="E7" i="3" s="1"/>
  <c r="J5" i="3"/>
  <c r="F5" i="3"/>
  <c r="J4" i="3"/>
  <c r="F4" i="3"/>
  <c r="F3" i="3"/>
  <c r="F35" i="2"/>
  <c r="B35" i="2"/>
  <c r="F34" i="2"/>
  <c r="G34" i="2" s="1"/>
  <c r="B34" i="2"/>
  <c r="F33" i="2"/>
  <c r="G33" i="2" s="1"/>
  <c r="B33" i="2"/>
  <c r="F32" i="2"/>
  <c r="G32" i="2" s="1"/>
  <c r="B32" i="2"/>
  <c r="F31" i="2"/>
  <c r="G31" i="2" s="1"/>
  <c r="B31" i="2"/>
  <c r="F30" i="2"/>
  <c r="G30" i="2" s="1"/>
  <c r="B30" i="2"/>
  <c r="F29" i="2"/>
  <c r="G29" i="2" s="1"/>
  <c r="B29" i="2"/>
  <c r="F28" i="2"/>
  <c r="G28" i="2" s="1"/>
  <c r="B28" i="2"/>
  <c r="F27" i="2"/>
  <c r="G27" i="2" s="1"/>
  <c r="B27" i="2"/>
  <c r="F26" i="2"/>
  <c r="G26" i="2" s="1"/>
  <c r="B26" i="2"/>
  <c r="F25" i="2"/>
  <c r="G25" i="2" s="1"/>
  <c r="B25" i="2"/>
  <c r="F24" i="2"/>
  <c r="G24" i="2" s="1"/>
  <c r="B24" i="2"/>
  <c r="F23" i="2"/>
  <c r="G23" i="2" s="1"/>
  <c r="B23" i="2"/>
  <c r="F22" i="2"/>
  <c r="G22" i="2" s="1"/>
  <c r="B22" i="2"/>
  <c r="F18" i="2"/>
  <c r="B18" i="2"/>
  <c r="F17" i="2"/>
  <c r="B17" i="2"/>
  <c r="F16" i="2"/>
  <c r="G16" i="2" s="1"/>
  <c r="B16" i="2"/>
  <c r="F15" i="2"/>
  <c r="G15" i="2" s="1"/>
  <c r="B15" i="2"/>
  <c r="F14" i="2"/>
  <c r="G14" i="2" s="1"/>
  <c r="B14" i="2"/>
  <c r="F13" i="2"/>
  <c r="G13" i="2" s="1"/>
  <c r="B13" i="2"/>
  <c r="F12" i="2"/>
  <c r="G12" i="2" s="1"/>
  <c r="B12" i="2"/>
  <c r="F11" i="2"/>
  <c r="G11" i="2" s="1"/>
  <c r="B11" i="2"/>
  <c r="F10" i="2"/>
  <c r="G10" i="2" s="1"/>
  <c r="B10" i="2"/>
  <c r="F9" i="2"/>
  <c r="G9" i="2" s="1"/>
  <c r="B9" i="2"/>
  <c r="F8" i="2"/>
  <c r="G8" i="2" s="1"/>
  <c r="B8" i="2"/>
  <c r="F7" i="2"/>
  <c r="G7" i="2" s="1"/>
  <c r="B7" i="2"/>
  <c r="F6" i="2"/>
  <c r="G6" i="2" s="1"/>
  <c r="B6" i="2"/>
  <c r="F5" i="2"/>
  <c r="G5" i="2" s="1"/>
  <c r="B5" i="2"/>
  <c r="AJ37" i="15"/>
  <c r="AI37" i="15"/>
  <c r="AF37" i="15"/>
  <c r="AE37" i="15"/>
  <c r="Y37" i="15"/>
  <c r="AH37" i="15" s="1"/>
  <c r="X37" i="15"/>
  <c r="AG37" i="15" s="1"/>
  <c r="W37" i="15"/>
  <c r="V37" i="15"/>
  <c r="U37" i="15"/>
  <c r="AD37" i="15" s="1"/>
  <c r="T37" i="15"/>
  <c r="AC37" i="15" s="1"/>
  <c r="AJ36" i="15"/>
  <c r="AI36" i="15"/>
  <c r="AD36" i="15"/>
  <c r="AC36" i="15"/>
  <c r="Y36" i="15"/>
  <c r="AH36" i="15" s="1"/>
  <c r="X36" i="15"/>
  <c r="AG36" i="15" s="1"/>
  <c r="W36" i="15"/>
  <c r="AF36" i="15" s="1"/>
  <c r="V36" i="15"/>
  <c r="AE36" i="15" s="1"/>
  <c r="U36" i="15"/>
  <c r="T36" i="15"/>
  <c r="AJ35" i="15"/>
  <c r="AI35" i="15"/>
  <c r="AF35" i="15"/>
  <c r="AE35" i="15"/>
  <c r="Y35" i="15"/>
  <c r="AH35" i="15" s="1"/>
  <c r="X35" i="15"/>
  <c r="AG35" i="15" s="1"/>
  <c r="W35" i="15"/>
  <c r="V35" i="15"/>
  <c r="U35" i="15"/>
  <c r="AD35" i="15" s="1"/>
  <c r="T35" i="15"/>
  <c r="AC35" i="15" s="1"/>
  <c r="AJ34" i="15"/>
  <c r="AI34" i="15"/>
  <c r="AG34" i="15"/>
  <c r="AF34" i="15"/>
  <c r="AC34" i="15"/>
  <c r="Y34" i="15"/>
  <c r="AH34" i="15" s="1"/>
  <c r="X34" i="15"/>
  <c r="W34" i="15"/>
  <c r="V34" i="15"/>
  <c r="AE34" i="15" s="1"/>
  <c r="U34" i="15"/>
  <c r="AD34" i="15" s="1"/>
  <c r="T34" i="15"/>
  <c r="AD33" i="15"/>
  <c r="AC33" i="15"/>
  <c r="AH33" i="15"/>
  <c r="AG33" i="15"/>
  <c r="AF33" i="15"/>
  <c r="AE33" i="15"/>
  <c r="AH32" i="15"/>
  <c r="AG32" i="15"/>
  <c r="AF32" i="15"/>
  <c r="AE32" i="15"/>
  <c r="AD32" i="15"/>
  <c r="AC32" i="15"/>
  <c r="AG31" i="15"/>
  <c r="AF31" i="15"/>
  <c r="AH31" i="15"/>
  <c r="AE31" i="15"/>
  <c r="AD31" i="15"/>
  <c r="AC31" i="15"/>
  <c r="AG30" i="15"/>
  <c r="AF30" i="15"/>
  <c r="AH30" i="15"/>
  <c r="AE30" i="15"/>
  <c r="AD30" i="15"/>
  <c r="AC30" i="15"/>
  <c r="AC29" i="15"/>
  <c r="AH29" i="15"/>
  <c r="AG29" i="15"/>
  <c r="AF29" i="15"/>
  <c r="AE29" i="15"/>
  <c r="AD29" i="15"/>
  <c r="AC28" i="15"/>
  <c r="AH28" i="15"/>
  <c r="AG28" i="15"/>
  <c r="AF28" i="15"/>
  <c r="AE28" i="15"/>
  <c r="AD28" i="15"/>
  <c r="AH27" i="15"/>
  <c r="AG27" i="15"/>
  <c r="AF27" i="15"/>
  <c r="AE27" i="15"/>
  <c r="AD27" i="15"/>
  <c r="AC27" i="15"/>
  <c r="AH26" i="15"/>
  <c r="AG26" i="15"/>
  <c r="AF26" i="15"/>
  <c r="AE26" i="15"/>
  <c r="AD26" i="15"/>
  <c r="AC26" i="15"/>
  <c r="AH25" i="15"/>
  <c r="AG25" i="15"/>
  <c r="AF25" i="15"/>
  <c r="AE25" i="15"/>
  <c r="AD25" i="15"/>
  <c r="AC25" i="15"/>
  <c r="AF24" i="15"/>
  <c r="AF38" i="15" s="1"/>
  <c r="AE24" i="15"/>
  <c r="AE38" i="15" s="1"/>
  <c r="AH24" i="15"/>
  <c r="AH38" i="15" s="1"/>
  <c r="AG24" i="15"/>
  <c r="AG38" i="15" s="1"/>
  <c r="W38" i="15"/>
  <c r="V38" i="15"/>
  <c r="U38" i="15"/>
  <c r="AC24" i="15"/>
  <c r="AC38" i="15" s="1"/>
  <c r="AJ20" i="15"/>
  <c r="AI20" i="15"/>
  <c r="AF20" i="15"/>
  <c r="AC20" i="15"/>
  <c r="Y20" i="15"/>
  <c r="AH20" i="15" s="1"/>
  <c r="X20" i="15"/>
  <c r="AG20" i="15" s="1"/>
  <c r="W20" i="15"/>
  <c r="V20" i="15"/>
  <c r="AE20" i="15" s="1"/>
  <c r="U20" i="15"/>
  <c r="AD20" i="15" s="1"/>
  <c r="T20" i="15"/>
  <c r="AJ19" i="15"/>
  <c r="AI19" i="15"/>
  <c r="AD19" i="15"/>
  <c r="AC19" i="15"/>
  <c r="Y19" i="15"/>
  <c r="AH19" i="15" s="1"/>
  <c r="X19" i="15"/>
  <c r="AG19" i="15" s="1"/>
  <c r="W19" i="15"/>
  <c r="AF19" i="15" s="1"/>
  <c r="V19" i="15"/>
  <c r="AE19" i="15" s="1"/>
  <c r="U19" i="15"/>
  <c r="T19" i="15"/>
  <c r="AJ18" i="15"/>
  <c r="AI18" i="15"/>
  <c r="AE18" i="15"/>
  <c r="AD18" i="15"/>
  <c r="Y18" i="15"/>
  <c r="AH18" i="15" s="1"/>
  <c r="X18" i="15"/>
  <c r="AG18" i="15" s="1"/>
  <c r="W18" i="15"/>
  <c r="AF18" i="15" s="1"/>
  <c r="V18" i="15"/>
  <c r="U18" i="15"/>
  <c r="T18" i="15"/>
  <c r="AC18" i="15" s="1"/>
  <c r="AJ17" i="15"/>
  <c r="AI17" i="15"/>
  <c r="AG17" i="15"/>
  <c r="AD17" i="15"/>
  <c r="Y17" i="15"/>
  <c r="AH17" i="15" s="1"/>
  <c r="X17" i="15"/>
  <c r="W17" i="15"/>
  <c r="AF17" i="15" s="1"/>
  <c r="V17" i="15"/>
  <c r="AE17" i="15" s="1"/>
  <c r="U17" i="15"/>
  <c r="T17" i="15"/>
  <c r="AC17" i="15" s="1"/>
  <c r="Y16" i="15"/>
  <c r="AH16" i="15" s="1"/>
  <c r="X16" i="15"/>
  <c r="AG16" i="15" s="1"/>
  <c r="W16" i="15"/>
  <c r="AF16" i="15" s="1"/>
  <c r="V16" i="15"/>
  <c r="AE16" i="15" s="1"/>
  <c r="U16" i="15"/>
  <c r="AD16" i="15" s="1"/>
  <c r="T16" i="15"/>
  <c r="AC16" i="15" s="1"/>
  <c r="Y15" i="15"/>
  <c r="AH15" i="15" s="1"/>
  <c r="X15" i="15"/>
  <c r="AG15" i="15" s="1"/>
  <c r="W15" i="15"/>
  <c r="AF15" i="15" s="1"/>
  <c r="V15" i="15"/>
  <c r="AE15" i="15" s="1"/>
  <c r="U15" i="15"/>
  <c r="AD15" i="15" s="1"/>
  <c r="T15" i="15"/>
  <c r="AC15" i="15" s="1"/>
  <c r="Y14" i="15"/>
  <c r="AH14" i="15" s="1"/>
  <c r="X14" i="15"/>
  <c r="AG14" i="15" s="1"/>
  <c r="W14" i="15"/>
  <c r="AF14" i="15" s="1"/>
  <c r="V14" i="15"/>
  <c r="AE14" i="15" s="1"/>
  <c r="U14" i="15"/>
  <c r="AD14" i="15" s="1"/>
  <c r="T14" i="15"/>
  <c r="AC14" i="15" s="1"/>
  <c r="Y13" i="15"/>
  <c r="AH13" i="15" s="1"/>
  <c r="X13" i="15"/>
  <c r="AG13" i="15" s="1"/>
  <c r="W13" i="15"/>
  <c r="AF13" i="15" s="1"/>
  <c r="V13" i="15"/>
  <c r="AE13" i="15" s="1"/>
  <c r="U13" i="15"/>
  <c r="AD13" i="15" s="1"/>
  <c r="T13" i="15"/>
  <c r="AC13" i="15" s="1"/>
  <c r="AG12" i="15"/>
  <c r="Y12" i="15"/>
  <c r="AH12" i="15" s="1"/>
  <c r="X12" i="15"/>
  <c r="W12" i="15"/>
  <c r="AF12" i="15" s="1"/>
  <c r="V12" i="15"/>
  <c r="AE12" i="15" s="1"/>
  <c r="U12" i="15"/>
  <c r="AD12" i="15" s="1"/>
  <c r="T12" i="15"/>
  <c r="AC12" i="15" s="1"/>
  <c r="AG11" i="15"/>
  <c r="Y11" i="15"/>
  <c r="AH11" i="15" s="1"/>
  <c r="X11" i="15"/>
  <c r="W11" i="15"/>
  <c r="AF11" i="15" s="1"/>
  <c r="V11" i="15"/>
  <c r="AE11" i="15" s="1"/>
  <c r="U11" i="15"/>
  <c r="AD11" i="15" s="1"/>
  <c r="T11" i="15"/>
  <c r="AC11" i="15" s="1"/>
  <c r="AF10" i="15"/>
  <c r="AC10" i="15"/>
  <c r="Y10" i="15"/>
  <c r="AH10" i="15" s="1"/>
  <c r="X10" i="15"/>
  <c r="AG10" i="15" s="1"/>
  <c r="W10" i="15"/>
  <c r="V10" i="15"/>
  <c r="AE10" i="15" s="1"/>
  <c r="U10" i="15"/>
  <c r="AD10" i="15" s="1"/>
  <c r="T10" i="15"/>
  <c r="AF9" i="15"/>
  <c r="AC9" i="15"/>
  <c r="Y9" i="15"/>
  <c r="AH9" i="15" s="1"/>
  <c r="X9" i="15"/>
  <c r="AG9" i="15" s="1"/>
  <c r="W9" i="15"/>
  <c r="V9" i="15"/>
  <c r="AE9" i="15" s="1"/>
  <c r="U9" i="15"/>
  <c r="AD9" i="15" s="1"/>
  <c r="T9" i="15"/>
  <c r="Y8" i="15"/>
  <c r="AH8" i="15" s="1"/>
  <c r="X8" i="15"/>
  <c r="AG8" i="15" s="1"/>
  <c r="W8" i="15"/>
  <c r="AF8" i="15" s="1"/>
  <c r="V8" i="15"/>
  <c r="AE8" i="15" s="1"/>
  <c r="U8" i="15"/>
  <c r="AD8" i="15" s="1"/>
  <c r="T8" i="15"/>
  <c r="AC8" i="15" s="1"/>
  <c r="Y7" i="15"/>
  <c r="AH7" i="15" s="1"/>
  <c r="AH21" i="15" s="1"/>
  <c r="X7" i="15"/>
  <c r="AG7" i="15" s="1"/>
  <c r="AG21" i="15" s="1"/>
  <c r="W7" i="15"/>
  <c r="W21" i="15" s="1"/>
  <c r="V7" i="15"/>
  <c r="V21" i="15" s="1"/>
  <c r="V40" i="15" s="1"/>
  <c r="V4" i="15" s="1"/>
  <c r="U7" i="15"/>
  <c r="AD7" i="15" s="1"/>
  <c r="AD21" i="15" s="1"/>
  <c r="T7" i="15"/>
  <c r="AC7" i="15" s="1"/>
  <c r="AC21" i="15" s="1"/>
  <c r="E7" i="15"/>
  <c r="E21" i="15" s="1"/>
  <c r="D7" i="15"/>
  <c r="D21" i="15" s="1"/>
  <c r="F38" i="1" l="1"/>
  <c r="J38" i="1" s="1"/>
  <c r="I38" i="1" s="1"/>
  <c r="AW38" i="1" s="1"/>
  <c r="AN71" i="1" s="1"/>
  <c r="H40" i="1"/>
  <c r="G40" i="1" s="1"/>
  <c r="W40" i="1" s="1"/>
  <c r="N73" i="1" s="1"/>
  <c r="H42" i="1"/>
  <c r="H46" i="1"/>
  <c r="G46" i="1" s="1"/>
  <c r="H48" i="1"/>
  <c r="G48" i="1" s="1"/>
  <c r="L48" i="1" s="1"/>
  <c r="C81" i="1" s="1"/>
  <c r="H38" i="1"/>
  <c r="G38" i="1" s="1"/>
  <c r="J7" i="3"/>
  <c r="E8" i="3"/>
  <c r="J6" i="3"/>
  <c r="E28" i="3"/>
  <c r="J27" i="3"/>
  <c r="F42" i="1"/>
  <c r="J42" i="1" s="1"/>
  <c r="I42" i="1" s="1"/>
  <c r="H65" i="1"/>
  <c r="G65" i="1" s="1"/>
  <c r="F65" i="1"/>
  <c r="J65" i="1" s="1"/>
  <c r="I65" i="1" s="1"/>
  <c r="AO65" i="1" s="1"/>
  <c r="AF98" i="1" s="1"/>
  <c r="H63" i="1"/>
  <c r="H44" i="1"/>
  <c r="G44" i="1" s="1"/>
  <c r="H50" i="1"/>
  <c r="G50" i="1" s="1"/>
  <c r="G53" i="1"/>
  <c r="X53" i="1" s="1"/>
  <c r="O86" i="1" s="1"/>
  <c r="F62" i="1"/>
  <c r="J62" i="1" s="1"/>
  <c r="I62" i="1" s="1"/>
  <c r="BF62" i="1" s="1"/>
  <c r="AW95" i="1" s="1"/>
  <c r="G39" i="1"/>
  <c r="AH39" i="1" s="1"/>
  <c r="Y72" i="1" s="1"/>
  <c r="H55" i="1"/>
  <c r="H57" i="1"/>
  <c r="G57" i="1" s="1"/>
  <c r="H59" i="1"/>
  <c r="H37" i="1"/>
  <c r="G37" i="1" s="1"/>
  <c r="G43" i="1"/>
  <c r="Z43" i="1" s="1"/>
  <c r="Q76" i="1" s="1"/>
  <c r="F59" i="1"/>
  <c r="J59" i="1" s="1"/>
  <c r="I59" i="1" s="1"/>
  <c r="AR59" i="1" s="1"/>
  <c r="AI92" i="1" s="1"/>
  <c r="H61" i="1"/>
  <c r="G61" i="1" s="1"/>
  <c r="AA61" i="1" s="1"/>
  <c r="R94" i="1" s="1"/>
  <c r="R95" i="10" s="1"/>
  <c r="H45" i="1"/>
  <c r="G45" i="1" s="1"/>
  <c r="AH45" i="1" s="1"/>
  <c r="Y78" i="1" s="1"/>
  <c r="H47" i="1"/>
  <c r="G47" i="1" s="1"/>
  <c r="H49" i="1"/>
  <c r="G49" i="1" s="1"/>
  <c r="H52" i="1"/>
  <c r="G52" i="1" s="1"/>
  <c r="G60" i="1"/>
  <c r="N60" i="1" s="1"/>
  <c r="E93" i="1" s="1"/>
  <c r="F47" i="1"/>
  <c r="J47" i="1" s="1"/>
  <c r="I47" i="1" s="1"/>
  <c r="H54" i="1"/>
  <c r="H56" i="1"/>
  <c r="G56" i="1" s="1"/>
  <c r="Z56" i="1" s="1"/>
  <c r="Q89" i="1" s="1"/>
  <c r="Q90" i="6" s="1"/>
  <c r="H58" i="1"/>
  <c r="G58" i="1" s="1"/>
  <c r="G64" i="1"/>
  <c r="AB64" i="1" s="1"/>
  <c r="S97" i="1" s="1"/>
  <c r="F54" i="1"/>
  <c r="J54" i="1" s="1"/>
  <c r="I54" i="1" s="1"/>
  <c r="AQ54" i="1" s="1"/>
  <c r="AH87" i="1" s="1"/>
  <c r="F58" i="1"/>
  <c r="J58" i="1" s="1"/>
  <c r="I58" i="1" s="1"/>
  <c r="H62" i="1"/>
  <c r="G62" i="1" s="1"/>
  <c r="B33" i="10"/>
  <c r="AH40" i="15"/>
  <c r="AH4" i="15" s="1"/>
  <c r="AE7" i="15"/>
  <c r="AE21" i="15" s="1"/>
  <c r="AE40" i="15" s="1"/>
  <c r="AE4" i="15" s="1"/>
  <c r="AF7" i="15"/>
  <c r="AF21" i="15" s="1"/>
  <c r="AF40" i="15" s="1"/>
  <c r="AF4" i="15" s="1"/>
  <c r="Y21" i="15"/>
  <c r="X38" i="15"/>
  <c r="Y38" i="15"/>
  <c r="K21" i="15"/>
  <c r="AC40" i="15"/>
  <c r="AC4" i="15" s="1"/>
  <c r="L21" i="15"/>
  <c r="W40" i="15"/>
  <c r="W4" i="15" s="1"/>
  <c r="AG40" i="15"/>
  <c r="AG4" i="15" s="1"/>
  <c r="U21" i="15"/>
  <c r="U40" i="15" s="1"/>
  <c r="U4" i="15" s="1"/>
  <c r="T38" i="15"/>
  <c r="K7" i="15"/>
  <c r="L7" i="15"/>
  <c r="X21" i="15"/>
  <c r="X40" i="15" s="1"/>
  <c r="X4" i="15" s="1"/>
  <c r="AD24" i="15"/>
  <c r="AD38" i="15" s="1"/>
  <c r="AD40" i="15" s="1"/>
  <c r="AD4" i="15" s="1"/>
  <c r="E40" i="15"/>
  <c r="T21" i="15"/>
  <c r="T40" i="15" s="1"/>
  <c r="T4" i="15" s="1"/>
  <c r="G54" i="1"/>
  <c r="X54" i="1" s="1"/>
  <c r="O87" i="1" s="1"/>
  <c r="AH56" i="1"/>
  <c r="Y89" i="1" s="1"/>
  <c r="Y90" i="10" s="1"/>
  <c r="T39" i="1"/>
  <c r="K72" i="1" s="1"/>
  <c r="K73" i="10" s="1"/>
  <c r="G42" i="1"/>
  <c r="Y42" i="1" s="1"/>
  <c r="P75" i="1" s="1"/>
  <c r="R46" i="1"/>
  <c r="I79" i="1" s="1"/>
  <c r="I80" i="6" s="1"/>
  <c r="AI53" i="1"/>
  <c r="Z86" i="1" s="1"/>
  <c r="Z87" i="10" s="1"/>
  <c r="G55" i="1"/>
  <c r="S55" i="1" s="1"/>
  <c r="J88" i="1" s="1"/>
  <c r="J89" i="10" s="1"/>
  <c r="G59" i="1"/>
  <c r="AH61" i="1"/>
  <c r="Y94" i="1" s="1"/>
  <c r="Y95" i="6" s="1"/>
  <c r="G41" i="1"/>
  <c r="AH41" i="1" s="1"/>
  <c r="Y74" i="1" s="1"/>
  <c r="Y75" i="10" s="1"/>
  <c r="W43" i="1"/>
  <c r="N76" i="1" s="1"/>
  <c r="N77" i="6" s="1"/>
  <c r="P43" i="1"/>
  <c r="G76" i="1" s="1"/>
  <c r="G77" i="10" s="1"/>
  <c r="K39" i="1"/>
  <c r="B72" i="1" s="1"/>
  <c r="B73" i="10" s="1"/>
  <c r="V39" i="1"/>
  <c r="M72" i="1" s="1"/>
  <c r="M73" i="10" s="1"/>
  <c r="AF39" i="1"/>
  <c r="W72" i="1" s="1"/>
  <c r="W73" i="10" s="1"/>
  <c r="AH42" i="1"/>
  <c r="Y75" i="1" s="1"/>
  <c r="Y76" i="6" s="1"/>
  <c r="K43" i="1"/>
  <c r="B76" i="1" s="1"/>
  <c r="B77" i="10" s="1"/>
  <c r="X43" i="1"/>
  <c r="O76" i="1" s="1"/>
  <c r="O77" i="10" s="1"/>
  <c r="Z46" i="1"/>
  <c r="Q79" i="1" s="1"/>
  <c r="F52" i="1"/>
  <c r="J52" i="1" s="1"/>
  <c r="I52" i="1" s="1"/>
  <c r="W56" i="1"/>
  <c r="N89" i="1" s="1"/>
  <c r="N90" i="6" s="1"/>
  <c r="R61" i="1"/>
  <c r="I94" i="1" s="1"/>
  <c r="I95" i="6" s="1"/>
  <c r="L39" i="1"/>
  <c r="C72" i="1" s="1"/>
  <c r="C73" i="6" s="1"/>
  <c r="W39" i="1"/>
  <c r="N72" i="1" s="1"/>
  <c r="AI42" i="1"/>
  <c r="Z75" i="1" s="1"/>
  <c r="Z76" i="10" s="1"/>
  <c r="F44" i="1"/>
  <c r="J44" i="1" s="1"/>
  <c r="I44" i="1" s="1"/>
  <c r="AU44" i="1" s="1"/>
  <c r="AL77" i="1" s="1"/>
  <c r="AA46" i="1"/>
  <c r="R79" i="1" s="1"/>
  <c r="F50" i="1"/>
  <c r="J50" i="1" s="1"/>
  <c r="I50" i="1" s="1"/>
  <c r="K56" i="1"/>
  <c r="B89" i="1" s="1"/>
  <c r="B90" i="10" s="1"/>
  <c r="S61" i="1"/>
  <c r="J94" i="1" s="1"/>
  <c r="F63" i="1"/>
  <c r="J63" i="1" s="1"/>
  <c r="I63" i="1" s="1"/>
  <c r="AG39" i="1"/>
  <c r="X72" i="1" s="1"/>
  <c r="X73" i="10" s="1"/>
  <c r="N39" i="1"/>
  <c r="E72" i="1" s="1"/>
  <c r="E73" i="10" s="1"/>
  <c r="X39" i="1"/>
  <c r="O72" i="1" s="1"/>
  <c r="O73" i="10" s="1"/>
  <c r="AI39" i="1"/>
  <c r="Z72" i="1" s="1"/>
  <c r="Z73" i="6" s="1"/>
  <c r="AA43" i="1"/>
  <c r="R76" i="1" s="1"/>
  <c r="R77" i="10" s="1"/>
  <c r="F46" i="1"/>
  <c r="J46" i="1" s="1"/>
  <c r="I46" i="1" s="1"/>
  <c r="BF46" i="1" s="1"/>
  <c r="AW79" i="1" s="1"/>
  <c r="AH46" i="1"/>
  <c r="Y79" i="1" s="1"/>
  <c r="L56" i="1"/>
  <c r="C89" i="1" s="1"/>
  <c r="C90" i="6" s="1"/>
  <c r="F61" i="1"/>
  <c r="J61" i="1" s="1"/>
  <c r="I61" i="1" s="1"/>
  <c r="AK61" i="1" s="1"/>
  <c r="AB94" i="1" s="1"/>
  <c r="Y61" i="1"/>
  <c r="P94" i="1" s="1"/>
  <c r="P95" i="10" s="1"/>
  <c r="G63" i="1"/>
  <c r="T63" i="1" s="1"/>
  <c r="K96" i="1" s="1"/>
  <c r="K97" i="10" s="1"/>
  <c r="AH64" i="1"/>
  <c r="Y97" i="1" s="1"/>
  <c r="Y98" i="6" s="1"/>
  <c r="O39" i="1"/>
  <c r="F72" i="1" s="1"/>
  <c r="F73" i="6" s="1"/>
  <c r="Z39" i="1"/>
  <c r="Q72" i="1" s="1"/>
  <c r="Q73" i="10" s="1"/>
  <c r="AI46" i="1"/>
  <c r="Z79" i="1" s="1"/>
  <c r="Z80" i="6" s="1"/>
  <c r="AF56" i="1"/>
  <c r="W89" i="1" s="1"/>
  <c r="W90" i="10" s="1"/>
  <c r="O56" i="1"/>
  <c r="F89" i="1" s="1"/>
  <c r="F90" i="6" s="1"/>
  <c r="AA56" i="1"/>
  <c r="R89" i="1" s="1"/>
  <c r="R90" i="10" s="1"/>
  <c r="Z61" i="1"/>
  <c r="Q94" i="1" s="1"/>
  <c r="Q95" i="10" s="1"/>
  <c r="P39" i="1"/>
  <c r="G72" i="1" s="1"/>
  <c r="G73" i="10" s="1"/>
  <c r="AA39" i="1"/>
  <c r="R72" i="1" s="1"/>
  <c r="R73" i="10" s="1"/>
  <c r="Q56" i="1"/>
  <c r="H89" i="1" s="1"/>
  <c r="H90" i="10" s="1"/>
  <c r="F57" i="1"/>
  <c r="J57" i="1" s="1"/>
  <c r="I57" i="1" s="1"/>
  <c r="AV57" i="1" s="1"/>
  <c r="AM90" i="1" s="1"/>
  <c r="U59" i="1"/>
  <c r="L92" i="1" s="1"/>
  <c r="L93" i="10" s="1"/>
  <c r="AA60" i="1"/>
  <c r="R93" i="1" s="1"/>
  <c r="R94" i="6" s="1"/>
  <c r="K63" i="1"/>
  <c r="B96" i="1" s="1"/>
  <c r="B97" i="6" s="1"/>
  <c r="F39" i="1"/>
  <c r="J39" i="1" s="1"/>
  <c r="I39" i="1" s="1"/>
  <c r="R39" i="1"/>
  <c r="I72" i="1" s="1"/>
  <c r="I73" i="6" s="1"/>
  <c r="AB39" i="1"/>
  <c r="S72" i="1" s="1"/>
  <c r="S73" i="10" s="1"/>
  <c r="F43" i="1"/>
  <c r="J43" i="1" s="1"/>
  <c r="I43" i="1" s="1"/>
  <c r="AQ43" i="1" s="1"/>
  <c r="AH76" i="1" s="1"/>
  <c r="S43" i="1"/>
  <c r="J76" i="1" s="1"/>
  <c r="J77" i="10" s="1"/>
  <c r="AG45" i="1"/>
  <c r="X78" i="1" s="1"/>
  <c r="X79" i="6" s="1"/>
  <c r="K46" i="1"/>
  <c r="B79" i="1" s="1"/>
  <c r="F53" i="1"/>
  <c r="J53" i="1" s="1"/>
  <c r="I53" i="1" s="1"/>
  <c r="AE56" i="1"/>
  <c r="V89" i="1" s="1"/>
  <c r="V90" i="10" s="1"/>
  <c r="F60" i="1"/>
  <c r="J60" i="1" s="1"/>
  <c r="I60" i="1" s="1"/>
  <c r="BC60" i="1" s="1"/>
  <c r="AT93" i="1" s="1"/>
  <c r="AD60" i="1"/>
  <c r="U93" i="1" s="1"/>
  <c r="U94" i="10" s="1"/>
  <c r="AG61" i="1"/>
  <c r="X94" i="1" s="1"/>
  <c r="X95" i="6" s="1"/>
  <c r="S39" i="1"/>
  <c r="J72" i="1" s="1"/>
  <c r="J73" i="10" s="1"/>
  <c r="AD39" i="1"/>
  <c r="U72" i="1" s="1"/>
  <c r="U73" i="6" s="1"/>
  <c r="F45" i="1"/>
  <c r="J45" i="1" s="1"/>
  <c r="I45" i="1" s="1"/>
  <c r="AS45" i="1" s="1"/>
  <c r="AJ78" i="1" s="1"/>
  <c r="R53" i="1"/>
  <c r="I86" i="1" s="1"/>
  <c r="I87" i="6" s="1"/>
  <c r="S56" i="1"/>
  <c r="J89" i="1" s="1"/>
  <c r="J90" i="10" s="1"/>
  <c r="AG56" i="1"/>
  <c r="X89" i="1" s="1"/>
  <c r="X90" i="6" s="1"/>
  <c r="L61" i="1"/>
  <c r="C94" i="1" s="1"/>
  <c r="C95" i="6" s="1"/>
  <c r="AG63" i="1"/>
  <c r="X96" i="1" s="1"/>
  <c r="X97" i="6" s="1"/>
  <c r="AG46" i="1"/>
  <c r="X79" i="1" s="1"/>
  <c r="X80" i="6" s="1"/>
  <c r="S46" i="1"/>
  <c r="J79" i="1" s="1"/>
  <c r="AE61" i="1"/>
  <c r="V94" i="1" s="1"/>
  <c r="V95" i="10" s="1"/>
  <c r="AI61" i="1"/>
  <c r="Z94" i="1" s="1"/>
  <c r="Z95" i="6" s="1"/>
  <c r="I95" i="10"/>
  <c r="J95" i="10"/>
  <c r="J95" i="6"/>
  <c r="P95" i="6"/>
  <c r="Y98" i="10"/>
  <c r="V95" i="6"/>
  <c r="Z95" i="10"/>
  <c r="P61" i="1"/>
  <c r="G94" i="1" s="1"/>
  <c r="X61" i="1"/>
  <c r="O94" i="1" s="1"/>
  <c r="AF61" i="1"/>
  <c r="W94" i="1" s="1"/>
  <c r="AH63" i="1"/>
  <c r="Y96" i="1" s="1"/>
  <c r="K64" i="1"/>
  <c r="B97" i="1" s="1"/>
  <c r="AB63" i="1"/>
  <c r="S96" i="1" s="1"/>
  <c r="AC64" i="1"/>
  <c r="T97" i="1" s="1"/>
  <c r="M63" i="1"/>
  <c r="D96" i="1" s="1"/>
  <c r="U63" i="1"/>
  <c r="L96" i="1" s="1"/>
  <c r="V64" i="1"/>
  <c r="M97" i="1" s="1"/>
  <c r="T61" i="1"/>
  <c r="K94" i="1" s="1"/>
  <c r="AB61" i="1"/>
  <c r="S94" i="1" s="1"/>
  <c r="N63" i="1"/>
  <c r="E96" i="1" s="1"/>
  <c r="AD63" i="1"/>
  <c r="U96" i="1" s="1"/>
  <c r="W64" i="1"/>
  <c r="N97" i="1" s="1"/>
  <c r="M61" i="1"/>
  <c r="D94" i="1" s="1"/>
  <c r="U61" i="1"/>
  <c r="L94" i="1" s="1"/>
  <c r="AC61" i="1"/>
  <c r="T94" i="1" s="1"/>
  <c r="O63" i="1"/>
  <c r="F96" i="1" s="1"/>
  <c r="P64" i="1"/>
  <c r="G97" i="1" s="1"/>
  <c r="N61" i="1"/>
  <c r="E94" i="1" s="1"/>
  <c r="V61" i="1"/>
  <c r="M94" i="1" s="1"/>
  <c r="AD61" i="1"/>
  <c r="U94" i="1" s="1"/>
  <c r="P63" i="1"/>
  <c r="G96" i="1" s="1"/>
  <c r="X63" i="1"/>
  <c r="O96" i="1" s="1"/>
  <c r="AF63" i="1"/>
  <c r="W96" i="1" s="1"/>
  <c r="AG64" i="1"/>
  <c r="X97" i="1" s="1"/>
  <c r="O61" i="1"/>
  <c r="F94" i="1" s="1"/>
  <c r="W61" i="1"/>
  <c r="N94" i="1" s="1"/>
  <c r="Y63" i="1"/>
  <c r="P96" i="1" s="1"/>
  <c r="R64" i="1"/>
  <c r="I97" i="1" s="1"/>
  <c r="X90" i="10"/>
  <c r="Y90" i="6"/>
  <c r="N90" i="10"/>
  <c r="M59" i="1"/>
  <c r="D92" i="1" s="1"/>
  <c r="F90" i="10"/>
  <c r="AI59" i="1"/>
  <c r="Z92" i="1" s="1"/>
  <c r="AA59" i="1"/>
  <c r="R92" i="1" s="1"/>
  <c r="S59" i="1"/>
  <c r="J92" i="1" s="1"/>
  <c r="K59" i="1"/>
  <c r="B92" i="1" s="1"/>
  <c r="Z59" i="1"/>
  <c r="Q92" i="1" s="1"/>
  <c r="AH59" i="1"/>
  <c r="Y92" i="1" s="1"/>
  <c r="R59" i="1"/>
  <c r="I92" i="1" s="1"/>
  <c r="AG59" i="1"/>
  <c r="X92" i="1" s="1"/>
  <c r="Y59" i="1"/>
  <c r="P92" i="1" s="1"/>
  <c r="Q59" i="1"/>
  <c r="H92" i="1" s="1"/>
  <c r="AF59" i="1"/>
  <c r="W92" i="1" s="1"/>
  <c r="X59" i="1"/>
  <c r="O92" i="1" s="1"/>
  <c r="P59" i="1"/>
  <c r="G92" i="1" s="1"/>
  <c r="AE59" i="1"/>
  <c r="V92" i="1" s="1"/>
  <c r="W59" i="1"/>
  <c r="N92" i="1" s="1"/>
  <c r="O59" i="1"/>
  <c r="F92" i="1" s="1"/>
  <c r="AD59" i="1"/>
  <c r="U92" i="1" s="1"/>
  <c r="V59" i="1"/>
  <c r="M92" i="1" s="1"/>
  <c r="N59" i="1"/>
  <c r="E92" i="1" s="1"/>
  <c r="AB59" i="1"/>
  <c r="S92" i="1" s="1"/>
  <c r="T59" i="1"/>
  <c r="K92" i="1" s="1"/>
  <c r="L59" i="1"/>
  <c r="C92" i="1" s="1"/>
  <c r="AC59" i="1"/>
  <c r="T92" i="1" s="1"/>
  <c r="W54" i="1"/>
  <c r="N87" i="1" s="1"/>
  <c r="J90" i="6"/>
  <c r="O60" i="1"/>
  <c r="F93" i="1" s="1"/>
  <c r="AF60" i="1"/>
  <c r="W93" i="1" s="1"/>
  <c r="M56" i="1"/>
  <c r="D89" i="1" s="1"/>
  <c r="U56" i="1"/>
  <c r="L89" i="1" s="1"/>
  <c r="AC56" i="1"/>
  <c r="T89" i="1" s="1"/>
  <c r="Y60" i="1"/>
  <c r="P93" i="1" s="1"/>
  <c r="N56" i="1"/>
  <c r="E89" i="1" s="1"/>
  <c r="V56" i="1"/>
  <c r="M89" i="1" s="1"/>
  <c r="AD56" i="1"/>
  <c r="U89" i="1" s="1"/>
  <c r="R60" i="1"/>
  <c r="I93" i="1" s="1"/>
  <c r="M53" i="1"/>
  <c r="D86" i="1" s="1"/>
  <c r="P56" i="1"/>
  <c r="G89" i="1" s="1"/>
  <c r="X56" i="1"/>
  <c r="O89" i="1" s="1"/>
  <c r="L60" i="1"/>
  <c r="C93" i="1" s="1"/>
  <c r="I73" i="10"/>
  <c r="J73" i="6"/>
  <c r="AF40" i="1"/>
  <c r="W73" i="1" s="1"/>
  <c r="Y41" i="1"/>
  <c r="P74" i="1" s="1"/>
  <c r="B73" i="6"/>
  <c r="M73" i="6"/>
  <c r="W73" i="6"/>
  <c r="AI41" i="1"/>
  <c r="Z74" i="1" s="1"/>
  <c r="S41" i="1"/>
  <c r="J74" i="1" s="1"/>
  <c r="AE41" i="1"/>
  <c r="V74" i="1" s="1"/>
  <c r="C82" i="6"/>
  <c r="C73" i="10"/>
  <c r="N73" i="6"/>
  <c r="N73" i="10"/>
  <c r="Y76" i="10"/>
  <c r="E73" i="6"/>
  <c r="M40" i="1"/>
  <c r="D73" i="1" s="1"/>
  <c r="Z76" i="6"/>
  <c r="F73" i="10"/>
  <c r="K40" i="1"/>
  <c r="B73" i="1" s="1"/>
  <c r="AH40" i="1"/>
  <c r="Y73" i="1" s="1"/>
  <c r="Z40" i="1"/>
  <c r="Q73" i="1" s="1"/>
  <c r="N40" i="1"/>
  <c r="E73" i="1" s="1"/>
  <c r="AB40" i="1"/>
  <c r="S73" i="1" s="1"/>
  <c r="Y80" i="6"/>
  <c r="Y75" i="6"/>
  <c r="Q40" i="1"/>
  <c r="H73" i="1" s="1"/>
  <c r="AE40" i="1"/>
  <c r="V73" i="1" s="1"/>
  <c r="T48" i="1"/>
  <c r="K81" i="1" s="1"/>
  <c r="AB48" i="1"/>
  <c r="S81" i="1" s="1"/>
  <c r="M48" i="1"/>
  <c r="D81" i="1" s="1"/>
  <c r="U48" i="1"/>
  <c r="L81" i="1" s="1"/>
  <c r="AC48" i="1"/>
  <c r="T81" i="1" s="1"/>
  <c r="M39" i="1"/>
  <c r="D72" i="1" s="1"/>
  <c r="U39" i="1"/>
  <c r="L72" i="1" s="1"/>
  <c r="AC39" i="1"/>
  <c r="T72" i="1" s="1"/>
  <c r="P42" i="1"/>
  <c r="G75" i="1" s="1"/>
  <c r="X42" i="1"/>
  <c r="O75" i="1" s="1"/>
  <c r="AF42" i="1"/>
  <c r="W75" i="1" s="1"/>
  <c r="Q43" i="1"/>
  <c r="H76" i="1" s="1"/>
  <c r="Y43" i="1"/>
  <c r="P76" i="1" s="1"/>
  <c r="AG43" i="1"/>
  <c r="X76" i="1" s="1"/>
  <c r="K45" i="1"/>
  <c r="B78" i="1" s="1"/>
  <c r="S45" i="1"/>
  <c r="J78" i="1" s="1"/>
  <c r="AA45" i="1"/>
  <c r="R78" i="1" s="1"/>
  <c r="AI45" i="1"/>
  <c r="Z78" i="1" s="1"/>
  <c r="L46" i="1"/>
  <c r="C79" i="1" s="1"/>
  <c r="T46" i="1"/>
  <c r="K79" i="1" s="1"/>
  <c r="AB46" i="1"/>
  <c r="S79" i="1" s="1"/>
  <c r="N48" i="1"/>
  <c r="E81" i="1" s="1"/>
  <c r="V48" i="1"/>
  <c r="M81" i="1" s="1"/>
  <c r="AD48" i="1"/>
  <c r="U81" i="1" s="1"/>
  <c r="AH43" i="1"/>
  <c r="Y76" i="1" s="1"/>
  <c r="L45" i="1"/>
  <c r="C78" i="1" s="1"/>
  <c r="T45" i="1"/>
  <c r="K78" i="1" s="1"/>
  <c r="AB45" i="1"/>
  <c r="S78" i="1" s="1"/>
  <c r="M46" i="1"/>
  <c r="D79" i="1" s="1"/>
  <c r="U46" i="1"/>
  <c r="L79" i="1" s="1"/>
  <c r="AC46" i="1"/>
  <c r="T79" i="1" s="1"/>
  <c r="O48" i="1"/>
  <c r="F81" i="1" s="1"/>
  <c r="W48" i="1"/>
  <c r="N81" i="1" s="1"/>
  <c r="AE48" i="1"/>
  <c r="V81" i="1" s="1"/>
  <c r="M45" i="1"/>
  <c r="D78" i="1" s="1"/>
  <c r="U45" i="1"/>
  <c r="L78" i="1" s="1"/>
  <c r="AC45" i="1"/>
  <c r="T78" i="1" s="1"/>
  <c r="N46" i="1"/>
  <c r="E79" i="1" s="1"/>
  <c r="V46" i="1"/>
  <c r="M79" i="1" s="1"/>
  <c r="AD46" i="1"/>
  <c r="U79" i="1" s="1"/>
  <c r="P48" i="1"/>
  <c r="G81" i="1" s="1"/>
  <c r="X48" i="1"/>
  <c r="O81" i="1" s="1"/>
  <c r="AF48" i="1"/>
  <c r="W81" i="1" s="1"/>
  <c r="AB43" i="1"/>
  <c r="S76" i="1" s="1"/>
  <c r="N45" i="1"/>
  <c r="E78" i="1" s="1"/>
  <c r="V45" i="1"/>
  <c r="M78" i="1" s="1"/>
  <c r="AD45" i="1"/>
  <c r="U78" i="1" s="1"/>
  <c r="O46" i="1"/>
  <c r="F79" i="1" s="1"/>
  <c r="W46" i="1"/>
  <c r="N79" i="1" s="1"/>
  <c r="AE46" i="1"/>
  <c r="V79" i="1" s="1"/>
  <c r="Q48" i="1"/>
  <c r="H81" i="1" s="1"/>
  <c r="Y48" i="1"/>
  <c r="P81" i="1" s="1"/>
  <c r="AG48" i="1"/>
  <c r="X81" i="1" s="1"/>
  <c r="Q39" i="1"/>
  <c r="H72" i="1" s="1"/>
  <c r="Y39" i="1"/>
  <c r="P72" i="1" s="1"/>
  <c r="L42" i="1"/>
  <c r="C75" i="1" s="1"/>
  <c r="T42" i="1"/>
  <c r="K75" i="1" s="1"/>
  <c r="AB42" i="1"/>
  <c r="S75" i="1" s="1"/>
  <c r="M43" i="1"/>
  <c r="D76" i="1" s="1"/>
  <c r="U43" i="1"/>
  <c r="L76" i="1" s="1"/>
  <c r="AC43" i="1"/>
  <c r="T76" i="1" s="1"/>
  <c r="O45" i="1"/>
  <c r="F78" i="1" s="1"/>
  <c r="W45" i="1"/>
  <c r="N78" i="1" s="1"/>
  <c r="AE45" i="1"/>
  <c r="V78" i="1" s="1"/>
  <c r="P46" i="1"/>
  <c r="G79" i="1" s="1"/>
  <c r="X46" i="1"/>
  <c r="O79" i="1" s="1"/>
  <c r="AF46" i="1"/>
  <c r="W79" i="1" s="1"/>
  <c r="R48" i="1"/>
  <c r="I81" i="1" s="1"/>
  <c r="Z48" i="1"/>
  <c r="Q81" i="1" s="1"/>
  <c r="AH48" i="1"/>
  <c r="Y81" i="1" s="1"/>
  <c r="M42" i="1"/>
  <c r="D75" i="1" s="1"/>
  <c r="U42" i="1"/>
  <c r="L75" i="1" s="1"/>
  <c r="N43" i="1"/>
  <c r="E76" i="1" s="1"/>
  <c r="V43" i="1"/>
  <c r="M76" i="1" s="1"/>
  <c r="P45" i="1"/>
  <c r="G78" i="1" s="1"/>
  <c r="X45" i="1"/>
  <c r="O78" i="1" s="1"/>
  <c r="Q46" i="1"/>
  <c r="H79" i="1" s="1"/>
  <c r="Y46" i="1"/>
  <c r="P79" i="1" s="1"/>
  <c r="K48" i="1"/>
  <c r="B81" i="1" s="1"/>
  <c r="S48" i="1"/>
  <c r="J81" i="1" s="1"/>
  <c r="AA48" i="1"/>
  <c r="R81" i="1" s="1"/>
  <c r="B19" i="2"/>
  <c r="F55" i="1"/>
  <c r="J55" i="1" s="1"/>
  <c r="I55" i="1" s="1"/>
  <c r="BH59" i="1"/>
  <c r="AY92" i="1" s="1"/>
  <c r="AX59" i="1"/>
  <c r="AO92" i="1" s="1"/>
  <c r="AX65" i="1"/>
  <c r="AO98" i="1" s="1"/>
  <c r="AQ65" i="1"/>
  <c r="AH98" i="1" s="1"/>
  <c r="F56" i="1"/>
  <c r="J56" i="1" s="1"/>
  <c r="I56" i="1" s="1"/>
  <c r="F64" i="1"/>
  <c r="J64" i="1" s="1"/>
  <c r="I64" i="1" s="1"/>
  <c r="AY38" i="1"/>
  <c r="AP71" i="1" s="1"/>
  <c r="AX38" i="1"/>
  <c r="AO71" i="1" s="1"/>
  <c r="AP38" i="1"/>
  <c r="AG71" i="1" s="1"/>
  <c r="BE38" i="1"/>
  <c r="AV71" i="1" s="1"/>
  <c r="BD38" i="1"/>
  <c r="AU71" i="1" s="1"/>
  <c r="AV38" i="1"/>
  <c r="AM71" i="1" s="1"/>
  <c r="BC38" i="1"/>
  <c r="AT71" i="1" s="1"/>
  <c r="AU38" i="1"/>
  <c r="AL71" i="1" s="1"/>
  <c r="AM38" i="1"/>
  <c r="AD71" i="1" s="1"/>
  <c r="BB38" i="1"/>
  <c r="AS71" i="1" s="1"/>
  <c r="AL38" i="1"/>
  <c r="AC71" i="1" s="1"/>
  <c r="BA38" i="1"/>
  <c r="AR71" i="1" s="1"/>
  <c r="AK38" i="1"/>
  <c r="AB71" i="1" s="1"/>
  <c r="AQ38" i="1"/>
  <c r="AH71" i="1" s="1"/>
  <c r="BH38" i="1"/>
  <c r="AY71" i="1" s="1"/>
  <c r="AZ38" i="1"/>
  <c r="AQ71" i="1" s="1"/>
  <c r="AJ38" i="1"/>
  <c r="AA71" i="1" s="1"/>
  <c r="BG38" i="1"/>
  <c r="AX71" i="1" s="1"/>
  <c r="F40" i="1"/>
  <c r="J40" i="1" s="1"/>
  <c r="I40" i="1" s="1"/>
  <c r="F48" i="1"/>
  <c r="J48" i="1" s="1"/>
  <c r="I48" i="1" s="1"/>
  <c r="F41" i="1"/>
  <c r="J41" i="1" s="1"/>
  <c r="I41" i="1" s="1"/>
  <c r="F49" i="1"/>
  <c r="J49" i="1" s="1"/>
  <c r="I49" i="1" s="1"/>
  <c r="F37" i="1"/>
  <c r="J37" i="1" s="1"/>
  <c r="I37" i="1" s="1"/>
  <c r="O45" i="10" l="1"/>
  <c r="U60" i="10"/>
  <c r="X60" i="10"/>
  <c r="O88" i="10"/>
  <c r="T88" i="10"/>
  <c r="AS38" i="1"/>
  <c r="AJ71" i="1" s="1"/>
  <c r="AN38" i="1"/>
  <c r="AE71" i="1" s="1"/>
  <c r="BF38" i="1"/>
  <c r="AW71" i="1" s="1"/>
  <c r="AR38" i="1"/>
  <c r="AI71" i="1" s="1"/>
  <c r="AT38" i="1"/>
  <c r="AK71" i="1" s="1"/>
  <c r="AO38" i="1"/>
  <c r="AF71" i="1" s="1"/>
  <c r="AT62" i="1"/>
  <c r="AK95" i="1" s="1"/>
  <c r="AK59" i="1"/>
  <c r="AB92" i="1" s="1"/>
  <c r="C60" i="6" s="1"/>
  <c r="BC59" i="1"/>
  <c r="AT92" i="1" s="1"/>
  <c r="BG54" i="1"/>
  <c r="AX87" i="1" s="1"/>
  <c r="AS65" i="1"/>
  <c r="AJ98" i="1" s="1"/>
  <c r="AO54" i="1"/>
  <c r="AF87" i="1" s="1"/>
  <c r="AG62" i="1"/>
  <c r="X95" i="1" s="1"/>
  <c r="K62" i="1"/>
  <c r="B95" i="1" s="1"/>
  <c r="B96" i="10" s="1"/>
  <c r="Q62" i="1"/>
  <c r="H95" i="1" s="1"/>
  <c r="P57" i="1"/>
  <c r="G90" i="1" s="1"/>
  <c r="G91" i="10" s="1"/>
  <c r="R57" i="1"/>
  <c r="I90" i="1" s="1"/>
  <c r="I91" i="6" s="1"/>
  <c r="Z57" i="1"/>
  <c r="Q90" i="1" s="1"/>
  <c r="AC57" i="1"/>
  <c r="T90" i="1" s="1"/>
  <c r="T91" i="10" s="1"/>
  <c r="V57" i="1"/>
  <c r="M90" i="1" s="1"/>
  <c r="M91" i="10" s="1"/>
  <c r="O57" i="1"/>
  <c r="F90" i="1" s="1"/>
  <c r="AH57" i="1"/>
  <c r="Y90" i="1" s="1"/>
  <c r="M57" i="1"/>
  <c r="D90" i="1" s="1"/>
  <c r="U57" i="1"/>
  <c r="L90" i="1" s="1"/>
  <c r="N57" i="1"/>
  <c r="E90" i="1" s="1"/>
  <c r="AG57" i="1"/>
  <c r="X90" i="1" s="1"/>
  <c r="AF57" i="1"/>
  <c r="W90" i="1" s="1"/>
  <c r="W91" i="10" s="1"/>
  <c r="T57" i="1"/>
  <c r="K90" i="1" s="1"/>
  <c r="X57" i="1"/>
  <c r="O90" i="1" s="1"/>
  <c r="AD57" i="1"/>
  <c r="U90" i="1" s="1"/>
  <c r="W57" i="1"/>
  <c r="N90" i="1" s="1"/>
  <c r="Q57" i="1"/>
  <c r="H90" i="1" s="1"/>
  <c r="AB57" i="1"/>
  <c r="S90" i="1" s="1"/>
  <c r="S91" i="10" s="1"/>
  <c r="AE57" i="1"/>
  <c r="V90" i="1" s="1"/>
  <c r="Y57" i="1"/>
  <c r="P90" i="1" s="1"/>
  <c r="P91" i="10" s="1"/>
  <c r="S98" i="6"/>
  <c r="S98" i="10"/>
  <c r="W65" i="1"/>
  <c r="N98" i="1" s="1"/>
  <c r="L65" i="1"/>
  <c r="C98" i="1" s="1"/>
  <c r="Y65" i="1"/>
  <c r="P98" i="1" s="1"/>
  <c r="AI65" i="1"/>
  <c r="Z98" i="1" s="1"/>
  <c r="AD65" i="1"/>
  <c r="U98" i="1" s="1"/>
  <c r="O65" i="1"/>
  <c r="F98" i="1" s="1"/>
  <c r="F99" i="10" s="1"/>
  <c r="R65" i="1"/>
  <c r="I98" i="1" s="1"/>
  <c r="I99" i="10" s="1"/>
  <c r="Q60" i="1"/>
  <c r="H93" i="1" s="1"/>
  <c r="X60" i="1"/>
  <c r="O93" i="1" s="1"/>
  <c r="Y64" i="1"/>
  <c r="P97" i="1" s="1"/>
  <c r="AF64" i="1"/>
  <c r="W97" i="1" s="1"/>
  <c r="U64" i="1"/>
  <c r="L97" i="1" s="1"/>
  <c r="T64" i="1"/>
  <c r="K97" i="1" s="1"/>
  <c r="P60" i="1"/>
  <c r="G93" i="1" s="1"/>
  <c r="G94" i="10" s="1"/>
  <c r="Z64" i="1"/>
  <c r="Q97" i="1" s="1"/>
  <c r="Q98" i="10" s="1"/>
  <c r="Q64" i="1"/>
  <c r="H97" i="1" s="1"/>
  <c r="X64" i="1"/>
  <c r="O97" i="1" s="1"/>
  <c r="AE64" i="1"/>
  <c r="V97" i="1" s="1"/>
  <c r="AD64" i="1"/>
  <c r="U97" i="1" s="1"/>
  <c r="M64" i="1"/>
  <c r="D97" i="1" s="1"/>
  <c r="Q95" i="6"/>
  <c r="V60" i="1"/>
  <c r="M93" i="1" s="1"/>
  <c r="AC60" i="1"/>
  <c r="T93" i="1" s="1"/>
  <c r="T94" i="10" s="1"/>
  <c r="V90" i="6"/>
  <c r="W90" i="6"/>
  <c r="C90" i="10"/>
  <c r="W63" i="1"/>
  <c r="N96" i="1" s="1"/>
  <c r="O64" i="1"/>
  <c r="F97" i="1" s="1"/>
  <c r="N64" i="1"/>
  <c r="E97" i="1" s="1"/>
  <c r="R56" i="1"/>
  <c r="I89" i="1" s="1"/>
  <c r="AB56" i="1"/>
  <c r="S89" i="1" s="1"/>
  <c r="S60" i="1"/>
  <c r="J93" i="1" s="1"/>
  <c r="Y56" i="1"/>
  <c r="P89" i="1" s="1"/>
  <c r="L64" i="1"/>
  <c r="C97" i="1" s="1"/>
  <c r="C98" i="10" s="1"/>
  <c r="U60" i="1"/>
  <c r="L93" i="1" s="1"/>
  <c r="R94" i="10"/>
  <c r="AI64" i="1"/>
  <c r="Z97" i="1" s="1"/>
  <c r="AE55" i="1"/>
  <c r="V88" i="1" s="1"/>
  <c r="V89" i="10" s="1"/>
  <c r="AB60" i="1"/>
  <c r="S93" i="1" s="1"/>
  <c r="S94" i="6" s="1"/>
  <c r="AH60" i="1"/>
  <c r="Y93" i="1" s="1"/>
  <c r="AE60" i="1"/>
  <c r="V93" i="1" s="1"/>
  <c r="M60" i="1"/>
  <c r="D93" i="1" s="1"/>
  <c r="AA64" i="1"/>
  <c r="R97" i="1" s="1"/>
  <c r="AI60" i="1"/>
  <c r="Z93" i="1" s="1"/>
  <c r="K60" i="1"/>
  <c r="B93" i="1" s="1"/>
  <c r="B94" i="10" s="1"/>
  <c r="T60" i="1"/>
  <c r="K93" i="1" s="1"/>
  <c r="K94" i="10" s="1"/>
  <c r="Z60" i="1"/>
  <c r="Q93" i="1" s="1"/>
  <c r="Q94" i="6" s="1"/>
  <c r="AG60" i="1"/>
  <c r="X93" i="1" s="1"/>
  <c r="W60" i="1"/>
  <c r="N93" i="1" s="1"/>
  <c r="S64" i="1"/>
  <c r="J97" i="1" s="1"/>
  <c r="Q61" i="1"/>
  <c r="H94" i="1" s="1"/>
  <c r="K61" i="1"/>
  <c r="B94" i="1" s="1"/>
  <c r="B95" i="6" s="1"/>
  <c r="AI56" i="1"/>
  <c r="Z89" i="1" s="1"/>
  <c r="T56" i="1"/>
  <c r="K89" i="1" s="1"/>
  <c r="G77" i="6"/>
  <c r="V40" i="1"/>
  <c r="M73" i="1" s="1"/>
  <c r="B77" i="6"/>
  <c r="AC41" i="1"/>
  <c r="T74" i="1" s="1"/>
  <c r="J77" i="6"/>
  <c r="AF43" i="1"/>
  <c r="W76" i="1" s="1"/>
  <c r="AC40" i="1"/>
  <c r="T73" i="1" s="1"/>
  <c r="T74" i="10" s="1"/>
  <c r="AD43" i="1"/>
  <c r="U76" i="1" s="1"/>
  <c r="U77" i="6" s="1"/>
  <c r="R73" i="6"/>
  <c r="J80" i="6"/>
  <c r="AA40" i="1"/>
  <c r="R73" i="1" s="1"/>
  <c r="Z73" i="10"/>
  <c r="Q41" i="1"/>
  <c r="H74" i="1" s="1"/>
  <c r="U40" i="1"/>
  <c r="L73" i="1" s="1"/>
  <c r="L74" i="10" s="1"/>
  <c r="T43" i="1"/>
  <c r="K76" i="1" s="1"/>
  <c r="K77" i="6" s="1"/>
  <c r="AI48" i="1"/>
  <c r="Z81" i="1" s="1"/>
  <c r="V42" i="1"/>
  <c r="M75" i="1" s="1"/>
  <c r="AW44" i="1"/>
  <c r="AN77" i="1" s="1"/>
  <c r="AG41" i="1"/>
  <c r="X74" i="1" s="1"/>
  <c r="AI40" i="1"/>
  <c r="Z73" i="1" s="1"/>
  <c r="L40" i="1"/>
  <c r="C73" i="1" s="1"/>
  <c r="AE42" i="1"/>
  <c r="V75" i="1" s="1"/>
  <c r="AE39" i="1"/>
  <c r="V72" i="1" s="1"/>
  <c r="O77" i="6"/>
  <c r="N77" i="10"/>
  <c r="AC50" i="1"/>
  <c r="T83" i="1" s="1"/>
  <c r="K50" i="1"/>
  <c r="B83" i="1" s="1"/>
  <c r="P50" i="1"/>
  <c r="G83" i="1" s="1"/>
  <c r="T50" i="1"/>
  <c r="K83" i="1" s="1"/>
  <c r="K84" i="6" s="1"/>
  <c r="X44" i="1"/>
  <c r="O77" i="1" s="1"/>
  <c r="R44" i="1"/>
  <c r="I77" i="1" s="1"/>
  <c r="AA44" i="1"/>
  <c r="R77" i="1" s="1"/>
  <c r="U44" i="1"/>
  <c r="L77" i="1" s="1"/>
  <c r="Z44" i="1"/>
  <c r="Q77" i="1" s="1"/>
  <c r="AI44" i="1"/>
  <c r="Z77" i="1" s="1"/>
  <c r="AC44" i="1"/>
  <c r="T77" i="1" s="1"/>
  <c r="AH44" i="1"/>
  <c r="Y77" i="1" s="1"/>
  <c r="V44" i="1"/>
  <c r="M77" i="1" s="1"/>
  <c r="W44" i="1"/>
  <c r="N77" i="1" s="1"/>
  <c r="S44" i="1"/>
  <c r="J77" i="1" s="1"/>
  <c r="T44" i="1"/>
  <c r="K77" i="1" s="1"/>
  <c r="N44" i="1"/>
  <c r="E77" i="1" s="1"/>
  <c r="O44" i="1"/>
  <c r="F77" i="1" s="1"/>
  <c r="AB44" i="1"/>
  <c r="S77" i="1" s="1"/>
  <c r="AD44" i="1"/>
  <c r="U77" i="1" s="1"/>
  <c r="U78" i="6" s="1"/>
  <c r="M44" i="1"/>
  <c r="D77" i="1" s="1"/>
  <c r="K44" i="1"/>
  <c r="B77" i="1" s="1"/>
  <c r="Y73" i="10"/>
  <c r="Y73" i="6"/>
  <c r="U38" i="1"/>
  <c r="L71" i="1" s="1"/>
  <c r="L38" i="1"/>
  <c r="C71" i="1" s="1"/>
  <c r="AH38" i="1"/>
  <c r="Y71" i="1" s="1"/>
  <c r="O38" i="1"/>
  <c r="F71" i="1" s="1"/>
  <c r="F72" i="6" s="1"/>
  <c r="N74" i="6"/>
  <c r="N74" i="10"/>
  <c r="X41" i="1"/>
  <c r="O74" i="1" s="1"/>
  <c r="O75" i="10" s="1"/>
  <c r="O40" i="1"/>
  <c r="F73" i="1" s="1"/>
  <c r="S40" i="1"/>
  <c r="J73" i="1" s="1"/>
  <c r="AA41" i="1"/>
  <c r="R74" i="1" s="1"/>
  <c r="K77" i="10"/>
  <c r="M41" i="1"/>
  <c r="D74" i="1" s="1"/>
  <c r="D75" i="10" s="1"/>
  <c r="O43" i="1"/>
  <c r="F76" i="1" s="1"/>
  <c r="L43" i="1"/>
  <c r="C76" i="1" s="1"/>
  <c r="C77" i="10" s="1"/>
  <c r="X73" i="6"/>
  <c r="P41" i="1"/>
  <c r="G74" i="1" s="1"/>
  <c r="L41" i="1"/>
  <c r="C74" i="1" s="1"/>
  <c r="T40" i="1"/>
  <c r="K73" i="1" s="1"/>
  <c r="P40" i="1"/>
  <c r="G73" i="1" s="1"/>
  <c r="BA44" i="1"/>
  <c r="AR77" i="1" s="1"/>
  <c r="S45" i="6" s="1"/>
  <c r="S73" i="6"/>
  <c r="T74" i="6"/>
  <c r="U77" i="10"/>
  <c r="AD40" i="1"/>
  <c r="U73" i="1" s="1"/>
  <c r="Q73" i="6"/>
  <c r="AF41" i="1"/>
  <c r="W74" i="1" s="1"/>
  <c r="O41" i="1"/>
  <c r="F74" i="1" s="1"/>
  <c r="T41" i="1"/>
  <c r="K74" i="1" s="1"/>
  <c r="K75" i="6" s="1"/>
  <c r="N41" i="1"/>
  <c r="E74" i="1" s="1"/>
  <c r="U73" i="10"/>
  <c r="R43" i="1"/>
  <c r="I76" i="1" s="1"/>
  <c r="AP44" i="1"/>
  <c r="AG77" i="1" s="1"/>
  <c r="BC44" i="1"/>
  <c r="AT77" i="1" s="1"/>
  <c r="U45" i="6" s="1"/>
  <c r="R40" i="1"/>
  <c r="I73" i="1" s="1"/>
  <c r="R41" i="1"/>
  <c r="I74" i="1" s="1"/>
  <c r="AD41" i="1"/>
  <c r="U74" i="1" s="1"/>
  <c r="U75" i="6" s="1"/>
  <c r="W41" i="1"/>
  <c r="N74" i="1" s="1"/>
  <c r="AB41" i="1"/>
  <c r="S74" i="1" s="1"/>
  <c r="AG40" i="1"/>
  <c r="X73" i="1" s="1"/>
  <c r="X74" i="10" s="1"/>
  <c r="AI43" i="1"/>
  <c r="Z76" i="1" s="1"/>
  <c r="Z41" i="1"/>
  <c r="Q74" i="1" s="1"/>
  <c r="AE43" i="1"/>
  <c r="V76" i="1" s="1"/>
  <c r="U41" i="1"/>
  <c r="L74" i="1" s="1"/>
  <c r="X40" i="1"/>
  <c r="O73" i="1" s="1"/>
  <c r="O74" i="10" s="1"/>
  <c r="K41" i="1"/>
  <c r="B74" i="1" s="1"/>
  <c r="Y40" i="1"/>
  <c r="P73" i="1" s="1"/>
  <c r="AJ62" i="1"/>
  <c r="AA95" i="1" s="1"/>
  <c r="B63" i="6" s="1"/>
  <c r="AR65" i="1"/>
  <c r="AI98" i="1" s="1"/>
  <c r="BF65" i="1"/>
  <c r="AW98" i="1" s="1"/>
  <c r="AL62" i="1"/>
  <c r="AC95" i="1" s="1"/>
  <c r="D63" i="6" s="1"/>
  <c r="AK65" i="1"/>
  <c r="AB98" i="1" s="1"/>
  <c r="BD62" i="1"/>
  <c r="AU95" i="1" s="1"/>
  <c r="V63" i="6" s="1"/>
  <c r="BB65" i="1"/>
  <c r="AS98" i="1" s="1"/>
  <c r="AO62" i="1"/>
  <c r="AF95" i="1" s="1"/>
  <c r="G63" i="6" s="1"/>
  <c r="BC65" i="1"/>
  <c r="AT98" i="1" s="1"/>
  <c r="AY62" i="1"/>
  <c r="AP95" i="1" s="1"/>
  <c r="AN65" i="1"/>
  <c r="AE98" i="1" s="1"/>
  <c r="BG62" i="1"/>
  <c r="AX95" i="1" s="1"/>
  <c r="Y63" i="6" s="1"/>
  <c r="AW65" i="1"/>
  <c r="AN98" i="1" s="1"/>
  <c r="AP57" i="1"/>
  <c r="AG90" i="1" s="1"/>
  <c r="H58" i="6" s="1"/>
  <c r="BC62" i="1"/>
  <c r="AT95" i="1" s="1"/>
  <c r="U63" i="6" s="1"/>
  <c r="BA62" i="1"/>
  <c r="AR95" i="1" s="1"/>
  <c r="S63" i="6" s="1"/>
  <c r="AV62" i="1"/>
  <c r="AM95" i="1" s="1"/>
  <c r="N63" i="6" s="1"/>
  <c r="AQ62" i="1"/>
  <c r="AH95" i="1" s="1"/>
  <c r="AR62" i="1"/>
  <c r="AI95" i="1" s="1"/>
  <c r="BB62" i="1"/>
  <c r="AS95" i="1" s="1"/>
  <c r="AW62" i="1"/>
  <c r="AN95" i="1" s="1"/>
  <c r="O63" i="6" s="1"/>
  <c r="AZ62" i="1"/>
  <c r="AQ95" i="1" s="1"/>
  <c r="R63" i="6" s="1"/>
  <c r="AM62" i="1"/>
  <c r="AD95" i="1" s="1"/>
  <c r="BE62" i="1"/>
  <c r="AV95" i="1" s="1"/>
  <c r="W63" i="6" s="1"/>
  <c r="BH62" i="1"/>
  <c r="AY95" i="1" s="1"/>
  <c r="AU62" i="1"/>
  <c r="AL95" i="1" s="1"/>
  <c r="AP62" i="1"/>
  <c r="AG95" i="1" s="1"/>
  <c r="AK62" i="1"/>
  <c r="AB95" i="1" s="1"/>
  <c r="C63" i="6" s="1"/>
  <c r="AX62" i="1"/>
  <c r="AO95" i="1" s="1"/>
  <c r="P63" i="6" s="1"/>
  <c r="AS62" i="1"/>
  <c r="AJ95" i="1" s="1"/>
  <c r="AN62" i="1"/>
  <c r="AE95" i="1" s="1"/>
  <c r="F63" i="6" s="1"/>
  <c r="BE44" i="1"/>
  <c r="AV77" i="1" s="1"/>
  <c r="W45" i="6" s="1"/>
  <c r="AJ44" i="1"/>
  <c r="AA77" i="1" s="1"/>
  <c r="B45" i="6" s="1"/>
  <c r="AT44" i="1"/>
  <c r="AK77" i="1" s="1"/>
  <c r="AY45" i="1"/>
  <c r="AP78" i="1" s="1"/>
  <c r="Q46" i="6" s="1"/>
  <c r="BB43" i="1"/>
  <c r="AS76" i="1" s="1"/>
  <c r="T44" i="6" s="1"/>
  <c r="AY43" i="1"/>
  <c r="AP76" i="1" s="1"/>
  <c r="E4" i="15"/>
  <c r="AZ65" i="1"/>
  <c r="AQ98" i="1" s="1"/>
  <c r="R66" i="6" s="1"/>
  <c r="AM65" i="1"/>
  <c r="AD98" i="1" s="1"/>
  <c r="E66" i="6" s="1"/>
  <c r="BE65" i="1"/>
  <c r="AV98" i="1" s="1"/>
  <c r="W66" i="6" s="1"/>
  <c r="AJ54" i="1"/>
  <c r="AA87" i="1" s="1"/>
  <c r="B55" i="6" s="1"/>
  <c r="AU57" i="1"/>
  <c r="AL90" i="1" s="1"/>
  <c r="AL57" i="1"/>
  <c r="AC90" i="1" s="1"/>
  <c r="BH65" i="1"/>
  <c r="AY98" i="1" s="1"/>
  <c r="Z66" i="6" s="1"/>
  <c r="AU65" i="1"/>
  <c r="AL98" i="1" s="1"/>
  <c r="M66" i="6" s="1"/>
  <c r="AP65" i="1"/>
  <c r="AG98" i="1" s="1"/>
  <c r="AT54" i="1"/>
  <c r="AK87" i="1" s="1"/>
  <c r="L55" i="10" s="1"/>
  <c r="BD57" i="1"/>
  <c r="AU90" i="1" s="1"/>
  <c r="V58" i="6" s="1"/>
  <c r="AY65" i="1"/>
  <c r="AP98" i="1" s="1"/>
  <c r="BA65" i="1"/>
  <c r="AR98" i="1" s="1"/>
  <c r="AV65" i="1"/>
  <c r="AM98" i="1" s="1"/>
  <c r="N66" i="6" s="1"/>
  <c r="BG65" i="1"/>
  <c r="AX98" i="1" s="1"/>
  <c r="AL65" i="1"/>
  <c r="AC98" i="1" s="1"/>
  <c r="D66" i="6" s="1"/>
  <c r="BD65" i="1"/>
  <c r="AU98" i="1" s="1"/>
  <c r="V66" i="6" s="1"/>
  <c r="BG57" i="1"/>
  <c r="AX90" i="1" s="1"/>
  <c r="Y58" i="10" s="1"/>
  <c r="AJ65" i="1"/>
  <c r="AA98" i="1" s="1"/>
  <c r="B66" i="6" s="1"/>
  <c r="AT65" i="1"/>
  <c r="AK98" i="1" s="1"/>
  <c r="BH57" i="1"/>
  <c r="AY90" i="1" s="1"/>
  <c r="BA46" i="1"/>
  <c r="AR79" i="1" s="1"/>
  <c r="AV46" i="1"/>
  <c r="AM79" i="1" s="1"/>
  <c r="BG46" i="1"/>
  <c r="AX79" i="1" s="1"/>
  <c r="Y47" i="6" s="1"/>
  <c r="E9" i="3"/>
  <c r="J8" i="3"/>
  <c r="E29" i="3"/>
  <c r="E30" i="3" s="1"/>
  <c r="E31" i="3" s="1"/>
  <c r="E32" i="3" s="1"/>
  <c r="J28" i="3"/>
  <c r="O87" i="10"/>
  <c r="O87" i="6"/>
  <c r="W49" i="1"/>
  <c r="N82" i="1" s="1"/>
  <c r="U49" i="1"/>
  <c r="L82" i="1" s="1"/>
  <c r="AG49" i="1"/>
  <c r="X82" i="1" s="1"/>
  <c r="AI52" i="1"/>
  <c r="Z85" i="1" s="1"/>
  <c r="Z86" i="6" s="1"/>
  <c r="AE52" i="1"/>
  <c r="V85" i="1" s="1"/>
  <c r="V86" i="10" s="1"/>
  <c r="AH52" i="1"/>
  <c r="Y85" i="1" s="1"/>
  <c r="W52" i="1"/>
  <c r="N85" i="1" s="1"/>
  <c r="Z52" i="1"/>
  <c r="Q85" i="1" s="1"/>
  <c r="M52" i="1"/>
  <c r="D85" i="1" s="1"/>
  <c r="P52" i="1"/>
  <c r="G85" i="1" s="1"/>
  <c r="G86" i="10" s="1"/>
  <c r="AG52" i="1"/>
  <c r="X85" i="1" s="1"/>
  <c r="U52" i="1"/>
  <c r="L85" i="1" s="1"/>
  <c r="X52" i="1"/>
  <c r="O85" i="1" s="1"/>
  <c r="O86" i="6" s="1"/>
  <c r="Q52" i="1"/>
  <c r="H85" i="1" s="1"/>
  <c r="L52" i="1"/>
  <c r="C85" i="1" s="1"/>
  <c r="N52" i="1"/>
  <c r="E85" i="1" s="1"/>
  <c r="E86" i="10" s="1"/>
  <c r="V52" i="1"/>
  <c r="M85" i="1" s="1"/>
  <c r="M86" i="10" s="1"/>
  <c r="AC52" i="1"/>
  <c r="T85" i="1" s="1"/>
  <c r="T86" i="10" s="1"/>
  <c r="O52" i="1"/>
  <c r="F85" i="1" s="1"/>
  <c r="AF52" i="1"/>
  <c r="W85" i="1" s="1"/>
  <c r="Y52" i="1"/>
  <c r="P85" i="1" s="1"/>
  <c r="P86" i="10" s="1"/>
  <c r="R52" i="1"/>
  <c r="I85" i="1" s="1"/>
  <c r="T52" i="1"/>
  <c r="K85" i="1" s="1"/>
  <c r="M37" i="1"/>
  <c r="D70" i="1" s="1"/>
  <c r="AF37" i="1"/>
  <c r="W70" i="1" s="1"/>
  <c r="AD37" i="1"/>
  <c r="U70" i="1" s="1"/>
  <c r="U71" i="6" s="1"/>
  <c r="O37" i="1"/>
  <c r="F70" i="1" s="1"/>
  <c r="F71" i="6" s="1"/>
  <c r="L37" i="1"/>
  <c r="C70" i="1" s="1"/>
  <c r="AI37" i="1"/>
  <c r="Z70" i="1" s="1"/>
  <c r="Z71" i="10" s="1"/>
  <c r="Q37" i="1"/>
  <c r="H70" i="1" s="1"/>
  <c r="H71" i="6" s="1"/>
  <c r="V37" i="1"/>
  <c r="M70" i="1" s="1"/>
  <c r="M71" i="6" s="1"/>
  <c r="AA37" i="1"/>
  <c r="R70" i="1" s="1"/>
  <c r="AB37" i="1"/>
  <c r="S70" i="1" s="1"/>
  <c r="AC37" i="1"/>
  <c r="T70" i="1" s="1"/>
  <c r="T71" i="6" s="1"/>
  <c r="S37" i="1"/>
  <c r="J70" i="1" s="1"/>
  <c r="J71" i="10" s="1"/>
  <c r="U37" i="1"/>
  <c r="L70" i="1" s="1"/>
  <c r="W37" i="1"/>
  <c r="N70" i="1" s="1"/>
  <c r="N71" i="6" s="1"/>
  <c r="K37" i="1"/>
  <c r="B70" i="1" s="1"/>
  <c r="B71" i="10" s="1"/>
  <c r="N37" i="1"/>
  <c r="E70" i="1" s="1"/>
  <c r="E71" i="6" s="1"/>
  <c r="P37" i="1"/>
  <c r="G70" i="1" s="1"/>
  <c r="AE37" i="1"/>
  <c r="V70" i="1" s="1"/>
  <c r="Y37" i="1"/>
  <c r="P70" i="1" s="1"/>
  <c r="P71" i="6" s="1"/>
  <c r="Z37" i="1"/>
  <c r="Q70" i="1" s="1"/>
  <c r="Q71" i="10" s="1"/>
  <c r="T37" i="1"/>
  <c r="K70" i="1" s="1"/>
  <c r="AU43" i="1"/>
  <c r="AL76" i="1" s="1"/>
  <c r="M44" i="6" s="1"/>
  <c r="BG43" i="1"/>
  <c r="AX76" i="1" s="1"/>
  <c r="Y44" i="6" s="1"/>
  <c r="AB50" i="1"/>
  <c r="S83" i="1" s="1"/>
  <c r="S84" i="6" s="1"/>
  <c r="X50" i="1"/>
  <c r="O83" i="1" s="1"/>
  <c r="S50" i="1"/>
  <c r="J83" i="1" s="1"/>
  <c r="J84" i="6" s="1"/>
  <c r="I91" i="10"/>
  <c r="Q65" i="1"/>
  <c r="H98" i="1" s="1"/>
  <c r="H99" i="6" s="1"/>
  <c r="V65" i="1"/>
  <c r="M98" i="1" s="1"/>
  <c r="M99" i="10" s="1"/>
  <c r="AC65" i="1"/>
  <c r="T98" i="1" s="1"/>
  <c r="AA65" i="1"/>
  <c r="R98" i="1" s="1"/>
  <c r="AA53" i="1"/>
  <c r="R86" i="1" s="1"/>
  <c r="V55" i="1"/>
  <c r="M88" i="1" s="1"/>
  <c r="S53" i="1"/>
  <c r="J86" i="1" s="1"/>
  <c r="BC43" i="1"/>
  <c r="AT76" i="1" s="1"/>
  <c r="AJ43" i="1"/>
  <c r="AA76" i="1" s="1"/>
  <c r="B44" i="10" s="1"/>
  <c r="O73" i="6"/>
  <c r="Z87" i="6"/>
  <c r="N50" i="1"/>
  <c r="E83" i="1" s="1"/>
  <c r="AF50" i="1"/>
  <c r="W83" i="1" s="1"/>
  <c r="AA50" i="1"/>
  <c r="R83" i="1" s="1"/>
  <c r="N65" i="1"/>
  <c r="E98" i="1" s="1"/>
  <c r="U65" i="1"/>
  <c r="L98" i="1" s="1"/>
  <c r="S65" i="1"/>
  <c r="J98" i="1" s="1"/>
  <c r="J99" i="6" s="1"/>
  <c r="C95" i="10"/>
  <c r="Q53" i="1"/>
  <c r="H86" i="1" s="1"/>
  <c r="AI55" i="1"/>
  <c r="Z88" i="1" s="1"/>
  <c r="Z89" i="10" s="1"/>
  <c r="V53" i="1"/>
  <c r="M86" i="1" s="1"/>
  <c r="AD53" i="1"/>
  <c r="U86" i="1" s="1"/>
  <c r="BD43" i="1"/>
  <c r="AU76" i="1" s="1"/>
  <c r="V44" i="10" s="1"/>
  <c r="AZ43" i="1"/>
  <c r="AQ76" i="1" s="1"/>
  <c r="K73" i="6"/>
  <c r="AB55" i="1"/>
  <c r="S88" i="1" s="1"/>
  <c r="S89" i="6" s="1"/>
  <c r="V50" i="1"/>
  <c r="M83" i="1" s="1"/>
  <c r="Q50" i="1"/>
  <c r="H83" i="1" s="1"/>
  <c r="H84" i="6" s="1"/>
  <c r="AI50" i="1"/>
  <c r="Z83" i="1" s="1"/>
  <c r="Q90" i="10"/>
  <c r="AF65" i="1"/>
  <c r="W98" i="1" s="1"/>
  <c r="M65" i="1"/>
  <c r="D98" i="1" s="1"/>
  <c r="K65" i="1"/>
  <c r="B98" i="1" s="1"/>
  <c r="B99" i="6" s="1"/>
  <c r="X55" i="1"/>
  <c r="O88" i="1" s="1"/>
  <c r="O89" i="10" s="1"/>
  <c r="L53" i="1"/>
  <c r="C86" i="1" s="1"/>
  <c r="AG55" i="1"/>
  <c r="X88" i="1" s="1"/>
  <c r="BH43" i="1"/>
  <c r="AY76" i="1" s="1"/>
  <c r="Z44" i="6" s="1"/>
  <c r="AC55" i="1"/>
  <c r="T88" i="1" s="1"/>
  <c r="T55" i="1"/>
  <c r="K88" i="1" s="1"/>
  <c r="AD50" i="1"/>
  <c r="U83" i="1" s="1"/>
  <c r="Y50" i="1"/>
  <c r="P83" i="1" s="1"/>
  <c r="X65" i="1"/>
  <c r="O98" i="1" s="1"/>
  <c r="O99" i="6" s="1"/>
  <c r="AG53" i="1"/>
  <c r="X86" i="1" s="1"/>
  <c r="X87" i="10" s="1"/>
  <c r="AE53" i="1"/>
  <c r="V86" i="1" s="1"/>
  <c r="AO43" i="1"/>
  <c r="AF76" i="1" s="1"/>
  <c r="G44" i="10" s="1"/>
  <c r="AK43" i="1"/>
  <c r="AB76" i="1" s="1"/>
  <c r="C44" i="6" s="1"/>
  <c r="AW43" i="1"/>
  <c r="AN76" i="1" s="1"/>
  <c r="O44" i="10" s="1"/>
  <c r="Q80" i="6"/>
  <c r="W55" i="1"/>
  <c r="N88" i="1" s="1"/>
  <c r="U55" i="1"/>
  <c r="L88" i="1" s="1"/>
  <c r="L89" i="6" s="1"/>
  <c r="L55" i="1"/>
  <c r="C88" i="1" s="1"/>
  <c r="O50" i="1"/>
  <c r="F83" i="1" s="1"/>
  <c r="AG50" i="1"/>
  <c r="X83" i="1" s="1"/>
  <c r="M50" i="1"/>
  <c r="D83" i="1" s="1"/>
  <c r="P65" i="1"/>
  <c r="G98" i="1" s="1"/>
  <c r="AB65" i="1"/>
  <c r="S98" i="1" s="1"/>
  <c r="AD55" i="1"/>
  <c r="U88" i="1" s="1"/>
  <c r="U89" i="10" s="1"/>
  <c r="N55" i="1"/>
  <c r="E88" i="1" s="1"/>
  <c r="AH65" i="1"/>
  <c r="Y98" i="1" s="1"/>
  <c r="Y99" i="10" s="1"/>
  <c r="W53" i="1"/>
  <c r="N86" i="1" s="1"/>
  <c r="N87" i="10" s="1"/>
  <c r="T53" i="1"/>
  <c r="K86" i="1" s="1"/>
  <c r="K87" i="6" s="1"/>
  <c r="AF53" i="1"/>
  <c r="W86" i="1" s="1"/>
  <c r="AL43" i="1"/>
  <c r="AC76" i="1" s="1"/>
  <c r="D44" i="6" s="1"/>
  <c r="AP43" i="1"/>
  <c r="AG76" i="1" s="1"/>
  <c r="O55" i="1"/>
  <c r="F88" i="1" s="1"/>
  <c r="F89" i="10" s="1"/>
  <c r="M55" i="1"/>
  <c r="D88" i="1" s="1"/>
  <c r="D89" i="6" s="1"/>
  <c r="AH53" i="1"/>
  <c r="Y86" i="1" s="1"/>
  <c r="B94" i="6"/>
  <c r="U50" i="1"/>
  <c r="L83" i="1" s="1"/>
  <c r="W50" i="1"/>
  <c r="N83" i="1" s="1"/>
  <c r="Z50" i="1"/>
  <c r="Q83" i="1" s="1"/>
  <c r="Q84" i="6" s="1"/>
  <c r="L93" i="6"/>
  <c r="T65" i="1"/>
  <c r="K98" i="1" s="1"/>
  <c r="K99" i="6" s="1"/>
  <c r="AE65" i="1"/>
  <c r="V98" i="1" s="1"/>
  <c r="V99" i="10" s="1"/>
  <c r="Q55" i="1"/>
  <c r="H88" i="1" s="1"/>
  <c r="H89" i="10" s="1"/>
  <c r="AA55" i="1"/>
  <c r="R88" i="1" s="1"/>
  <c r="Y53" i="1"/>
  <c r="P86" i="1" s="1"/>
  <c r="P87" i="10" s="1"/>
  <c r="N53" i="1"/>
  <c r="E86" i="1" s="1"/>
  <c r="K53" i="1"/>
  <c r="B86" i="1" s="1"/>
  <c r="O53" i="1"/>
  <c r="F86" i="1" s="1"/>
  <c r="AT43" i="1"/>
  <c r="AK76" i="1" s="1"/>
  <c r="L44" i="6" s="1"/>
  <c r="AX43" i="1"/>
  <c r="AO76" i="1" s="1"/>
  <c r="P44" i="6" s="1"/>
  <c r="U53" i="1"/>
  <c r="L86" i="1" s="1"/>
  <c r="Z53" i="1"/>
  <c r="Q86" i="1" s="1"/>
  <c r="L50" i="1"/>
  <c r="C83" i="1" s="1"/>
  <c r="AE50" i="1"/>
  <c r="V83" i="1" s="1"/>
  <c r="AH50" i="1"/>
  <c r="Y83" i="1" s="1"/>
  <c r="Z65" i="1"/>
  <c r="Q98" i="1" s="1"/>
  <c r="AG65" i="1"/>
  <c r="X98" i="1" s="1"/>
  <c r="X99" i="6" s="1"/>
  <c r="AB53" i="1"/>
  <c r="S86" i="1" s="1"/>
  <c r="P55" i="1"/>
  <c r="G88" i="1" s="1"/>
  <c r="G89" i="10" s="1"/>
  <c r="P53" i="1"/>
  <c r="G86" i="1" s="1"/>
  <c r="G87" i="6" s="1"/>
  <c r="AC53" i="1"/>
  <c r="T86" i="1" s="1"/>
  <c r="R38" i="1"/>
  <c r="I71" i="1" s="1"/>
  <c r="BB59" i="1"/>
  <c r="AS92" i="1" s="1"/>
  <c r="AW59" i="1"/>
  <c r="AN92" i="1" s="1"/>
  <c r="O60" i="6" s="1"/>
  <c r="AJ59" i="1"/>
  <c r="AA92" i="1" s="1"/>
  <c r="B60" i="6" s="1"/>
  <c r="AU59" i="1"/>
  <c r="AL92" i="1" s="1"/>
  <c r="M60" i="6" s="1"/>
  <c r="AP59" i="1"/>
  <c r="AG92" i="1" s="1"/>
  <c r="H60" i="6" s="1"/>
  <c r="AZ59" i="1"/>
  <c r="AQ92" i="1" s="1"/>
  <c r="AS59" i="1"/>
  <c r="AJ92" i="1" s="1"/>
  <c r="AN59" i="1"/>
  <c r="AE92" i="1" s="1"/>
  <c r="F60" i="10" s="1"/>
  <c r="BF59" i="1"/>
  <c r="AW92" i="1" s="1"/>
  <c r="BA59" i="1"/>
  <c r="AR92" i="1" s="1"/>
  <c r="S60" i="6" s="1"/>
  <c r="AV59" i="1"/>
  <c r="AM92" i="1" s="1"/>
  <c r="N60" i="6" s="1"/>
  <c r="AQ59" i="1"/>
  <c r="AH92" i="1" s="1"/>
  <c r="I60" i="6" s="1"/>
  <c r="AL59" i="1"/>
  <c r="AC92" i="1" s="1"/>
  <c r="D60" i="6" s="1"/>
  <c r="BD59" i="1"/>
  <c r="AU92" i="1" s="1"/>
  <c r="AY59" i="1"/>
  <c r="AP92" i="1" s="1"/>
  <c r="AT59" i="1"/>
  <c r="AK92" i="1" s="1"/>
  <c r="AO59" i="1"/>
  <c r="AF92" i="1" s="1"/>
  <c r="BG59" i="1"/>
  <c r="AX92" i="1" s="1"/>
  <c r="Y60" i="6" s="1"/>
  <c r="AM59" i="1"/>
  <c r="AD92" i="1" s="1"/>
  <c r="E60" i="6" s="1"/>
  <c r="BE59" i="1"/>
  <c r="AV92" i="1" s="1"/>
  <c r="W60" i="6" s="1"/>
  <c r="AJ46" i="1"/>
  <c r="AA79" i="1" s="1"/>
  <c r="AO46" i="1"/>
  <c r="AF79" i="1" s="1"/>
  <c r="AJ45" i="1"/>
  <c r="AA78" i="1" s="1"/>
  <c r="B46" i="6" s="1"/>
  <c r="AR46" i="1"/>
  <c r="AI79" i="1" s="1"/>
  <c r="J47" i="6" s="1"/>
  <c r="BB46" i="1"/>
  <c r="AS79" i="1" s="1"/>
  <c r="T47" i="6" s="1"/>
  <c r="BE46" i="1"/>
  <c r="AV79" i="1" s="1"/>
  <c r="W47" i="6" s="1"/>
  <c r="BD45" i="1"/>
  <c r="AU78" i="1" s="1"/>
  <c r="V46" i="6" s="1"/>
  <c r="AZ45" i="1"/>
  <c r="AQ78" i="1" s="1"/>
  <c r="R46" i="6" s="1"/>
  <c r="AQ44" i="1"/>
  <c r="AH77" i="1" s="1"/>
  <c r="I45" i="6" s="1"/>
  <c r="AN44" i="1"/>
  <c r="AE77" i="1" s="1"/>
  <c r="AT46" i="1"/>
  <c r="AK79" i="1" s="1"/>
  <c r="BC45" i="1"/>
  <c r="AT78" i="1" s="1"/>
  <c r="U46" i="6" s="1"/>
  <c r="AZ46" i="1"/>
  <c r="AQ79" i="1" s="1"/>
  <c r="R47" i="6" s="1"/>
  <c r="AM46" i="1"/>
  <c r="AD79" i="1" s="1"/>
  <c r="E47" i="6" s="1"/>
  <c r="AP46" i="1"/>
  <c r="AG79" i="1" s="1"/>
  <c r="H47" i="6" s="1"/>
  <c r="AO45" i="1"/>
  <c r="AF78" i="1" s="1"/>
  <c r="G46" i="10" s="1"/>
  <c r="BH45" i="1"/>
  <c r="AY78" i="1" s="1"/>
  <c r="Z46" i="6" s="1"/>
  <c r="AY44" i="1"/>
  <c r="AP77" i="1" s="1"/>
  <c r="AV44" i="1"/>
  <c r="AM77" i="1" s="1"/>
  <c r="AL46" i="1"/>
  <c r="AC79" i="1" s="1"/>
  <c r="D47" i="6" s="1"/>
  <c r="BD46" i="1"/>
  <c r="AU79" i="1" s="1"/>
  <c r="V47" i="6" s="1"/>
  <c r="AU45" i="1"/>
  <c r="AL78" i="1" s="1"/>
  <c r="BG45" i="1"/>
  <c r="AX78" i="1" s="1"/>
  <c r="Y46" i="6" s="1"/>
  <c r="AU46" i="1"/>
  <c r="AL79" i="1" s="1"/>
  <c r="M47" i="6" s="1"/>
  <c r="AK46" i="1"/>
  <c r="AB79" i="1" s="1"/>
  <c r="C47" i="6" s="1"/>
  <c r="BC46" i="1"/>
  <c r="AT79" i="1" s="1"/>
  <c r="AQ46" i="1"/>
  <c r="AH79" i="1" s="1"/>
  <c r="I47" i="6" s="1"/>
  <c r="AP45" i="1"/>
  <c r="AG78" i="1" s="1"/>
  <c r="H46" i="6" s="1"/>
  <c r="AL45" i="1"/>
  <c r="AC78" i="1" s="1"/>
  <c r="D46" i="6" s="1"/>
  <c r="AR44" i="1"/>
  <c r="AI77" i="1" s="1"/>
  <c r="J45" i="10" s="1"/>
  <c r="BH46" i="1"/>
  <c r="AY79" i="1" s="1"/>
  <c r="Z47" i="6" s="1"/>
  <c r="AX46" i="1"/>
  <c r="AO79" i="1" s="1"/>
  <c r="P47" i="6" s="1"/>
  <c r="AW45" i="1"/>
  <c r="AN78" i="1" s="1"/>
  <c r="O46" i="6" s="1"/>
  <c r="BA45" i="1"/>
  <c r="AR78" i="1" s="1"/>
  <c r="AS46" i="1"/>
  <c r="AJ79" i="1" s="1"/>
  <c r="K47" i="6" s="1"/>
  <c r="AN46" i="1"/>
  <c r="AE79" i="1" s="1"/>
  <c r="F47" i="6" s="1"/>
  <c r="AY46" i="1"/>
  <c r="AP79" i="1" s="1"/>
  <c r="Q47" i="6" s="1"/>
  <c r="AX45" i="1"/>
  <c r="AO78" i="1" s="1"/>
  <c r="P46" i="6" s="1"/>
  <c r="AT45" i="1"/>
  <c r="AK78" i="1" s="1"/>
  <c r="L46" i="6" s="1"/>
  <c r="AS44" i="1"/>
  <c r="AJ77" i="1" s="1"/>
  <c r="K45" i="6" s="1"/>
  <c r="AI58" i="1"/>
  <c r="Z91" i="1" s="1"/>
  <c r="AC58" i="1"/>
  <c r="T91" i="1" s="1"/>
  <c r="AD58" i="1"/>
  <c r="U91" i="1" s="1"/>
  <c r="AE58" i="1"/>
  <c r="V91" i="1" s="1"/>
  <c r="Q58" i="1"/>
  <c r="H91" i="1" s="1"/>
  <c r="M58" i="1"/>
  <c r="D91" i="1" s="1"/>
  <c r="O58" i="1"/>
  <c r="F91" i="1" s="1"/>
  <c r="F92" i="10" s="1"/>
  <c r="L58" i="1"/>
  <c r="C91" i="1" s="1"/>
  <c r="AA58" i="1"/>
  <c r="R91" i="1" s="1"/>
  <c r="N58" i="1"/>
  <c r="E91" i="1" s="1"/>
  <c r="AB58" i="1"/>
  <c r="S91" i="1" s="1"/>
  <c r="T58" i="1"/>
  <c r="K91" i="1" s="1"/>
  <c r="P58" i="1"/>
  <c r="G91" i="1" s="1"/>
  <c r="AG58" i="1"/>
  <c r="X91" i="1" s="1"/>
  <c r="S58" i="1"/>
  <c r="J91" i="1" s="1"/>
  <c r="X58" i="1"/>
  <c r="O91" i="1" s="1"/>
  <c r="O92" i="6" s="1"/>
  <c r="R58" i="1"/>
  <c r="I91" i="1" s="1"/>
  <c r="K58" i="1"/>
  <c r="B91" i="1" s="1"/>
  <c r="AH58" i="1"/>
  <c r="Y91" i="1" s="1"/>
  <c r="AF58" i="1"/>
  <c r="W91" i="1" s="1"/>
  <c r="Z58" i="1"/>
  <c r="Q91" i="1" s="1"/>
  <c r="Q92" i="6" s="1"/>
  <c r="Y58" i="1"/>
  <c r="P91" i="1" s="1"/>
  <c r="U58" i="1"/>
  <c r="L91" i="1" s="1"/>
  <c r="L92" i="10" s="1"/>
  <c r="V58" i="1"/>
  <c r="M91" i="1" s="1"/>
  <c r="M92" i="6" s="1"/>
  <c r="W58" i="1"/>
  <c r="N91" i="1" s="1"/>
  <c r="AB47" i="1"/>
  <c r="S80" i="1" s="1"/>
  <c r="T47" i="1"/>
  <c r="K80" i="1" s="1"/>
  <c r="AE47" i="1"/>
  <c r="V80" i="1" s="1"/>
  <c r="Z47" i="1"/>
  <c r="Q80" i="1" s="1"/>
  <c r="L47" i="1"/>
  <c r="C80" i="1" s="1"/>
  <c r="AA47" i="1"/>
  <c r="R80" i="1" s="1"/>
  <c r="M47" i="1"/>
  <c r="D80" i="1" s="1"/>
  <c r="P47" i="1"/>
  <c r="G80" i="1" s="1"/>
  <c r="AI47" i="1"/>
  <c r="Z80" i="1" s="1"/>
  <c r="U47" i="1"/>
  <c r="L80" i="1" s="1"/>
  <c r="X47" i="1"/>
  <c r="O80" i="1" s="1"/>
  <c r="K47" i="1"/>
  <c r="B80" i="1" s="1"/>
  <c r="AC47" i="1"/>
  <c r="T80" i="1" s="1"/>
  <c r="AF47" i="1"/>
  <c r="W80" i="1" s="1"/>
  <c r="Q47" i="1"/>
  <c r="H80" i="1" s="1"/>
  <c r="V47" i="1"/>
  <c r="M80" i="1" s="1"/>
  <c r="AH47" i="1"/>
  <c r="Y80" i="1" s="1"/>
  <c r="Y47" i="1"/>
  <c r="P80" i="1" s="1"/>
  <c r="S47" i="1"/>
  <c r="J80" i="1" s="1"/>
  <c r="N47" i="1"/>
  <c r="E80" i="1" s="1"/>
  <c r="E81" i="6" s="1"/>
  <c r="AG47" i="1"/>
  <c r="X80" i="1" s="1"/>
  <c r="O47" i="1"/>
  <c r="F80" i="1" s="1"/>
  <c r="F81" i="6" s="1"/>
  <c r="AD47" i="1"/>
  <c r="U80" i="1" s="1"/>
  <c r="U81" i="6" s="1"/>
  <c r="W47" i="1"/>
  <c r="N80" i="1" s="1"/>
  <c r="R47" i="1"/>
  <c r="I80" i="1" s="1"/>
  <c r="I81" i="6" s="1"/>
  <c r="Q77" i="6"/>
  <c r="Q77" i="10"/>
  <c r="Y79" i="6"/>
  <c r="E94" i="10"/>
  <c r="E94" i="6"/>
  <c r="AL54" i="1"/>
  <c r="AC87" i="1" s="1"/>
  <c r="D55" i="6" s="1"/>
  <c r="BD54" i="1"/>
  <c r="AU87" i="1" s="1"/>
  <c r="V55" i="6" s="1"/>
  <c r="AY54" i="1"/>
  <c r="AP87" i="1" s="1"/>
  <c r="R49" i="1"/>
  <c r="I82" i="1" s="1"/>
  <c r="O49" i="1"/>
  <c r="F82" i="1" s="1"/>
  <c r="F83" i="6" s="1"/>
  <c r="AC49" i="1"/>
  <c r="T82" i="1" s="1"/>
  <c r="Z38" i="1"/>
  <c r="Q71" i="1" s="1"/>
  <c r="N38" i="1"/>
  <c r="E71" i="1" s="1"/>
  <c r="S38" i="1"/>
  <c r="J71" i="1" s="1"/>
  <c r="L54" i="1"/>
  <c r="C87" i="1" s="1"/>
  <c r="AE54" i="1"/>
  <c r="V87" i="1" s="1"/>
  <c r="S91" i="6"/>
  <c r="P62" i="1"/>
  <c r="G95" i="1" s="1"/>
  <c r="O62" i="1"/>
  <c r="F95" i="1" s="1"/>
  <c r="F96" i="6" s="1"/>
  <c r="Y62" i="1"/>
  <c r="P95" i="1" s="1"/>
  <c r="P96" i="6" s="1"/>
  <c r="M38" i="1"/>
  <c r="D71" i="1" s="1"/>
  <c r="AR54" i="1"/>
  <c r="AI87" i="1" s="1"/>
  <c r="BB54" i="1"/>
  <c r="AS87" i="1" s="1"/>
  <c r="T55" i="6" s="1"/>
  <c r="AW54" i="1"/>
  <c r="AN87" i="1" s="1"/>
  <c r="O55" i="6" s="1"/>
  <c r="T49" i="1"/>
  <c r="K82" i="1" s="1"/>
  <c r="Y49" i="1"/>
  <c r="P82" i="1" s="1"/>
  <c r="AF49" i="1"/>
  <c r="W82" i="1" s="1"/>
  <c r="AD49" i="1"/>
  <c r="U82" i="1" s="1"/>
  <c r="U83" i="6" s="1"/>
  <c r="M49" i="1"/>
  <c r="D82" i="1" s="1"/>
  <c r="T38" i="1"/>
  <c r="K71" i="1" s="1"/>
  <c r="K72" i="6" s="1"/>
  <c r="V54" i="1"/>
  <c r="M87" i="1" s="1"/>
  <c r="M88" i="6" s="1"/>
  <c r="U54" i="1"/>
  <c r="L87" i="1" s="1"/>
  <c r="AG54" i="1"/>
  <c r="X87" i="1" s="1"/>
  <c r="O54" i="1"/>
  <c r="F87" i="1" s="1"/>
  <c r="F88" i="10" s="1"/>
  <c r="N87" i="6"/>
  <c r="P87" i="6"/>
  <c r="X87" i="6"/>
  <c r="AE63" i="1"/>
  <c r="V96" i="1" s="1"/>
  <c r="V97" i="10" s="1"/>
  <c r="V63" i="1"/>
  <c r="M96" i="1" s="1"/>
  <c r="AB62" i="1"/>
  <c r="S95" i="1" s="1"/>
  <c r="X37" i="1"/>
  <c r="O70" i="1" s="1"/>
  <c r="Y45" i="1"/>
  <c r="P78" i="1" s="1"/>
  <c r="S62" i="1"/>
  <c r="J95" i="1" s="1"/>
  <c r="AH55" i="1"/>
  <c r="Y88" i="1" s="1"/>
  <c r="Q45" i="1"/>
  <c r="H78" i="1" s="1"/>
  <c r="L57" i="1"/>
  <c r="C90" i="1" s="1"/>
  <c r="AD52" i="1"/>
  <c r="U85" i="1" s="1"/>
  <c r="R45" i="1"/>
  <c r="I78" i="1" s="1"/>
  <c r="Z55" i="1"/>
  <c r="Q88" i="1" s="1"/>
  <c r="AZ54" i="1"/>
  <c r="AQ87" i="1" s="1"/>
  <c r="R55" i="6" s="1"/>
  <c r="AM54" i="1"/>
  <c r="AD87" i="1" s="1"/>
  <c r="E55" i="6" s="1"/>
  <c r="BE54" i="1"/>
  <c r="AV87" i="1" s="1"/>
  <c r="W55" i="6" s="1"/>
  <c r="L49" i="1"/>
  <c r="C82" i="1" s="1"/>
  <c r="AI49" i="1"/>
  <c r="Z82" i="1" s="1"/>
  <c r="Q49" i="1"/>
  <c r="H82" i="1" s="1"/>
  <c r="X49" i="1"/>
  <c r="O82" i="1" s="1"/>
  <c r="V49" i="1"/>
  <c r="M82" i="1" s="1"/>
  <c r="G73" i="6"/>
  <c r="R80" i="6"/>
  <c r="AB38" i="1"/>
  <c r="S71" i="1" s="1"/>
  <c r="S72" i="10" s="1"/>
  <c r="V38" i="1"/>
  <c r="M71" i="1" s="1"/>
  <c r="N54" i="1"/>
  <c r="E87" i="1" s="1"/>
  <c r="AI54" i="1"/>
  <c r="Z87" i="1" s="1"/>
  <c r="Z88" i="10" s="1"/>
  <c r="Y54" i="1"/>
  <c r="P87" i="1" s="1"/>
  <c r="P88" i="10" s="1"/>
  <c r="B90" i="6"/>
  <c r="T62" i="1"/>
  <c r="K95" i="1" s="1"/>
  <c r="AG37" i="1"/>
  <c r="X70" i="1" s="1"/>
  <c r="AF45" i="1"/>
  <c r="W78" i="1" s="1"/>
  <c r="BH54" i="1"/>
  <c r="AY87" i="1" s="1"/>
  <c r="Z55" i="6" s="1"/>
  <c r="AP54" i="1"/>
  <c r="AG87" i="1" s="1"/>
  <c r="AA49" i="1"/>
  <c r="R82" i="1" s="1"/>
  <c r="R83" i="6" s="1"/>
  <c r="P49" i="1"/>
  <c r="G82" i="1" s="1"/>
  <c r="N49" i="1"/>
  <c r="E82" i="1" s="1"/>
  <c r="E83" i="6" s="1"/>
  <c r="P38" i="1"/>
  <c r="G71" i="1" s="1"/>
  <c r="K38" i="1"/>
  <c r="B71" i="1" s="1"/>
  <c r="C19" i="1"/>
  <c r="F20" i="10" s="1"/>
  <c r="AA54" i="1"/>
  <c r="R87" i="1" s="1"/>
  <c r="R88" i="10" s="1"/>
  <c r="Q54" i="1"/>
  <c r="H87" i="1" s="1"/>
  <c r="AC62" i="1"/>
  <c r="T95" i="1" s="1"/>
  <c r="T96" i="6" s="1"/>
  <c r="X97" i="10"/>
  <c r="Z45" i="1"/>
  <c r="Q78" i="1" s="1"/>
  <c r="AB49" i="1"/>
  <c r="S82" i="1" s="1"/>
  <c r="K52" i="1"/>
  <c r="B85" i="1" s="1"/>
  <c r="AU54" i="1"/>
  <c r="AL87" i="1" s="1"/>
  <c r="AK54" i="1"/>
  <c r="AB87" i="1" s="1"/>
  <c r="C55" i="10" s="1"/>
  <c r="BC54" i="1"/>
  <c r="AT87" i="1" s="1"/>
  <c r="AX54" i="1"/>
  <c r="AO87" i="1" s="1"/>
  <c r="P55" i="6" s="1"/>
  <c r="S49" i="1"/>
  <c r="J82" i="1" s="1"/>
  <c r="R77" i="6"/>
  <c r="AA38" i="1"/>
  <c r="R71" i="1" s="1"/>
  <c r="R72" i="10" s="1"/>
  <c r="X38" i="1"/>
  <c r="O71" i="1" s="1"/>
  <c r="O72" i="10" s="1"/>
  <c r="AC54" i="1"/>
  <c r="T87" i="1" s="1"/>
  <c r="S54" i="1"/>
  <c r="J87" i="1" s="1"/>
  <c r="J88" i="6" s="1"/>
  <c r="AH54" i="1"/>
  <c r="Y87" i="1" s="1"/>
  <c r="Y88" i="6" s="1"/>
  <c r="O88" i="6"/>
  <c r="AD62" i="1"/>
  <c r="U95" i="1" s="1"/>
  <c r="U62" i="1"/>
  <c r="L95" i="1" s="1"/>
  <c r="Z63" i="1"/>
  <c r="Q96" i="1" s="1"/>
  <c r="Q97" i="6" s="1"/>
  <c r="W38" i="1"/>
  <c r="N71" i="1" s="1"/>
  <c r="R50" i="1"/>
  <c r="I83" i="1" s="1"/>
  <c r="AH37" i="1"/>
  <c r="Y70" i="1" s="1"/>
  <c r="S52" i="1"/>
  <c r="J85" i="1" s="1"/>
  <c r="AH62" i="1"/>
  <c r="Y95" i="1" s="1"/>
  <c r="Y96" i="6" s="1"/>
  <c r="Z62" i="1"/>
  <c r="Q95" i="1" s="1"/>
  <c r="R62" i="1"/>
  <c r="I95" i="1" s="1"/>
  <c r="AA52" i="1"/>
  <c r="R85" i="1" s="1"/>
  <c r="BE60" i="1"/>
  <c r="AV93" i="1" s="1"/>
  <c r="AS54" i="1"/>
  <c r="AJ87" i="1" s="1"/>
  <c r="K55" i="6" s="1"/>
  <c r="AN54" i="1"/>
  <c r="AE87" i="1" s="1"/>
  <c r="F55" i="6" s="1"/>
  <c r="BF54" i="1"/>
  <c r="AW87" i="1" s="1"/>
  <c r="K49" i="1"/>
  <c r="B82" i="1" s="1"/>
  <c r="AH49" i="1"/>
  <c r="Y82" i="1" s="1"/>
  <c r="AE49" i="1"/>
  <c r="V82" i="1" s="1"/>
  <c r="Q38" i="1"/>
  <c r="H71" i="1" s="1"/>
  <c r="H72" i="6" s="1"/>
  <c r="AI38" i="1"/>
  <c r="Z71" i="1" s="1"/>
  <c r="Z72" i="10" s="1"/>
  <c r="AF38" i="1"/>
  <c r="W71" i="1" s="1"/>
  <c r="W72" i="6" s="1"/>
  <c r="B80" i="6"/>
  <c r="AE38" i="1"/>
  <c r="V71" i="1" s="1"/>
  <c r="V72" i="6" s="1"/>
  <c r="M54" i="1"/>
  <c r="D87" i="1" s="1"/>
  <c r="AB54" i="1"/>
  <c r="S87" i="1" s="1"/>
  <c r="S88" i="10" s="1"/>
  <c r="K54" i="1"/>
  <c r="B87" i="1" s="1"/>
  <c r="Z54" i="1"/>
  <c r="Q87" i="1" s="1"/>
  <c r="S94" i="10"/>
  <c r="E86" i="6"/>
  <c r="K87" i="10"/>
  <c r="M86" i="6"/>
  <c r="Q63" i="1"/>
  <c r="H96" i="1" s="1"/>
  <c r="AE62" i="1"/>
  <c r="V95" i="1" s="1"/>
  <c r="V96" i="10" s="1"/>
  <c r="V62" i="1"/>
  <c r="M95" i="1" s="1"/>
  <c r="M62" i="1"/>
  <c r="D95" i="1" s="1"/>
  <c r="D96" i="10" s="1"/>
  <c r="R63" i="1"/>
  <c r="I96" i="1" s="1"/>
  <c r="I97" i="6" s="1"/>
  <c r="K97" i="6"/>
  <c r="B96" i="6"/>
  <c r="B97" i="10"/>
  <c r="AG38" i="1"/>
  <c r="X71" i="1" s="1"/>
  <c r="AI62" i="1"/>
  <c r="Z95" i="1" s="1"/>
  <c r="AB52" i="1"/>
  <c r="S85" i="1" s="1"/>
  <c r="AF62" i="1"/>
  <c r="W95" i="1" s="1"/>
  <c r="W96" i="6" s="1"/>
  <c r="AC38" i="1"/>
  <c r="T71" i="1" s="1"/>
  <c r="R37" i="1"/>
  <c r="I70" i="1" s="1"/>
  <c r="BA54" i="1"/>
  <c r="AR87" i="1" s="1"/>
  <c r="S55" i="10" s="1"/>
  <c r="AV54" i="1"/>
  <c r="AM87" i="1" s="1"/>
  <c r="N55" i="6" s="1"/>
  <c r="Z49" i="1"/>
  <c r="Q82" i="1" s="1"/>
  <c r="Q83" i="6" s="1"/>
  <c r="Y38" i="1"/>
  <c r="P71" i="1" s="1"/>
  <c r="P72" i="10" s="1"/>
  <c r="AD38" i="1"/>
  <c r="U71" i="1" s="1"/>
  <c r="T54" i="1"/>
  <c r="K87" i="1" s="1"/>
  <c r="K88" i="6" s="1"/>
  <c r="R54" i="1"/>
  <c r="I87" i="1" s="1"/>
  <c r="I88" i="6" s="1"/>
  <c r="X62" i="1"/>
  <c r="O95" i="1" s="1"/>
  <c r="W62" i="1"/>
  <c r="N95" i="1" s="1"/>
  <c r="N96" i="10" s="1"/>
  <c r="N62" i="1"/>
  <c r="E95" i="1" s="1"/>
  <c r="AC63" i="1"/>
  <c r="T96" i="1" s="1"/>
  <c r="T97" i="10" s="1"/>
  <c r="Y95" i="10"/>
  <c r="S63" i="1"/>
  <c r="J96" i="1" s="1"/>
  <c r="J97" i="10" s="1"/>
  <c r="AG44" i="1"/>
  <c r="X77" i="1" s="1"/>
  <c r="AR61" i="1"/>
  <c r="AI94" i="1" s="1"/>
  <c r="J62" i="6" s="1"/>
  <c r="AK44" i="1"/>
  <c r="AB77" i="1" s="1"/>
  <c r="C45" i="6" s="1"/>
  <c r="AO44" i="1"/>
  <c r="AF77" i="1" s="1"/>
  <c r="G45" i="10" s="1"/>
  <c r="BB44" i="1"/>
  <c r="AS77" i="1" s="1"/>
  <c r="Y40" i="15"/>
  <c r="Y4" i="15" s="1"/>
  <c r="AJ57" i="1"/>
  <c r="AA90" i="1" s="1"/>
  <c r="B58" i="6" s="1"/>
  <c r="AT57" i="1"/>
  <c r="AK90" i="1" s="1"/>
  <c r="L58" i="6" s="1"/>
  <c r="AO57" i="1"/>
  <c r="AF90" i="1" s="1"/>
  <c r="G58" i="10" s="1"/>
  <c r="AR57" i="1"/>
  <c r="AI90" i="1" s="1"/>
  <c r="J58" i="10" s="1"/>
  <c r="BB57" i="1"/>
  <c r="AS90" i="1" s="1"/>
  <c r="T58" i="6" s="1"/>
  <c r="AW57" i="1"/>
  <c r="AN90" i="1" s="1"/>
  <c r="O58" i="6" s="1"/>
  <c r="AZ57" i="1"/>
  <c r="AQ90" i="1" s="1"/>
  <c r="R58" i="6" s="1"/>
  <c r="AM57" i="1"/>
  <c r="AD90" i="1" s="1"/>
  <c r="E58" i="6" s="1"/>
  <c r="BE57" i="1"/>
  <c r="AV90" i="1" s="1"/>
  <c r="W58" i="10" s="1"/>
  <c r="AK57" i="1"/>
  <c r="AB90" i="1" s="1"/>
  <c r="C58" i="6" s="1"/>
  <c r="BC57" i="1"/>
  <c r="AT90" i="1" s="1"/>
  <c r="U58" i="6" s="1"/>
  <c r="AX57" i="1"/>
  <c r="AO90" i="1" s="1"/>
  <c r="P58" i="6" s="1"/>
  <c r="AM61" i="1"/>
  <c r="AD94" i="1" s="1"/>
  <c r="E62" i="6" s="1"/>
  <c r="AQ57" i="1"/>
  <c r="AH90" i="1" s="1"/>
  <c r="I58" i="10" s="1"/>
  <c r="AS57" i="1"/>
  <c r="AJ90" i="1" s="1"/>
  <c r="K58" i="6" s="1"/>
  <c r="AN57" i="1"/>
  <c r="AE90" i="1" s="1"/>
  <c r="F58" i="6" s="1"/>
  <c r="BF57" i="1"/>
  <c r="AW90" i="1" s="1"/>
  <c r="X58" i="6" s="1"/>
  <c r="AY57" i="1"/>
  <c r="AP90" i="1" s="1"/>
  <c r="Q58" i="6" s="1"/>
  <c r="BA57" i="1"/>
  <c r="AR90" i="1" s="1"/>
  <c r="S58" i="6" s="1"/>
  <c r="AQ60" i="1"/>
  <c r="AH93" i="1" s="1"/>
  <c r="I61" i="6" s="1"/>
  <c r="AR60" i="1"/>
  <c r="AI93" i="1" s="1"/>
  <c r="J61" i="6" s="1"/>
  <c r="AZ60" i="1"/>
  <c r="AQ93" i="1" s="1"/>
  <c r="R61" i="6" s="1"/>
  <c r="AN60" i="1"/>
  <c r="AE93" i="1" s="1"/>
  <c r="F61" i="6" s="1"/>
  <c r="AW60" i="1"/>
  <c r="AN93" i="1" s="1"/>
  <c r="O61" i="6" s="1"/>
  <c r="AW46" i="1"/>
  <c r="AN79" i="1" s="1"/>
  <c r="AM45" i="1"/>
  <c r="AD78" i="1" s="1"/>
  <c r="BE45" i="1"/>
  <c r="AV78" i="1" s="1"/>
  <c r="W46" i="6" s="1"/>
  <c r="AR45" i="1"/>
  <c r="AI78" i="1" s="1"/>
  <c r="J46" i="6" s="1"/>
  <c r="BB45" i="1"/>
  <c r="AS78" i="1" s="1"/>
  <c r="T46" i="6" s="1"/>
  <c r="BG44" i="1"/>
  <c r="AX77" i="1" s="1"/>
  <c r="Y45" i="6" s="1"/>
  <c r="AL44" i="1"/>
  <c r="AC77" i="1" s="1"/>
  <c r="D45" i="6" s="1"/>
  <c r="BD44" i="1"/>
  <c r="AU77" i="1" s="1"/>
  <c r="V45" i="6" s="1"/>
  <c r="AM43" i="1"/>
  <c r="AD76" i="1" s="1"/>
  <c r="E44" i="10" s="1"/>
  <c r="BE43" i="1"/>
  <c r="AV76" i="1" s="1"/>
  <c r="AR43" i="1"/>
  <c r="AI76" i="1" s="1"/>
  <c r="J44" i="10" s="1"/>
  <c r="AN45" i="1"/>
  <c r="AE78" i="1" s="1"/>
  <c r="F46" i="6" s="1"/>
  <c r="BF45" i="1"/>
  <c r="AW78" i="1" s="1"/>
  <c r="X46" i="6" s="1"/>
  <c r="AK45" i="1"/>
  <c r="AB78" i="1" s="1"/>
  <c r="C46" i="6" s="1"/>
  <c r="AX44" i="1"/>
  <c r="AO77" i="1" s="1"/>
  <c r="P45" i="6" s="1"/>
  <c r="AZ44" i="1"/>
  <c r="AQ77" i="1" s="1"/>
  <c r="R45" i="6" s="1"/>
  <c r="AM44" i="1"/>
  <c r="AD77" i="1" s="1"/>
  <c r="E45" i="6" s="1"/>
  <c r="AS43" i="1"/>
  <c r="AJ76" i="1" s="1"/>
  <c r="K44" i="6" s="1"/>
  <c r="AN43" i="1"/>
  <c r="AE76" i="1" s="1"/>
  <c r="F44" i="6" s="1"/>
  <c r="BF43" i="1"/>
  <c r="AW76" i="1" s="1"/>
  <c r="X44" i="6" s="1"/>
  <c r="AV45" i="1"/>
  <c r="AM78" i="1" s="1"/>
  <c r="N46" i="6" s="1"/>
  <c r="AQ45" i="1"/>
  <c r="AH78" i="1" s="1"/>
  <c r="I46" i="6" s="1"/>
  <c r="BF44" i="1"/>
  <c r="AW77" i="1" s="1"/>
  <c r="BH44" i="1"/>
  <c r="AY77" i="1" s="1"/>
  <c r="Z45" i="6" s="1"/>
  <c r="BA43" i="1"/>
  <c r="AR76" i="1" s="1"/>
  <c r="S44" i="6" s="1"/>
  <c r="AV43" i="1"/>
  <c r="AM76" i="1" s="1"/>
  <c r="L4" i="15"/>
  <c r="J97" i="6"/>
  <c r="Z89" i="6"/>
  <c r="U94" i="6"/>
  <c r="J89" i="6"/>
  <c r="X95" i="10"/>
  <c r="R90" i="6"/>
  <c r="P76" i="6"/>
  <c r="P76" i="10"/>
  <c r="T84" i="6"/>
  <c r="AV61" i="1"/>
  <c r="AM94" i="1" s="1"/>
  <c r="N62" i="6" s="1"/>
  <c r="AS61" i="1"/>
  <c r="AJ94" i="1" s="1"/>
  <c r="K62" i="6" s="1"/>
  <c r="AS60" i="1"/>
  <c r="AJ93" i="1" s="1"/>
  <c r="K61" i="6" s="1"/>
  <c r="G89" i="6"/>
  <c r="W91" i="6"/>
  <c r="Z86" i="10"/>
  <c r="Y96" i="10"/>
  <c r="C98" i="6"/>
  <c r="AD54" i="1"/>
  <c r="U87" i="1" s="1"/>
  <c r="AU61" i="1"/>
  <c r="AL94" i="1" s="1"/>
  <c r="M62" i="6" s="1"/>
  <c r="BE61" i="1"/>
  <c r="AV94" i="1" s="1"/>
  <c r="W62" i="6" s="1"/>
  <c r="BB61" i="1"/>
  <c r="AS94" i="1" s="1"/>
  <c r="T62" i="6" s="1"/>
  <c r="BB60" i="1"/>
  <c r="AS93" i="1" s="1"/>
  <c r="G91" i="6"/>
  <c r="C27" i="1"/>
  <c r="F28" i="10" s="1"/>
  <c r="B95" i="10"/>
  <c r="R95" i="6"/>
  <c r="AD42" i="1"/>
  <c r="U75" i="1" s="1"/>
  <c r="AA42" i="1"/>
  <c r="R75" i="1" s="1"/>
  <c r="K42" i="1"/>
  <c r="B75" i="1" s="1"/>
  <c r="Y44" i="1"/>
  <c r="P77" i="1" s="1"/>
  <c r="L62" i="1"/>
  <c r="C95" i="1" s="1"/>
  <c r="AA62" i="1"/>
  <c r="R95" i="1" s="1"/>
  <c r="AP61" i="1"/>
  <c r="AG94" i="1" s="1"/>
  <c r="AP60" i="1"/>
  <c r="AG93" i="1" s="1"/>
  <c r="H61" i="6" s="1"/>
  <c r="AM60" i="1"/>
  <c r="AD93" i="1" s="1"/>
  <c r="E61" i="6" s="1"/>
  <c r="H90" i="6"/>
  <c r="I87" i="10"/>
  <c r="Q44" i="1"/>
  <c r="H77" i="1" s="1"/>
  <c r="Q42" i="1"/>
  <c r="H75" i="1" s="1"/>
  <c r="O42" i="1"/>
  <c r="F75" i="1" s="1"/>
  <c r="AF44" i="1"/>
  <c r="W77" i="1" s="1"/>
  <c r="AA57" i="1"/>
  <c r="R90" i="1" s="1"/>
  <c r="K57" i="1"/>
  <c r="B90" i="1" s="1"/>
  <c r="AI57" i="1"/>
  <c r="Z90" i="1" s="1"/>
  <c r="C23" i="1" s="1"/>
  <c r="F24" i="10" s="1"/>
  <c r="S57" i="1"/>
  <c r="J90" i="1" s="1"/>
  <c r="AX61" i="1"/>
  <c r="AO94" i="1" s="1"/>
  <c r="P62" i="6" s="1"/>
  <c r="AX60" i="1"/>
  <c r="AO93" i="1" s="1"/>
  <c r="P61" i="6" s="1"/>
  <c r="AU60" i="1"/>
  <c r="AL93" i="1" s="1"/>
  <c r="M61" i="6" s="1"/>
  <c r="AE44" i="1"/>
  <c r="V77" i="1" s="1"/>
  <c r="AC42" i="1"/>
  <c r="T75" i="1" s="1"/>
  <c r="AF55" i="1"/>
  <c r="W88" i="1" s="1"/>
  <c r="R55" i="1"/>
  <c r="I88" i="1" s="1"/>
  <c r="Y55" i="1"/>
  <c r="P88" i="1" s="1"/>
  <c r="K55" i="1"/>
  <c r="B88" i="1" s="1"/>
  <c r="P54" i="1"/>
  <c r="G87" i="1" s="1"/>
  <c r="AQ61" i="1"/>
  <c r="AH94" i="1" s="1"/>
  <c r="I62" i="6" s="1"/>
  <c r="P44" i="1"/>
  <c r="G77" i="1" s="1"/>
  <c r="AG42" i="1"/>
  <c r="X75" i="1" s="1"/>
  <c r="S42" i="1"/>
  <c r="J75" i="1" s="1"/>
  <c r="Z42" i="1"/>
  <c r="Q75" i="1" s="1"/>
  <c r="N42" i="1"/>
  <c r="E75" i="1" s="1"/>
  <c r="R42" i="1"/>
  <c r="I75" i="1" s="1"/>
  <c r="L44" i="1"/>
  <c r="C77" i="1" s="1"/>
  <c r="W42" i="1"/>
  <c r="N75" i="1" s="1"/>
  <c r="AA63" i="1"/>
  <c r="R96" i="1" s="1"/>
  <c r="V41" i="1"/>
  <c r="M74" i="1" s="1"/>
  <c r="AZ61" i="1"/>
  <c r="AQ94" i="1" s="1"/>
  <c r="R62" i="6" s="1"/>
  <c r="BC61" i="1"/>
  <c r="AT94" i="1" s="1"/>
  <c r="U62" i="6" s="1"/>
  <c r="BH61" i="1"/>
  <c r="AY94" i="1" s="1"/>
  <c r="Z62" i="6" s="1"/>
  <c r="BH60" i="1"/>
  <c r="AY93" i="1" s="1"/>
  <c r="Z61" i="6" s="1"/>
  <c r="AF54" i="1"/>
  <c r="W87" i="1" s="1"/>
  <c r="AI63" i="1"/>
  <c r="Z96" i="1" s="1"/>
  <c r="L63" i="1"/>
  <c r="C96" i="1" s="1"/>
  <c r="Q99" i="10"/>
  <c r="Q99" i="6"/>
  <c r="N95" i="10"/>
  <c r="N95" i="6"/>
  <c r="P98" i="6"/>
  <c r="P98" i="10"/>
  <c r="U95" i="10"/>
  <c r="U95" i="6"/>
  <c r="G98" i="6"/>
  <c r="G98" i="10"/>
  <c r="L95" i="6"/>
  <c r="L95" i="10"/>
  <c r="U97" i="10"/>
  <c r="U97" i="6"/>
  <c r="D99" i="6"/>
  <c r="D99" i="10"/>
  <c r="B99" i="10"/>
  <c r="X96" i="6"/>
  <c r="X96" i="10"/>
  <c r="F95" i="10"/>
  <c r="F95" i="6"/>
  <c r="H98" i="6"/>
  <c r="H98" i="10"/>
  <c r="C30" i="1"/>
  <c r="F31" i="10" s="1"/>
  <c r="M95" i="10"/>
  <c r="M95" i="6"/>
  <c r="D95" i="6"/>
  <c r="D95" i="10"/>
  <c r="M97" i="10"/>
  <c r="M97" i="6"/>
  <c r="L97" i="6"/>
  <c r="L97" i="10"/>
  <c r="T98" i="6"/>
  <c r="T98" i="10"/>
  <c r="Z98" i="10"/>
  <c r="Z98" i="6"/>
  <c r="W97" i="6"/>
  <c r="W97" i="10"/>
  <c r="E95" i="10"/>
  <c r="E95" i="6"/>
  <c r="N97" i="10"/>
  <c r="N97" i="6"/>
  <c r="E97" i="10"/>
  <c r="E97" i="6"/>
  <c r="U99" i="10"/>
  <c r="U99" i="6"/>
  <c r="D97" i="6"/>
  <c r="D97" i="10"/>
  <c r="L98" i="6"/>
  <c r="L98" i="10"/>
  <c r="R98" i="10"/>
  <c r="R98" i="6"/>
  <c r="H96" i="6"/>
  <c r="H96" i="10"/>
  <c r="I98" i="10"/>
  <c r="I98" i="6"/>
  <c r="O97" i="6"/>
  <c r="O97" i="10"/>
  <c r="W99" i="6"/>
  <c r="W99" i="10"/>
  <c r="F97" i="10"/>
  <c r="F97" i="6"/>
  <c r="N99" i="10"/>
  <c r="N99" i="6"/>
  <c r="T96" i="10"/>
  <c r="S96" i="6"/>
  <c r="S96" i="10"/>
  <c r="D98" i="6"/>
  <c r="D98" i="10"/>
  <c r="J98" i="10"/>
  <c r="J98" i="6"/>
  <c r="W95" i="6"/>
  <c r="W95" i="10"/>
  <c r="P97" i="6"/>
  <c r="P97" i="10"/>
  <c r="G97" i="6"/>
  <c r="G97" i="10"/>
  <c r="U96" i="10"/>
  <c r="U96" i="6"/>
  <c r="L96" i="6"/>
  <c r="L96" i="10"/>
  <c r="E99" i="10"/>
  <c r="E99" i="6"/>
  <c r="K96" i="6"/>
  <c r="K96" i="10"/>
  <c r="S97" i="6"/>
  <c r="S97" i="10"/>
  <c r="B98" i="10"/>
  <c r="B98" i="6"/>
  <c r="O95" i="6"/>
  <c r="O95" i="10"/>
  <c r="H97" i="6"/>
  <c r="H97" i="10"/>
  <c r="P99" i="6"/>
  <c r="P99" i="10"/>
  <c r="G99" i="6"/>
  <c r="G99" i="10"/>
  <c r="M96" i="10"/>
  <c r="M96" i="6"/>
  <c r="V98" i="10"/>
  <c r="V98" i="6"/>
  <c r="U98" i="10"/>
  <c r="U98" i="6"/>
  <c r="C99" i="6"/>
  <c r="C99" i="10"/>
  <c r="Z99" i="10"/>
  <c r="Z99" i="6"/>
  <c r="Y97" i="10"/>
  <c r="Y97" i="6"/>
  <c r="G95" i="6"/>
  <c r="G95" i="10"/>
  <c r="O96" i="6"/>
  <c r="O96" i="10"/>
  <c r="W98" i="6"/>
  <c r="W98" i="10"/>
  <c r="E96" i="10"/>
  <c r="E96" i="6"/>
  <c r="N98" i="10"/>
  <c r="N98" i="6"/>
  <c r="S95" i="6"/>
  <c r="S95" i="10"/>
  <c r="M98" i="10"/>
  <c r="M98" i="6"/>
  <c r="T99" i="6"/>
  <c r="T99" i="10"/>
  <c r="R99" i="10"/>
  <c r="R99" i="6"/>
  <c r="S99" i="6"/>
  <c r="S99" i="10"/>
  <c r="G96" i="6"/>
  <c r="G96" i="10"/>
  <c r="X98" i="6"/>
  <c r="X98" i="10"/>
  <c r="O98" i="6"/>
  <c r="O98" i="10"/>
  <c r="T95" i="6"/>
  <c r="T95" i="10"/>
  <c r="F98" i="10"/>
  <c r="F98" i="6"/>
  <c r="K95" i="6"/>
  <c r="K95" i="10"/>
  <c r="E98" i="10"/>
  <c r="E98" i="6"/>
  <c r="L99" i="6"/>
  <c r="L99" i="10"/>
  <c r="J99" i="10"/>
  <c r="G90" i="10"/>
  <c r="G90" i="6"/>
  <c r="C86" i="6"/>
  <c r="C86" i="10"/>
  <c r="T88" i="6"/>
  <c r="V91" i="10"/>
  <c r="V91" i="6"/>
  <c r="P94" i="10"/>
  <c r="P94" i="6"/>
  <c r="T90" i="10"/>
  <c r="T90" i="6"/>
  <c r="O94" i="6"/>
  <c r="O94" i="10"/>
  <c r="N94" i="10"/>
  <c r="N94" i="6"/>
  <c r="T93" i="10"/>
  <c r="T93" i="6"/>
  <c r="N93" i="10"/>
  <c r="N93" i="6"/>
  <c r="I93" i="6"/>
  <c r="I93" i="10"/>
  <c r="O84" i="6"/>
  <c r="N89" i="10"/>
  <c r="N89" i="6"/>
  <c r="D88" i="10"/>
  <c r="D88" i="6"/>
  <c r="N91" i="10"/>
  <c r="N91" i="6"/>
  <c r="S88" i="6"/>
  <c r="H94" i="10"/>
  <c r="H94" i="6"/>
  <c r="C26" i="1"/>
  <c r="F27" i="10" s="1"/>
  <c r="L90" i="10"/>
  <c r="L90" i="6"/>
  <c r="B88" i="10"/>
  <c r="B88" i="6"/>
  <c r="Q88" i="6"/>
  <c r="Q88" i="10"/>
  <c r="F94" i="10"/>
  <c r="F94" i="6"/>
  <c r="N86" i="10"/>
  <c r="N86" i="6"/>
  <c r="T86" i="6"/>
  <c r="C93" i="10"/>
  <c r="C93" i="6"/>
  <c r="V93" i="10"/>
  <c r="V93" i="6"/>
  <c r="Y93" i="6"/>
  <c r="Y93" i="10"/>
  <c r="E84" i="6"/>
  <c r="W84" i="6"/>
  <c r="R84" i="6"/>
  <c r="C94" i="6"/>
  <c r="C94" i="10"/>
  <c r="Y94" i="6"/>
  <c r="Y94" i="10"/>
  <c r="F91" i="10"/>
  <c r="F91" i="6"/>
  <c r="V92" i="10"/>
  <c r="V92" i="6"/>
  <c r="D90" i="10"/>
  <c r="D90" i="6"/>
  <c r="Y87" i="6"/>
  <c r="Y87" i="10"/>
  <c r="U92" i="10"/>
  <c r="U92" i="6"/>
  <c r="T92" i="10"/>
  <c r="T92" i="6"/>
  <c r="F86" i="10"/>
  <c r="F86" i="6"/>
  <c r="L86" i="10"/>
  <c r="L86" i="6"/>
  <c r="K93" i="10"/>
  <c r="K93" i="6"/>
  <c r="G93" i="10"/>
  <c r="G93" i="6"/>
  <c r="Q93" i="6"/>
  <c r="Q93" i="10"/>
  <c r="M84" i="6"/>
  <c r="Z84" i="6"/>
  <c r="Q92" i="10"/>
  <c r="M88" i="10"/>
  <c r="L88" i="10"/>
  <c r="L88" i="6"/>
  <c r="U90" i="10"/>
  <c r="U90" i="6"/>
  <c r="C88" i="10"/>
  <c r="C88" i="6"/>
  <c r="N92" i="10"/>
  <c r="N92" i="6"/>
  <c r="Q87" i="6"/>
  <c r="Q87" i="10"/>
  <c r="W86" i="10"/>
  <c r="W86" i="6"/>
  <c r="D86" i="10"/>
  <c r="D86" i="6"/>
  <c r="S93" i="6"/>
  <c r="S93" i="10"/>
  <c r="O93" i="6"/>
  <c r="O93" i="10"/>
  <c r="B93" i="6"/>
  <c r="B93" i="10"/>
  <c r="U84" i="6"/>
  <c r="P84" i="6"/>
  <c r="I92" i="6"/>
  <c r="I92" i="10"/>
  <c r="E88" i="10"/>
  <c r="E88" i="6"/>
  <c r="I94" i="6"/>
  <c r="I94" i="10"/>
  <c r="M90" i="10"/>
  <c r="M90" i="6"/>
  <c r="Y86" i="6"/>
  <c r="Y86" i="10"/>
  <c r="K89" i="10"/>
  <c r="K89" i="6"/>
  <c r="X86" i="10"/>
  <c r="X86" i="6"/>
  <c r="E92" i="10"/>
  <c r="E92" i="6"/>
  <c r="D92" i="10"/>
  <c r="D92" i="6"/>
  <c r="L94" i="10"/>
  <c r="L94" i="6"/>
  <c r="E93" i="10"/>
  <c r="E93" i="6"/>
  <c r="W93" i="6"/>
  <c r="W93" i="10"/>
  <c r="J93" i="10"/>
  <c r="J93" i="6"/>
  <c r="F84" i="6"/>
  <c r="X84" i="6"/>
  <c r="L87" i="10"/>
  <c r="L87" i="6"/>
  <c r="W92" i="10"/>
  <c r="W92" i="6"/>
  <c r="E90" i="10"/>
  <c r="E90" i="6"/>
  <c r="Q86" i="6"/>
  <c r="Q86" i="10"/>
  <c r="U91" i="10"/>
  <c r="U91" i="6"/>
  <c r="C89" i="10"/>
  <c r="C89" i="6"/>
  <c r="G86" i="6"/>
  <c r="X88" i="10"/>
  <c r="X88" i="6"/>
  <c r="D94" i="10"/>
  <c r="D94" i="6"/>
  <c r="M93" i="10"/>
  <c r="M93" i="6"/>
  <c r="H93" i="10"/>
  <c r="H93" i="6"/>
  <c r="C25" i="1"/>
  <c r="F26" i="10" s="1"/>
  <c r="R93" i="10"/>
  <c r="R93" i="6"/>
  <c r="L84" i="6"/>
  <c r="N84" i="6"/>
  <c r="D84" i="6"/>
  <c r="H91" i="10"/>
  <c r="H91" i="6"/>
  <c r="D87" i="10"/>
  <c r="D87" i="6"/>
  <c r="T89" i="10"/>
  <c r="T89" i="6"/>
  <c r="I86" i="6"/>
  <c r="I86" i="10"/>
  <c r="Z88" i="6"/>
  <c r="H86" i="10"/>
  <c r="H86" i="6"/>
  <c r="L91" i="10"/>
  <c r="L91" i="6"/>
  <c r="V88" i="10"/>
  <c r="V88" i="6"/>
  <c r="U93" i="10"/>
  <c r="U93" i="6"/>
  <c r="P93" i="10"/>
  <c r="P93" i="6"/>
  <c r="Z93" i="10"/>
  <c r="Z93" i="6"/>
  <c r="C84" i="6"/>
  <c r="V84" i="6"/>
  <c r="O90" i="10"/>
  <c r="O90" i="6"/>
  <c r="K86" i="6"/>
  <c r="K86" i="10"/>
  <c r="G92" i="10"/>
  <c r="G92" i="6"/>
  <c r="X94" i="10"/>
  <c r="X94" i="6"/>
  <c r="E91" i="10"/>
  <c r="E91" i="6"/>
  <c r="R88" i="6"/>
  <c r="W94" i="10"/>
  <c r="W94" i="6"/>
  <c r="D91" i="10"/>
  <c r="D91" i="6"/>
  <c r="V94" i="10"/>
  <c r="V94" i="6"/>
  <c r="H88" i="10"/>
  <c r="H88" i="6"/>
  <c r="N88" i="10"/>
  <c r="N88" i="6"/>
  <c r="F93" i="10"/>
  <c r="F93" i="6"/>
  <c r="X93" i="10"/>
  <c r="X93" i="6"/>
  <c r="G84" i="6"/>
  <c r="B84" i="6"/>
  <c r="D93" i="10"/>
  <c r="D93" i="6"/>
  <c r="B82" i="6"/>
  <c r="F78" i="6"/>
  <c r="F78" i="10"/>
  <c r="O80" i="6"/>
  <c r="T77" i="10"/>
  <c r="T77" i="6"/>
  <c r="Y83" i="6"/>
  <c r="G81" i="6"/>
  <c r="L78" i="10"/>
  <c r="L78" i="6"/>
  <c r="G82" i="6"/>
  <c r="L79" i="6"/>
  <c r="N82" i="6"/>
  <c r="S79" i="6"/>
  <c r="V83" i="6"/>
  <c r="G76" i="10"/>
  <c r="G76" i="6"/>
  <c r="L82" i="6"/>
  <c r="S74" i="10"/>
  <c r="S74" i="6"/>
  <c r="B74" i="6"/>
  <c r="B74" i="10"/>
  <c r="R72" i="6"/>
  <c r="I75" i="10"/>
  <c r="I75" i="6"/>
  <c r="K72" i="10"/>
  <c r="R75" i="10"/>
  <c r="R75" i="6"/>
  <c r="E75" i="6"/>
  <c r="E75" i="10"/>
  <c r="B72" i="10"/>
  <c r="B72" i="6"/>
  <c r="U72" i="6"/>
  <c r="U72" i="10"/>
  <c r="P75" i="10"/>
  <c r="P75" i="6"/>
  <c r="M77" i="6"/>
  <c r="M77" i="10"/>
  <c r="Y82" i="6"/>
  <c r="G80" i="6"/>
  <c r="L77" i="10"/>
  <c r="L77" i="6"/>
  <c r="V80" i="6"/>
  <c r="D78" i="10"/>
  <c r="D78" i="6"/>
  <c r="V81" i="6"/>
  <c r="D79" i="10"/>
  <c r="D79" i="6"/>
  <c r="F82" i="6"/>
  <c r="K79" i="6"/>
  <c r="N83" i="6"/>
  <c r="S80" i="6"/>
  <c r="Q78" i="10"/>
  <c r="Q78" i="6"/>
  <c r="T73" i="10"/>
  <c r="T73" i="6"/>
  <c r="D82" i="6"/>
  <c r="F74" i="6"/>
  <c r="F74" i="10"/>
  <c r="J74" i="10"/>
  <c r="J74" i="6"/>
  <c r="H72" i="10"/>
  <c r="D74" i="10"/>
  <c r="D74" i="6"/>
  <c r="S72" i="6"/>
  <c r="R71" i="10"/>
  <c r="R71" i="6"/>
  <c r="T75" i="10"/>
  <c r="T75" i="6"/>
  <c r="Z75" i="10"/>
  <c r="Z75" i="6"/>
  <c r="X74" i="6"/>
  <c r="M71" i="10"/>
  <c r="J72" i="10"/>
  <c r="J72" i="6"/>
  <c r="L72" i="10"/>
  <c r="L72" i="6"/>
  <c r="E77" i="6"/>
  <c r="E77" i="10"/>
  <c r="Q82" i="6"/>
  <c r="V79" i="6"/>
  <c r="D77" i="10"/>
  <c r="D77" i="6"/>
  <c r="I83" i="6"/>
  <c r="N80" i="6"/>
  <c r="S77" i="10"/>
  <c r="S77" i="6"/>
  <c r="N81" i="6"/>
  <c r="S78" i="10"/>
  <c r="S78" i="6"/>
  <c r="C79" i="10"/>
  <c r="C79" i="6"/>
  <c r="K80" i="6"/>
  <c r="I78" i="10"/>
  <c r="I78" i="6"/>
  <c r="L73" i="10"/>
  <c r="L73" i="6"/>
  <c r="T83" i="6"/>
  <c r="K71" i="10"/>
  <c r="K71" i="6"/>
  <c r="E74" i="6"/>
  <c r="E74" i="10"/>
  <c r="R74" i="10"/>
  <c r="R74" i="6"/>
  <c r="S71" i="10"/>
  <c r="S71" i="6"/>
  <c r="G72" i="10"/>
  <c r="G72" i="6"/>
  <c r="G75" i="10"/>
  <c r="G75" i="6"/>
  <c r="C75" i="10"/>
  <c r="C75" i="6"/>
  <c r="C71" i="10"/>
  <c r="C71" i="6"/>
  <c r="U71" i="10"/>
  <c r="W74" i="10"/>
  <c r="W74" i="6"/>
  <c r="W71" i="10"/>
  <c r="W71" i="6"/>
  <c r="P80" i="6"/>
  <c r="L76" i="10"/>
  <c r="L76" i="6"/>
  <c r="I82" i="6"/>
  <c r="N79" i="6"/>
  <c r="S76" i="10"/>
  <c r="S76" i="6"/>
  <c r="X82" i="6"/>
  <c r="F80" i="6"/>
  <c r="X83" i="6"/>
  <c r="K78" i="10"/>
  <c r="K78" i="6"/>
  <c r="M81" i="6"/>
  <c r="Z78" i="10"/>
  <c r="Z78" i="6"/>
  <c r="U82" i="6"/>
  <c r="C80" i="6"/>
  <c r="X77" i="10"/>
  <c r="X77" i="6"/>
  <c r="D73" i="10"/>
  <c r="D73" i="6"/>
  <c r="M74" i="6"/>
  <c r="M74" i="10"/>
  <c r="Z74" i="10"/>
  <c r="Z74" i="6"/>
  <c r="H71" i="10"/>
  <c r="H75" i="10"/>
  <c r="H75" i="6"/>
  <c r="F75" i="6"/>
  <c r="F75" i="10"/>
  <c r="K74" i="10"/>
  <c r="K74" i="6"/>
  <c r="L71" i="6"/>
  <c r="L71" i="10"/>
  <c r="K83" i="6"/>
  <c r="H80" i="6"/>
  <c r="C12" i="1"/>
  <c r="F13" i="10" s="1"/>
  <c r="D76" i="10"/>
  <c r="D76" i="6"/>
  <c r="X81" i="6"/>
  <c r="F79" i="6"/>
  <c r="F79" i="10"/>
  <c r="K76" i="10"/>
  <c r="K76" i="6"/>
  <c r="P82" i="6"/>
  <c r="U79" i="6"/>
  <c r="P83" i="6"/>
  <c r="U80" i="6"/>
  <c r="M82" i="6"/>
  <c r="Z79" i="6"/>
  <c r="P77" i="10"/>
  <c r="P77" i="6"/>
  <c r="D83" i="6"/>
  <c r="U74" i="6"/>
  <c r="U74" i="10"/>
  <c r="O74" i="6"/>
  <c r="N75" i="6"/>
  <c r="N75" i="10"/>
  <c r="S75" i="10"/>
  <c r="S75" i="6"/>
  <c r="C83" i="6"/>
  <c r="O79" i="6"/>
  <c r="Z83" i="6"/>
  <c r="P81" i="6"/>
  <c r="C76" i="10"/>
  <c r="C76" i="6"/>
  <c r="H82" i="6"/>
  <c r="C14" i="1"/>
  <c r="F15" i="10" s="1"/>
  <c r="M79" i="6"/>
  <c r="M80" i="6"/>
  <c r="T80" i="6"/>
  <c r="E82" i="6"/>
  <c r="R79" i="6"/>
  <c r="H77" i="10"/>
  <c r="H77" i="6"/>
  <c r="M83" i="6"/>
  <c r="S82" i="6"/>
  <c r="I74" i="10"/>
  <c r="I74" i="6"/>
  <c r="G71" i="10"/>
  <c r="G71" i="6"/>
  <c r="C74" i="10"/>
  <c r="C74" i="6"/>
  <c r="P71" i="10"/>
  <c r="V71" i="6"/>
  <c r="V71" i="10"/>
  <c r="V75" i="6"/>
  <c r="V75" i="10"/>
  <c r="R82" i="6"/>
  <c r="G79" i="10"/>
  <c r="G79" i="6"/>
  <c r="M78" i="6"/>
  <c r="M78" i="10"/>
  <c r="P73" i="10"/>
  <c r="P73" i="6"/>
  <c r="W81" i="6"/>
  <c r="E79" i="6"/>
  <c r="E79" i="10"/>
  <c r="W82" i="6"/>
  <c r="E80" i="6"/>
  <c r="L80" i="6"/>
  <c r="B78" i="10"/>
  <c r="B78" i="6"/>
  <c r="T81" i="6"/>
  <c r="J79" i="6"/>
  <c r="W76" i="10"/>
  <c r="W76" i="6"/>
  <c r="K82" i="6"/>
  <c r="V74" i="6"/>
  <c r="V74" i="10"/>
  <c r="X75" i="10"/>
  <c r="X75" i="6"/>
  <c r="Q74" i="10"/>
  <c r="Q74" i="6"/>
  <c r="E72" i="6"/>
  <c r="E72" i="10"/>
  <c r="E71" i="10"/>
  <c r="B75" i="6"/>
  <c r="B75" i="10"/>
  <c r="J82" i="6"/>
  <c r="N78" i="6"/>
  <c r="N78" i="10"/>
  <c r="W80" i="6"/>
  <c r="E78" i="6"/>
  <c r="E78" i="10"/>
  <c r="H73" i="10"/>
  <c r="H73" i="6"/>
  <c r="C5" i="1"/>
  <c r="F6" i="10" s="1"/>
  <c r="O81" i="6"/>
  <c r="T78" i="10"/>
  <c r="T78" i="6"/>
  <c r="O82" i="6"/>
  <c r="T79" i="6"/>
  <c r="V82" i="6"/>
  <c r="D80" i="6"/>
  <c r="Y77" i="10"/>
  <c r="Y77" i="6"/>
  <c r="L81" i="6"/>
  <c r="B79" i="10"/>
  <c r="B79" i="6"/>
  <c r="O76" i="10"/>
  <c r="O76" i="6"/>
  <c r="T82" i="6"/>
  <c r="H74" i="10"/>
  <c r="H74" i="6"/>
  <c r="L75" i="10"/>
  <c r="L75" i="6"/>
  <c r="Y74" i="10"/>
  <c r="Y74" i="6"/>
  <c r="W75" i="10"/>
  <c r="W75" i="6"/>
  <c r="C72" i="10"/>
  <c r="C72" i="6"/>
  <c r="J75" i="10"/>
  <c r="J75" i="6"/>
  <c r="M72" i="6"/>
  <c r="M72" i="10"/>
  <c r="AM55" i="1"/>
  <c r="AD88" i="1" s="1"/>
  <c r="E56" i="6" s="1"/>
  <c r="BE55" i="1"/>
  <c r="AV88" i="1" s="1"/>
  <c r="W56" i="10" s="1"/>
  <c r="AX55" i="1"/>
  <c r="AO88" i="1" s="1"/>
  <c r="P56" i="6" s="1"/>
  <c r="BG55" i="1"/>
  <c r="AX88" i="1" s="1"/>
  <c r="Y56" i="10" s="1"/>
  <c r="AR55" i="1"/>
  <c r="AI88" i="1" s="1"/>
  <c r="J56" i="10" s="1"/>
  <c r="BH55" i="1"/>
  <c r="AY88" i="1" s="1"/>
  <c r="Z56" i="6" s="1"/>
  <c r="AO55" i="1"/>
  <c r="AF88" i="1" s="1"/>
  <c r="G56" i="6" s="1"/>
  <c r="BB55" i="1"/>
  <c r="AS88" i="1" s="1"/>
  <c r="T56" i="6" s="1"/>
  <c r="AW55" i="1"/>
  <c r="AN88" i="1" s="1"/>
  <c r="O56" i="10" s="1"/>
  <c r="AT55" i="1"/>
  <c r="AK88" i="1" s="1"/>
  <c r="AU55" i="1"/>
  <c r="AL88" i="1" s="1"/>
  <c r="M56" i="6" s="1"/>
  <c r="AJ55" i="1"/>
  <c r="AA88" i="1" s="1"/>
  <c r="B56" i="6" s="1"/>
  <c r="BD61" i="1"/>
  <c r="AU94" i="1" s="1"/>
  <c r="V62" i="6" s="1"/>
  <c r="AY61" i="1"/>
  <c r="AP94" i="1" s="1"/>
  <c r="Q62" i="6" s="1"/>
  <c r="BA61" i="1"/>
  <c r="AR94" i="1" s="1"/>
  <c r="S62" i="6" s="1"/>
  <c r="AY60" i="1"/>
  <c r="AP93" i="1" s="1"/>
  <c r="BA60" i="1"/>
  <c r="AR93" i="1" s="1"/>
  <c r="S61" i="6" s="1"/>
  <c r="AV60" i="1"/>
  <c r="AM93" i="1" s="1"/>
  <c r="N61" i="6" s="1"/>
  <c r="BF55" i="1"/>
  <c r="AW88" i="1" s="1"/>
  <c r="X56" i="6" s="1"/>
  <c r="AK55" i="1"/>
  <c r="AB88" i="1" s="1"/>
  <c r="C56" i="6" s="1"/>
  <c r="BC55" i="1"/>
  <c r="AT88" i="1" s="1"/>
  <c r="U56" i="6" s="1"/>
  <c r="AO61" i="1"/>
  <c r="AF94" i="1" s="1"/>
  <c r="G62" i="6" s="1"/>
  <c r="BG61" i="1"/>
  <c r="AX94" i="1" s="1"/>
  <c r="Y62" i="6" s="1"/>
  <c r="AL61" i="1"/>
  <c r="AC94" i="1" s="1"/>
  <c r="D62" i="6" s="1"/>
  <c r="BG60" i="1"/>
  <c r="AX93" i="1" s="1"/>
  <c r="Y61" i="6" s="1"/>
  <c r="AL60" i="1"/>
  <c r="AC93" i="1" s="1"/>
  <c r="D61" i="6" s="1"/>
  <c r="BD60" i="1"/>
  <c r="AU93" i="1" s="1"/>
  <c r="V61" i="6" s="1"/>
  <c r="AQ55" i="1"/>
  <c r="AH88" i="1" s="1"/>
  <c r="I56" i="6" s="1"/>
  <c r="AS55" i="1"/>
  <c r="AJ88" i="1" s="1"/>
  <c r="K56" i="6" s="1"/>
  <c r="AN55" i="1"/>
  <c r="AE88" i="1" s="1"/>
  <c r="F56" i="6" s="1"/>
  <c r="AW61" i="1"/>
  <c r="AN94" i="1" s="1"/>
  <c r="AJ61" i="1"/>
  <c r="AA94" i="1" s="1"/>
  <c r="B62" i="6" s="1"/>
  <c r="AT61" i="1"/>
  <c r="AK94" i="1" s="1"/>
  <c r="L62" i="6" s="1"/>
  <c r="AJ60" i="1"/>
  <c r="AA93" i="1" s="1"/>
  <c r="B61" i="6" s="1"/>
  <c r="AT60" i="1"/>
  <c r="AK93" i="1" s="1"/>
  <c r="L61" i="6" s="1"/>
  <c r="AO60" i="1"/>
  <c r="AF93" i="1" s="1"/>
  <c r="G61" i="6" s="1"/>
  <c r="AY55" i="1"/>
  <c r="AP88" i="1" s="1"/>
  <c r="Q56" i="10" s="1"/>
  <c r="BA55" i="1"/>
  <c r="AR88" i="1" s="1"/>
  <c r="S56" i="6" s="1"/>
  <c r="AV55" i="1"/>
  <c r="AM88" i="1" s="1"/>
  <c r="N56" i="6" s="1"/>
  <c r="AL55" i="1"/>
  <c r="AC88" i="1" s="1"/>
  <c r="D56" i="6" s="1"/>
  <c r="BD55" i="1"/>
  <c r="AU88" i="1" s="1"/>
  <c r="V56" i="6" s="1"/>
  <c r="AN61" i="1"/>
  <c r="AE94" i="1" s="1"/>
  <c r="F62" i="6" s="1"/>
  <c r="BF61" i="1"/>
  <c r="AW94" i="1" s="1"/>
  <c r="BF60" i="1"/>
  <c r="AW93" i="1" s="1"/>
  <c r="AK60" i="1"/>
  <c r="AB93" i="1" s="1"/>
  <c r="C61" i="6" s="1"/>
  <c r="AP55" i="1"/>
  <c r="AG88" i="1" s="1"/>
  <c r="H56" i="10" s="1"/>
  <c r="AZ55" i="1"/>
  <c r="AQ88" i="1" s="1"/>
  <c r="R56" i="6" s="1"/>
  <c r="BA64" i="1"/>
  <c r="AR97" i="1" s="1"/>
  <c r="AS64" i="1"/>
  <c r="AJ97" i="1" s="1"/>
  <c r="AK64" i="1"/>
  <c r="AB97" i="1" s="1"/>
  <c r="BH64" i="1"/>
  <c r="AY97" i="1" s="1"/>
  <c r="AZ64" i="1"/>
  <c r="AQ97" i="1" s="1"/>
  <c r="AR64" i="1"/>
  <c r="AI97" i="1" s="1"/>
  <c r="AJ64" i="1"/>
  <c r="AA97" i="1" s="1"/>
  <c r="B65" i="6" s="1"/>
  <c r="BG64" i="1"/>
  <c r="AX97" i="1" s="1"/>
  <c r="AY64" i="1"/>
  <c r="AP97" i="1" s="1"/>
  <c r="AQ64" i="1"/>
  <c r="AH97" i="1" s="1"/>
  <c r="BF64" i="1"/>
  <c r="AW97" i="1" s="1"/>
  <c r="AX64" i="1"/>
  <c r="AO97" i="1" s="1"/>
  <c r="AP64" i="1"/>
  <c r="AG97" i="1" s="1"/>
  <c r="BE64" i="1"/>
  <c r="AV97" i="1" s="1"/>
  <c r="AW64" i="1"/>
  <c r="AN97" i="1" s="1"/>
  <c r="AO64" i="1"/>
  <c r="AF97" i="1" s="1"/>
  <c r="BD64" i="1"/>
  <c r="AU97" i="1" s="1"/>
  <c r="AV64" i="1"/>
  <c r="AM97" i="1" s="1"/>
  <c r="AN64" i="1"/>
  <c r="AE97" i="1" s="1"/>
  <c r="BC64" i="1"/>
  <c r="AT97" i="1" s="1"/>
  <c r="AU64" i="1"/>
  <c r="AL97" i="1" s="1"/>
  <c r="AM64" i="1"/>
  <c r="AD97" i="1" s="1"/>
  <c r="BB64" i="1"/>
  <c r="AS97" i="1" s="1"/>
  <c r="AT64" i="1"/>
  <c r="AK97" i="1" s="1"/>
  <c r="AL64" i="1"/>
  <c r="AC97" i="1" s="1"/>
  <c r="BA56" i="1"/>
  <c r="AR89" i="1" s="1"/>
  <c r="AS56" i="1"/>
  <c r="AJ89" i="1" s="1"/>
  <c r="AK56" i="1"/>
  <c r="AB89" i="1" s="1"/>
  <c r="BH56" i="1"/>
  <c r="AY89" i="1" s="1"/>
  <c r="AZ56" i="1"/>
  <c r="AQ89" i="1" s="1"/>
  <c r="AR56" i="1"/>
  <c r="AI89" i="1" s="1"/>
  <c r="AJ56" i="1"/>
  <c r="AA89" i="1" s="1"/>
  <c r="B57" i="6" s="1"/>
  <c r="BG56" i="1"/>
  <c r="AX89" i="1" s="1"/>
  <c r="AY56" i="1"/>
  <c r="AP89" i="1" s="1"/>
  <c r="AQ56" i="1"/>
  <c r="AH89" i="1" s="1"/>
  <c r="BF56" i="1"/>
  <c r="AW89" i="1" s="1"/>
  <c r="AX56" i="1"/>
  <c r="AO89" i="1" s="1"/>
  <c r="AP56" i="1"/>
  <c r="AG89" i="1" s="1"/>
  <c r="BE56" i="1"/>
  <c r="AV89" i="1" s="1"/>
  <c r="AW56" i="1"/>
  <c r="AN89" i="1" s="1"/>
  <c r="AO56" i="1"/>
  <c r="AF89" i="1" s="1"/>
  <c r="BD56" i="1"/>
  <c r="AU89" i="1" s="1"/>
  <c r="AV56" i="1"/>
  <c r="AM89" i="1" s="1"/>
  <c r="AN56" i="1"/>
  <c r="AE89" i="1" s="1"/>
  <c r="BC56" i="1"/>
  <c r="AT89" i="1" s="1"/>
  <c r="AU56" i="1"/>
  <c r="AL89" i="1" s="1"/>
  <c r="AM56" i="1"/>
  <c r="AD89" i="1" s="1"/>
  <c r="BB56" i="1"/>
  <c r="AS89" i="1" s="1"/>
  <c r="AT56" i="1"/>
  <c r="AK89" i="1" s="1"/>
  <c r="AL56" i="1"/>
  <c r="AC89" i="1" s="1"/>
  <c r="BC58" i="1"/>
  <c r="AT91" i="1" s="1"/>
  <c r="AU58" i="1"/>
  <c r="AL91" i="1" s="1"/>
  <c r="AM58" i="1"/>
  <c r="AD91" i="1" s="1"/>
  <c r="BB58" i="1"/>
  <c r="AS91" i="1" s="1"/>
  <c r="AT58" i="1"/>
  <c r="AK91" i="1" s="1"/>
  <c r="AL58" i="1"/>
  <c r="AC91" i="1" s="1"/>
  <c r="BA58" i="1"/>
  <c r="AR91" i="1" s="1"/>
  <c r="AS58" i="1"/>
  <c r="AJ91" i="1" s="1"/>
  <c r="AK58" i="1"/>
  <c r="AB91" i="1" s="1"/>
  <c r="BH58" i="1"/>
  <c r="AY91" i="1" s="1"/>
  <c r="AZ58" i="1"/>
  <c r="AQ91" i="1" s="1"/>
  <c r="AR58" i="1"/>
  <c r="AI91" i="1" s="1"/>
  <c r="AJ58" i="1"/>
  <c r="AA91" i="1" s="1"/>
  <c r="B59" i="6" s="1"/>
  <c r="BG58" i="1"/>
  <c r="AX91" i="1" s="1"/>
  <c r="AY58" i="1"/>
  <c r="AP91" i="1" s="1"/>
  <c r="AQ58" i="1"/>
  <c r="AH91" i="1" s="1"/>
  <c r="BF58" i="1"/>
  <c r="AW91" i="1" s="1"/>
  <c r="AX58" i="1"/>
  <c r="AO91" i="1" s="1"/>
  <c r="AP58" i="1"/>
  <c r="AG91" i="1" s="1"/>
  <c r="BE58" i="1"/>
  <c r="AV91" i="1" s="1"/>
  <c r="AW58" i="1"/>
  <c r="AN91" i="1" s="1"/>
  <c r="AO58" i="1"/>
  <c r="AF91" i="1" s="1"/>
  <c r="BD58" i="1"/>
  <c r="AU91" i="1" s="1"/>
  <c r="AV58" i="1"/>
  <c r="AM91" i="1" s="1"/>
  <c r="AN58" i="1"/>
  <c r="AE91" i="1" s="1"/>
  <c r="C62" i="6"/>
  <c r="U61" i="6"/>
  <c r="Q66" i="6"/>
  <c r="S66" i="6"/>
  <c r="R60" i="6"/>
  <c r="I55" i="6"/>
  <c r="I55" i="10"/>
  <c r="X63" i="6"/>
  <c r="U60" i="6"/>
  <c r="P60" i="6"/>
  <c r="P60" i="10"/>
  <c r="Z60" i="6"/>
  <c r="Z60" i="10"/>
  <c r="Q55" i="6"/>
  <c r="Q55" i="10"/>
  <c r="T58" i="10"/>
  <c r="O58" i="10"/>
  <c r="BD63" i="1"/>
  <c r="AU96" i="1" s="1"/>
  <c r="AV63" i="1"/>
  <c r="AM96" i="1" s="1"/>
  <c r="AN63" i="1"/>
  <c r="AE96" i="1" s="1"/>
  <c r="BC63" i="1"/>
  <c r="AT96" i="1" s="1"/>
  <c r="AU63" i="1"/>
  <c r="AL96" i="1" s="1"/>
  <c r="AM63" i="1"/>
  <c r="AD96" i="1" s="1"/>
  <c r="BB63" i="1"/>
  <c r="AS96" i="1" s="1"/>
  <c r="AT63" i="1"/>
  <c r="AK96" i="1" s="1"/>
  <c r="AL63" i="1"/>
  <c r="AC96" i="1" s="1"/>
  <c r="BA63" i="1"/>
  <c r="AR96" i="1" s="1"/>
  <c r="AS63" i="1"/>
  <c r="AJ96" i="1" s="1"/>
  <c r="AK63" i="1"/>
  <c r="AB96" i="1" s="1"/>
  <c r="BH63" i="1"/>
  <c r="AY96" i="1" s="1"/>
  <c r="AZ63" i="1"/>
  <c r="AQ96" i="1" s="1"/>
  <c r="AR63" i="1"/>
  <c r="AI96" i="1" s="1"/>
  <c r="AJ63" i="1"/>
  <c r="AA96" i="1" s="1"/>
  <c r="B64" i="6" s="1"/>
  <c r="BG63" i="1"/>
  <c r="AX96" i="1" s="1"/>
  <c r="AY63" i="1"/>
  <c r="AP96" i="1" s="1"/>
  <c r="AQ63" i="1"/>
  <c r="AH96" i="1" s="1"/>
  <c r="BF63" i="1"/>
  <c r="AW96" i="1" s="1"/>
  <c r="AX63" i="1"/>
  <c r="AO96" i="1" s="1"/>
  <c r="AP63" i="1"/>
  <c r="AG96" i="1" s="1"/>
  <c r="BE63" i="1"/>
  <c r="AV96" i="1" s="1"/>
  <c r="AW63" i="1"/>
  <c r="AN96" i="1" s="1"/>
  <c r="AO63" i="1"/>
  <c r="AF96" i="1" s="1"/>
  <c r="I63" i="6"/>
  <c r="L66" i="6"/>
  <c r="G66" i="6"/>
  <c r="K60" i="6"/>
  <c r="K60" i="10"/>
  <c r="X60" i="6"/>
  <c r="B55" i="10"/>
  <c r="G55" i="6"/>
  <c r="G55" i="10"/>
  <c r="Y55" i="6"/>
  <c r="Y55" i="10"/>
  <c r="Q63" i="6"/>
  <c r="J66" i="6"/>
  <c r="T66" i="6"/>
  <c r="O66" i="6"/>
  <c r="J55" i="6"/>
  <c r="J55" i="10"/>
  <c r="BB53" i="1"/>
  <c r="AS86" i="1" s="1"/>
  <c r="AT53" i="1"/>
  <c r="AK86" i="1" s="1"/>
  <c r="AL53" i="1"/>
  <c r="AC86" i="1" s="1"/>
  <c r="BA53" i="1"/>
  <c r="AR86" i="1" s="1"/>
  <c r="AS53" i="1"/>
  <c r="AJ86" i="1" s="1"/>
  <c r="AK53" i="1"/>
  <c r="AB86" i="1" s="1"/>
  <c r="BH53" i="1"/>
  <c r="AY86" i="1" s="1"/>
  <c r="AR53" i="1"/>
  <c r="AI86" i="1" s="1"/>
  <c r="AJ53" i="1"/>
  <c r="AA86" i="1" s="1"/>
  <c r="B54" i="6" s="1"/>
  <c r="BG53" i="1"/>
  <c r="AX86" i="1" s="1"/>
  <c r="AY53" i="1"/>
  <c r="AP86" i="1" s="1"/>
  <c r="AQ53" i="1"/>
  <c r="AH86" i="1" s="1"/>
  <c r="BF53" i="1"/>
  <c r="AW86" i="1" s="1"/>
  <c r="AX53" i="1"/>
  <c r="AO86" i="1" s="1"/>
  <c r="AP53" i="1"/>
  <c r="AG86" i="1" s="1"/>
  <c r="BE53" i="1"/>
  <c r="AV86" i="1" s="1"/>
  <c r="AW53" i="1"/>
  <c r="AN86" i="1" s="1"/>
  <c r="AO53" i="1"/>
  <c r="AF86" i="1" s="1"/>
  <c r="BD53" i="1"/>
  <c r="AU86" i="1" s="1"/>
  <c r="AV53" i="1"/>
  <c r="AM86" i="1" s="1"/>
  <c r="AN53" i="1"/>
  <c r="AE86" i="1" s="1"/>
  <c r="AZ53" i="1"/>
  <c r="AQ86" i="1" s="1"/>
  <c r="BC53" i="1"/>
  <c r="AT86" i="1" s="1"/>
  <c r="AU53" i="1"/>
  <c r="AL86" i="1" s="1"/>
  <c r="AM53" i="1"/>
  <c r="AD86" i="1" s="1"/>
  <c r="Z58" i="6"/>
  <c r="Z58" i="10"/>
  <c r="M58" i="6"/>
  <c r="M58" i="10"/>
  <c r="L63" i="6"/>
  <c r="V60" i="6"/>
  <c r="Q60" i="6"/>
  <c r="Q60" i="10"/>
  <c r="BD52" i="1"/>
  <c r="AU85" i="1" s="1"/>
  <c r="AV52" i="1"/>
  <c r="AM85" i="1" s="1"/>
  <c r="AN52" i="1"/>
  <c r="AE85" i="1" s="1"/>
  <c r="AM52" i="1"/>
  <c r="AD85" i="1" s="1"/>
  <c r="BC52" i="1"/>
  <c r="AT85" i="1" s="1"/>
  <c r="AU52" i="1"/>
  <c r="AL85" i="1" s="1"/>
  <c r="BB52" i="1"/>
  <c r="AS85" i="1" s="1"/>
  <c r="AT52" i="1"/>
  <c r="AK85" i="1" s="1"/>
  <c r="AL52" i="1"/>
  <c r="AC85" i="1" s="1"/>
  <c r="BA52" i="1"/>
  <c r="AR85" i="1" s="1"/>
  <c r="AS52" i="1"/>
  <c r="AJ85" i="1" s="1"/>
  <c r="AK52" i="1"/>
  <c r="AB85" i="1" s="1"/>
  <c r="BH52" i="1"/>
  <c r="AY85" i="1" s="1"/>
  <c r="AZ52" i="1"/>
  <c r="AQ85" i="1" s="1"/>
  <c r="AR52" i="1"/>
  <c r="AI85" i="1" s="1"/>
  <c r="AJ52" i="1"/>
  <c r="AA85" i="1" s="1"/>
  <c r="B53" i="6" s="1"/>
  <c r="AO52" i="1"/>
  <c r="AF85" i="1" s="1"/>
  <c r="BG52" i="1"/>
  <c r="AX85" i="1" s="1"/>
  <c r="AY52" i="1"/>
  <c r="AP85" i="1" s="1"/>
  <c r="AQ52" i="1"/>
  <c r="AH85" i="1" s="1"/>
  <c r="BE52" i="1"/>
  <c r="AV85" i="1" s="1"/>
  <c r="BF52" i="1"/>
  <c r="AW85" i="1" s="1"/>
  <c r="AX52" i="1"/>
  <c r="AO85" i="1" s="1"/>
  <c r="AP52" i="1"/>
  <c r="AG85" i="1" s="1"/>
  <c r="AW52" i="1"/>
  <c r="AN85" i="1" s="1"/>
  <c r="J63" i="6"/>
  <c r="T63" i="6"/>
  <c r="G60" i="6"/>
  <c r="G60" i="10"/>
  <c r="M55" i="6"/>
  <c r="M55" i="10"/>
  <c r="H55" i="6"/>
  <c r="H55" i="10"/>
  <c r="E63" i="6"/>
  <c r="C66" i="6"/>
  <c r="P66" i="6"/>
  <c r="T60" i="6"/>
  <c r="T60" i="10"/>
  <c r="N58" i="6"/>
  <c r="N58" i="10"/>
  <c r="Z63" i="6"/>
  <c r="M63" i="6"/>
  <c r="H63" i="6"/>
  <c r="I66" i="6"/>
  <c r="K66" i="6"/>
  <c r="F66" i="6"/>
  <c r="X66" i="6"/>
  <c r="J60" i="6"/>
  <c r="J60" i="10"/>
  <c r="X55" i="6"/>
  <c r="X55" i="10"/>
  <c r="D58" i="6"/>
  <c r="D58" i="10"/>
  <c r="AK40" i="1"/>
  <c r="AB73" i="1" s="1"/>
  <c r="BH40" i="1"/>
  <c r="AY73" i="1" s="1"/>
  <c r="AZ40" i="1"/>
  <c r="AQ73" i="1" s="1"/>
  <c r="AR40" i="1"/>
  <c r="AI73" i="1" s="1"/>
  <c r="AJ40" i="1"/>
  <c r="AA73" i="1" s="1"/>
  <c r="BG40" i="1"/>
  <c r="AX73" i="1" s="1"/>
  <c r="AY40" i="1"/>
  <c r="AP73" i="1" s="1"/>
  <c r="AQ40" i="1"/>
  <c r="AH73" i="1" s="1"/>
  <c r="BF40" i="1"/>
  <c r="AW73" i="1" s="1"/>
  <c r="AX40" i="1"/>
  <c r="AO73" i="1" s="1"/>
  <c r="AP40" i="1"/>
  <c r="AG73" i="1" s="1"/>
  <c r="BE40" i="1"/>
  <c r="AV73" i="1" s="1"/>
  <c r="AW40" i="1"/>
  <c r="AN73" i="1" s="1"/>
  <c r="AO40" i="1"/>
  <c r="AF73" i="1" s="1"/>
  <c r="BD40" i="1"/>
  <c r="AU73" i="1" s="1"/>
  <c r="AV40" i="1"/>
  <c r="AM73" i="1" s="1"/>
  <c r="AN40" i="1"/>
  <c r="AE73" i="1" s="1"/>
  <c r="BC40" i="1"/>
  <c r="AT73" i="1" s="1"/>
  <c r="AU40" i="1"/>
  <c r="AL73" i="1" s="1"/>
  <c r="AM40" i="1"/>
  <c r="AD73" i="1" s="1"/>
  <c r="AS40" i="1"/>
  <c r="AJ73" i="1" s="1"/>
  <c r="BB40" i="1"/>
  <c r="AS73" i="1" s="1"/>
  <c r="AT40" i="1"/>
  <c r="AK73" i="1" s="1"/>
  <c r="AL40" i="1"/>
  <c r="AC73" i="1" s="1"/>
  <c r="BA40" i="1"/>
  <c r="AR73" i="1" s="1"/>
  <c r="BF49" i="1"/>
  <c r="AW82" i="1" s="1"/>
  <c r="AX49" i="1"/>
  <c r="AO82" i="1" s="1"/>
  <c r="AP49" i="1"/>
  <c r="AG82" i="1" s="1"/>
  <c r="BE49" i="1"/>
  <c r="AV82" i="1" s="1"/>
  <c r="AW49" i="1"/>
  <c r="AN82" i="1" s="1"/>
  <c r="AO49" i="1"/>
  <c r="AF82" i="1" s="1"/>
  <c r="BD49" i="1"/>
  <c r="AU82" i="1" s="1"/>
  <c r="AV49" i="1"/>
  <c r="AM82" i="1" s="1"/>
  <c r="AN49" i="1"/>
  <c r="AE82" i="1" s="1"/>
  <c r="BC49" i="1"/>
  <c r="AT82" i="1" s="1"/>
  <c r="AU49" i="1"/>
  <c r="AL82" i="1" s="1"/>
  <c r="AM49" i="1"/>
  <c r="AD82" i="1" s="1"/>
  <c r="BB49" i="1"/>
  <c r="AS82" i="1" s="1"/>
  <c r="AT49" i="1"/>
  <c r="AK82" i="1" s="1"/>
  <c r="AL49" i="1"/>
  <c r="AC82" i="1" s="1"/>
  <c r="BA49" i="1"/>
  <c r="AR82" i="1" s="1"/>
  <c r="AS49" i="1"/>
  <c r="AJ82" i="1" s="1"/>
  <c r="AK49" i="1"/>
  <c r="AB82" i="1" s="1"/>
  <c r="BH49" i="1"/>
  <c r="AY82" i="1" s="1"/>
  <c r="AZ49" i="1"/>
  <c r="AQ82" i="1" s="1"/>
  <c r="AR49" i="1"/>
  <c r="AI82" i="1" s="1"/>
  <c r="AJ49" i="1"/>
  <c r="AA82" i="1" s="1"/>
  <c r="BG49" i="1"/>
  <c r="AX82" i="1" s="1"/>
  <c r="AY49" i="1"/>
  <c r="AP82" i="1" s="1"/>
  <c r="AQ49" i="1"/>
  <c r="AH82" i="1" s="1"/>
  <c r="BA48" i="1"/>
  <c r="AR81" i="1" s="1"/>
  <c r="AS48" i="1"/>
  <c r="AJ81" i="1" s="1"/>
  <c r="AK48" i="1"/>
  <c r="AB81" i="1" s="1"/>
  <c r="BH48" i="1"/>
  <c r="AY81" i="1" s="1"/>
  <c r="AZ48" i="1"/>
  <c r="AQ81" i="1" s="1"/>
  <c r="AR48" i="1"/>
  <c r="AI81" i="1" s="1"/>
  <c r="AJ48" i="1"/>
  <c r="AA81" i="1" s="1"/>
  <c r="BG48" i="1"/>
  <c r="AX81" i="1" s="1"/>
  <c r="AY48" i="1"/>
  <c r="AP81" i="1" s="1"/>
  <c r="AQ48" i="1"/>
  <c r="AH81" i="1" s="1"/>
  <c r="BF48" i="1"/>
  <c r="AW81" i="1" s="1"/>
  <c r="AX48" i="1"/>
  <c r="AO81" i="1" s="1"/>
  <c r="AP48" i="1"/>
  <c r="AG81" i="1" s="1"/>
  <c r="BE48" i="1"/>
  <c r="AV81" i="1" s="1"/>
  <c r="AW48" i="1"/>
  <c r="AN81" i="1" s="1"/>
  <c r="AO48" i="1"/>
  <c r="AF81" i="1" s="1"/>
  <c r="BD48" i="1"/>
  <c r="AU81" i="1" s="1"/>
  <c r="AV48" i="1"/>
  <c r="AM81" i="1" s="1"/>
  <c r="AN48" i="1"/>
  <c r="AE81" i="1" s="1"/>
  <c r="BC48" i="1"/>
  <c r="AT81" i="1" s="1"/>
  <c r="AU48" i="1"/>
  <c r="AL81" i="1" s="1"/>
  <c r="AM48" i="1"/>
  <c r="AD81" i="1" s="1"/>
  <c r="BB48" i="1"/>
  <c r="AS81" i="1" s="1"/>
  <c r="AT48" i="1"/>
  <c r="AK81" i="1" s="1"/>
  <c r="AL48" i="1"/>
  <c r="AC81" i="1" s="1"/>
  <c r="K39" i="6"/>
  <c r="K39" i="10"/>
  <c r="F39" i="6"/>
  <c r="F39" i="10"/>
  <c r="X39" i="6"/>
  <c r="X39" i="10"/>
  <c r="U47" i="6"/>
  <c r="K44" i="10"/>
  <c r="BC50" i="1"/>
  <c r="AT83" i="1" s="1"/>
  <c r="AU50" i="1"/>
  <c r="AL83" i="1" s="1"/>
  <c r="AM50" i="1"/>
  <c r="AD83" i="1" s="1"/>
  <c r="BB50" i="1"/>
  <c r="AS83" i="1" s="1"/>
  <c r="AT50" i="1"/>
  <c r="AK83" i="1" s="1"/>
  <c r="AL50" i="1"/>
  <c r="AC83" i="1" s="1"/>
  <c r="BA50" i="1"/>
  <c r="AR83" i="1" s="1"/>
  <c r="AS50" i="1"/>
  <c r="AJ83" i="1" s="1"/>
  <c r="AK50" i="1"/>
  <c r="AB83" i="1" s="1"/>
  <c r="BH50" i="1"/>
  <c r="AY83" i="1" s="1"/>
  <c r="AZ50" i="1"/>
  <c r="AQ83" i="1" s="1"/>
  <c r="AR50" i="1"/>
  <c r="AI83" i="1" s="1"/>
  <c r="AJ50" i="1"/>
  <c r="AA83" i="1" s="1"/>
  <c r="BG50" i="1"/>
  <c r="AX83" i="1" s="1"/>
  <c r="AY50" i="1"/>
  <c r="AP83" i="1" s="1"/>
  <c r="AQ50" i="1"/>
  <c r="AH83" i="1" s="1"/>
  <c r="BF50" i="1"/>
  <c r="AW83" i="1" s="1"/>
  <c r="AX50" i="1"/>
  <c r="AO83" i="1" s="1"/>
  <c r="AP50" i="1"/>
  <c r="AG83" i="1" s="1"/>
  <c r="BE50" i="1"/>
  <c r="AV83" i="1" s="1"/>
  <c r="AW50" i="1"/>
  <c r="AN83" i="1" s="1"/>
  <c r="AO50" i="1"/>
  <c r="AF83" i="1" s="1"/>
  <c r="BD50" i="1"/>
  <c r="AU83" i="1" s="1"/>
  <c r="AV50" i="1"/>
  <c r="AM83" i="1" s="1"/>
  <c r="AN50" i="1"/>
  <c r="AE83" i="1" s="1"/>
  <c r="Y39" i="6"/>
  <c r="Y39" i="10"/>
  <c r="S39" i="6"/>
  <c r="S39" i="10"/>
  <c r="N39" i="6"/>
  <c r="N39" i="10"/>
  <c r="Q39" i="6"/>
  <c r="Q39" i="10"/>
  <c r="X47" i="6"/>
  <c r="K46" i="6"/>
  <c r="M45" i="6"/>
  <c r="M45" i="10"/>
  <c r="N44" i="6"/>
  <c r="N44" i="10"/>
  <c r="I44" i="6"/>
  <c r="I44" i="10"/>
  <c r="BC42" i="1"/>
  <c r="AT75" i="1" s="1"/>
  <c r="BB42" i="1"/>
  <c r="AS75" i="1" s="1"/>
  <c r="AT42" i="1"/>
  <c r="AK75" i="1" s="1"/>
  <c r="AL42" i="1"/>
  <c r="AC75" i="1" s="1"/>
  <c r="BA42" i="1"/>
  <c r="AR75" i="1" s="1"/>
  <c r="AS42" i="1"/>
  <c r="AJ75" i="1" s="1"/>
  <c r="AK42" i="1"/>
  <c r="AB75" i="1" s="1"/>
  <c r="BH42" i="1"/>
  <c r="AY75" i="1" s="1"/>
  <c r="AZ42" i="1"/>
  <c r="AQ75" i="1" s="1"/>
  <c r="AR42" i="1"/>
  <c r="AI75" i="1" s="1"/>
  <c r="AJ42" i="1"/>
  <c r="AA75" i="1" s="1"/>
  <c r="BG42" i="1"/>
  <c r="AX75" i="1" s="1"/>
  <c r="AY42" i="1"/>
  <c r="AP75" i="1" s="1"/>
  <c r="AQ42" i="1"/>
  <c r="AH75" i="1" s="1"/>
  <c r="BF42" i="1"/>
  <c r="AW75" i="1" s="1"/>
  <c r="AX42" i="1"/>
  <c r="AO75" i="1" s="1"/>
  <c r="AP42" i="1"/>
  <c r="AG75" i="1" s="1"/>
  <c r="BE42" i="1"/>
  <c r="AV75" i="1" s="1"/>
  <c r="AW42" i="1"/>
  <c r="AN75" i="1" s="1"/>
  <c r="AO42" i="1"/>
  <c r="AF75" i="1" s="1"/>
  <c r="AM42" i="1"/>
  <c r="AD75" i="1" s="1"/>
  <c r="BD42" i="1"/>
  <c r="AU75" i="1" s="1"/>
  <c r="AV42" i="1"/>
  <c r="AM75" i="1" s="1"/>
  <c r="AN42" i="1"/>
  <c r="AE75" i="1" s="1"/>
  <c r="AU42" i="1"/>
  <c r="AL75" i="1" s="1"/>
  <c r="B39" i="6"/>
  <c r="B39" i="10"/>
  <c r="D39" i="6"/>
  <c r="D39" i="10"/>
  <c r="V39" i="6"/>
  <c r="V39" i="10"/>
  <c r="S47" i="6"/>
  <c r="N47" i="6"/>
  <c r="S46" i="6"/>
  <c r="Q44" i="6"/>
  <c r="Q44" i="10"/>
  <c r="J39" i="6"/>
  <c r="J39" i="10"/>
  <c r="L39" i="6"/>
  <c r="L39" i="10"/>
  <c r="G39" i="6"/>
  <c r="G39" i="10"/>
  <c r="AX41" i="1"/>
  <c r="AO74" i="1" s="1"/>
  <c r="BE41" i="1"/>
  <c r="AV74" i="1" s="1"/>
  <c r="AW41" i="1"/>
  <c r="AN74" i="1" s="1"/>
  <c r="AO41" i="1"/>
  <c r="AF74" i="1" s="1"/>
  <c r="BD41" i="1"/>
  <c r="AU74" i="1" s="1"/>
  <c r="AV41" i="1"/>
  <c r="AM74" i="1" s="1"/>
  <c r="AN41" i="1"/>
  <c r="AE74" i="1" s="1"/>
  <c r="BC41" i="1"/>
  <c r="AT74" i="1" s="1"/>
  <c r="AU41" i="1"/>
  <c r="AL74" i="1" s="1"/>
  <c r="AM41" i="1"/>
  <c r="AD74" i="1" s="1"/>
  <c r="BB41" i="1"/>
  <c r="AS74" i="1" s="1"/>
  <c r="AT41" i="1"/>
  <c r="AK74" i="1" s="1"/>
  <c r="AL41" i="1"/>
  <c r="AC74" i="1" s="1"/>
  <c r="BA41" i="1"/>
  <c r="AR74" i="1" s="1"/>
  <c r="AS41" i="1"/>
  <c r="AJ74" i="1" s="1"/>
  <c r="AK41" i="1"/>
  <c r="AB74" i="1" s="1"/>
  <c r="BH41" i="1"/>
  <c r="AY74" i="1" s="1"/>
  <c r="AZ41" i="1"/>
  <c r="AQ74" i="1" s="1"/>
  <c r="AR41" i="1"/>
  <c r="AI74" i="1" s="1"/>
  <c r="AJ41" i="1"/>
  <c r="AA74" i="1" s="1"/>
  <c r="BF41" i="1"/>
  <c r="AW74" i="1" s="1"/>
  <c r="BG41" i="1"/>
  <c r="AX74" i="1" s="1"/>
  <c r="AY41" i="1"/>
  <c r="AP74" i="1" s="1"/>
  <c r="AQ41" i="1"/>
  <c r="AH74" i="1" s="1"/>
  <c r="AP41" i="1"/>
  <c r="AG74" i="1" s="1"/>
  <c r="I45" i="10"/>
  <c r="F45" i="6"/>
  <c r="F45" i="10"/>
  <c r="Y44" i="10"/>
  <c r="BD47" i="1"/>
  <c r="AU80" i="1" s="1"/>
  <c r="AV47" i="1"/>
  <c r="AM80" i="1" s="1"/>
  <c r="AN47" i="1"/>
  <c r="AE80" i="1" s="1"/>
  <c r="BC47" i="1"/>
  <c r="AT80" i="1" s="1"/>
  <c r="AU47" i="1"/>
  <c r="AL80" i="1" s="1"/>
  <c r="AM47" i="1"/>
  <c r="AD80" i="1" s="1"/>
  <c r="BB47" i="1"/>
  <c r="AS80" i="1" s="1"/>
  <c r="AT47" i="1"/>
  <c r="AK80" i="1" s="1"/>
  <c r="AL47" i="1"/>
  <c r="AC80" i="1" s="1"/>
  <c r="BA47" i="1"/>
  <c r="AR80" i="1" s="1"/>
  <c r="AS47" i="1"/>
  <c r="AJ80" i="1" s="1"/>
  <c r="AK47" i="1"/>
  <c r="AB80" i="1" s="1"/>
  <c r="BH47" i="1"/>
  <c r="AY80" i="1" s="1"/>
  <c r="AZ47" i="1"/>
  <c r="AQ80" i="1" s="1"/>
  <c r="AR47" i="1"/>
  <c r="AI80" i="1" s="1"/>
  <c r="AJ47" i="1"/>
  <c r="AA80" i="1" s="1"/>
  <c r="BG47" i="1"/>
  <c r="AX80" i="1" s="1"/>
  <c r="AY47" i="1"/>
  <c r="AP80" i="1" s="1"/>
  <c r="AQ47" i="1"/>
  <c r="AH80" i="1" s="1"/>
  <c r="BF47" i="1"/>
  <c r="AW80" i="1" s="1"/>
  <c r="AX47" i="1"/>
  <c r="AO80" i="1" s="1"/>
  <c r="AP47" i="1"/>
  <c r="AG80" i="1" s="1"/>
  <c r="BE47" i="1"/>
  <c r="AV80" i="1" s="1"/>
  <c r="AW47" i="1"/>
  <c r="AN80" i="1" s="1"/>
  <c r="AO47" i="1"/>
  <c r="AF80" i="1" s="1"/>
  <c r="R39" i="6"/>
  <c r="R39" i="10"/>
  <c r="T39" i="6"/>
  <c r="T39" i="10"/>
  <c r="O39" i="6"/>
  <c r="O39" i="10"/>
  <c r="G47" i="6"/>
  <c r="B46" i="10"/>
  <c r="Q45" i="6"/>
  <c r="Q45" i="10"/>
  <c r="S45" i="10"/>
  <c r="Z39" i="6"/>
  <c r="Z39" i="10"/>
  <c r="E39" i="6"/>
  <c r="E39" i="10"/>
  <c r="W39" i="6"/>
  <c r="W39" i="10"/>
  <c r="E46" i="6"/>
  <c r="E46" i="10"/>
  <c r="W44" i="6"/>
  <c r="W44" i="10"/>
  <c r="AV39" i="1"/>
  <c r="AM72" i="1" s="1"/>
  <c r="BC39" i="1"/>
  <c r="AT72" i="1" s="1"/>
  <c r="AU39" i="1"/>
  <c r="AL72" i="1" s="1"/>
  <c r="AM39" i="1"/>
  <c r="AD72" i="1" s="1"/>
  <c r="BB39" i="1"/>
  <c r="AS72" i="1" s="1"/>
  <c r="AT39" i="1"/>
  <c r="AK72" i="1" s="1"/>
  <c r="AL39" i="1"/>
  <c r="AC72" i="1" s="1"/>
  <c r="BA39" i="1"/>
  <c r="AR72" i="1" s="1"/>
  <c r="AS39" i="1"/>
  <c r="AJ72" i="1" s="1"/>
  <c r="AK39" i="1"/>
  <c r="AB72" i="1" s="1"/>
  <c r="BH39" i="1"/>
  <c r="AY72" i="1" s="1"/>
  <c r="AZ39" i="1"/>
  <c r="AQ72" i="1" s="1"/>
  <c r="AR39" i="1"/>
  <c r="AI72" i="1" s="1"/>
  <c r="AJ39" i="1"/>
  <c r="AA72" i="1" s="1"/>
  <c r="BG39" i="1"/>
  <c r="AX72" i="1" s="1"/>
  <c r="AY39" i="1"/>
  <c r="AP72" i="1" s="1"/>
  <c r="AQ39" i="1"/>
  <c r="AH72" i="1" s="1"/>
  <c r="BF39" i="1"/>
  <c r="AW72" i="1" s="1"/>
  <c r="AX39" i="1"/>
  <c r="AO72" i="1" s="1"/>
  <c r="AP39" i="1"/>
  <c r="AG72" i="1" s="1"/>
  <c r="BE39" i="1"/>
  <c r="AV72" i="1" s="1"/>
  <c r="AW39" i="1"/>
  <c r="AN72" i="1" s="1"/>
  <c r="AO39" i="1"/>
  <c r="AF72" i="1" s="1"/>
  <c r="BD39" i="1"/>
  <c r="AU72" i="1" s="1"/>
  <c r="AN39" i="1"/>
  <c r="AE72" i="1" s="1"/>
  <c r="I39" i="6"/>
  <c r="I39" i="10"/>
  <c r="M39" i="6"/>
  <c r="M39" i="10"/>
  <c r="H39" i="6"/>
  <c r="H39" i="10"/>
  <c r="E4" i="1"/>
  <c r="M46" i="6"/>
  <c r="O45" i="6"/>
  <c r="L45" i="6"/>
  <c r="L45" i="10"/>
  <c r="H44" i="6"/>
  <c r="H44" i="10"/>
  <c r="R44" i="6"/>
  <c r="R44" i="10"/>
  <c r="C39" i="6"/>
  <c r="C39" i="10"/>
  <c r="U39" i="6"/>
  <c r="U39" i="10"/>
  <c r="P39" i="6"/>
  <c r="P39" i="10"/>
  <c r="H45" i="6"/>
  <c r="H45" i="10"/>
  <c r="J45" i="6"/>
  <c r="T45" i="6"/>
  <c r="T45" i="10"/>
  <c r="C44" i="10"/>
  <c r="U44" i="6"/>
  <c r="U44" i="10"/>
  <c r="BA37" i="1"/>
  <c r="AR70" i="1" s="1"/>
  <c r="AS37" i="1"/>
  <c r="AJ70" i="1" s="1"/>
  <c r="AK37" i="1"/>
  <c r="AB70" i="1" s="1"/>
  <c r="BC37" i="1"/>
  <c r="AT70" i="1" s="1"/>
  <c r="BH37" i="1"/>
  <c r="AY70" i="1" s="1"/>
  <c r="AZ37" i="1"/>
  <c r="AQ70" i="1" s="1"/>
  <c r="AR37" i="1"/>
  <c r="AI70" i="1" s="1"/>
  <c r="AJ37" i="1"/>
  <c r="AA70" i="1" s="1"/>
  <c r="AN37" i="1"/>
  <c r="AE70" i="1" s="1"/>
  <c r="BG37" i="1"/>
  <c r="AX70" i="1" s="1"/>
  <c r="AY37" i="1"/>
  <c r="AP70" i="1" s="1"/>
  <c r="AQ37" i="1"/>
  <c r="AH70" i="1" s="1"/>
  <c r="BF37" i="1"/>
  <c r="AW70" i="1" s="1"/>
  <c r="AX37" i="1"/>
  <c r="AO70" i="1" s="1"/>
  <c r="AP37" i="1"/>
  <c r="AG70" i="1" s="1"/>
  <c r="AV37" i="1"/>
  <c r="AM70" i="1" s="1"/>
  <c r="BE37" i="1"/>
  <c r="AV70" i="1" s="1"/>
  <c r="AW37" i="1"/>
  <c r="AN70" i="1" s="1"/>
  <c r="AO37" i="1"/>
  <c r="AF70" i="1" s="1"/>
  <c r="AU37" i="1"/>
  <c r="AL70" i="1" s="1"/>
  <c r="BB37" i="1"/>
  <c r="AS70" i="1" s="1"/>
  <c r="AT37" i="1"/>
  <c r="AK70" i="1" s="1"/>
  <c r="AL37" i="1"/>
  <c r="AC70" i="1" s="1"/>
  <c r="BD37" i="1"/>
  <c r="AU70" i="1" s="1"/>
  <c r="AM37" i="1"/>
  <c r="AD70" i="1" s="1"/>
  <c r="L60" i="10" l="1"/>
  <c r="R60" i="10"/>
  <c r="R78" i="10"/>
  <c r="J78" i="10"/>
  <c r="X45" i="10"/>
  <c r="N45" i="10"/>
  <c r="V60" i="10"/>
  <c r="T79" i="10"/>
  <c r="U46" i="10"/>
  <c r="O79" i="10"/>
  <c r="N79" i="10"/>
  <c r="V79" i="10"/>
  <c r="S79" i="10"/>
  <c r="P46" i="10"/>
  <c r="Q46" i="10"/>
  <c r="R79" i="10"/>
  <c r="Y78" i="10"/>
  <c r="W61" i="10"/>
  <c r="X79" i="10"/>
  <c r="Y79" i="10"/>
  <c r="Z61" i="10"/>
  <c r="U66" i="6"/>
  <c r="C60" i="10"/>
  <c r="I58" i="6"/>
  <c r="N45" i="6"/>
  <c r="L47" i="6"/>
  <c r="G44" i="6"/>
  <c r="U45" i="10"/>
  <c r="Z44" i="10"/>
  <c r="W56" i="6"/>
  <c r="S55" i="6"/>
  <c r="V58" i="10"/>
  <c r="D60" i="10"/>
  <c r="H60" i="10"/>
  <c r="B61" i="10"/>
  <c r="D55" i="10"/>
  <c r="Z55" i="10"/>
  <c r="H58" i="10"/>
  <c r="B45" i="10"/>
  <c r="Y45" i="10"/>
  <c r="B47" i="6"/>
  <c r="W45" i="10"/>
  <c r="M91" i="6"/>
  <c r="W61" i="6"/>
  <c r="P58" i="10"/>
  <c r="P91" i="6"/>
  <c r="M92" i="10"/>
  <c r="G94" i="6"/>
  <c r="K94" i="6"/>
  <c r="N96" i="6"/>
  <c r="F99" i="6"/>
  <c r="Q98" i="6"/>
  <c r="Z90" i="10"/>
  <c r="Z90" i="6"/>
  <c r="K98" i="6"/>
  <c r="K98" i="10"/>
  <c r="AA98" i="10" s="1"/>
  <c r="X91" i="6"/>
  <c r="X91" i="10"/>
  <c r="Q91" i="6"/>
  <c r="Q91" i="10"/>
  <c r="K90" i="10"/>
  <c r="K90" i="6"/>
  <c r="W60" i="10"/>
  <c r="E61" i="10"/>
  <c r="H66" i="6"/>
  <c r="Q94" i="10"/>
  <c r="D96" i="6"/>
  <c r="K99" i="10"/>
  <c r="V99" i="6"/>
  <c r="H89" i="6"/>
  <c r="Z94" i="10"/>
  <c r="Z94" i="6"/>
  <c r="I90" i="6"/>
  <c r="I90" i="10"/>
  <c r="I60" i="10"/>
  <c r="C20" i="1"/>
  <c r="F21" i="10" s="1"/>
  <c r="T91" i="6"/>
  <c r="C31" i="1"/>
  <c r="F32" i="10" s="1"/>
  <c r="Y99" i="6"/>
  <c r="H95" i="10"/>
  <c r="AA95" i="10" s="1"/>
  <c r="H95" i="6"/>
  <c r="AA95" i="6" s="1"/>
  <c r="S90" i="6"/>
  <c r="S90" i="10"/>
  <c r="M94" i="10"/>
  <c r="M94" i="6"/>
  <c r="W55" i="10"/>
  <c r="G58" i="6"/>
  <c r="M60" i="10"/>
  <c r="F89" i="6"/>
  <c r="F96" i="10"/>
  <c r="H99" i="10"/>
  <c r="I99" i="6"/>
  <c r="G87" i="10"/>
  <c r="K91" i="10"/>
  <c r="K91" i="6"/>
  <c r="J58" i="6"/>
  <c r="Y58" i="6"/>
  <c r="S56" i="10"/>
  <c r="T94" i="6"/>
  <c r="I97" i="10"/>
  <c r="O89" i="6"/>
  <c r="P90" i="10"/>
  <c r="P90" i="6"/>
  <c r="Y91" i="10"/>
  <c r="Y91" i="6"/>
  <c r="C22" i="1"/>
  <c r="F23" i="10" s="1"/>
  <c r="V89" i="6"/>
  <c r="J94" i="6"/>
  <c r="J94" i="10"/>
  <c r="O91" i="6"/>
  <c r="O91" i="10"/>
  <c r="O47" i="6"/>
  <c r="K75" i="10"/>
  <c r="B83" i="6"/>
  <c r="Y84" i="6"/>
  <c r="V73" i="6"/>
  <c r="AA73" i="6" s="1"/>
  <c r="V73" i="10"/>
  <c r="AA73" i="10" s="1"/>
  <c r="E44" i="6"/>
  <c r="Q81" i="6"/>
  <c r="Y78" i="6"/>
  <c r="V76" i="6"/>
  <c r="V76" i="10"/>
  <c r="J83" i="6"/>
  <c r="U78" i="10"/>
  <c r="L74" i="6"/>
  <c r="U75" i="10"/>
  <c r="W77" i="10"/>
  <c r="W77" i="6"/>
  <c r="L83" i="6"/>
  <c r="C77" i="6"/>
  <c r="F72" i="10"/>
  <c r="P72" i="6"/>
  <c r="D75" i="6"/>
  <c r="M76" i="6"/>
  <c r="M76" i="10"/>
  <c r="Z82" i="6"/>
  <c r="AA82" i="6" s="1"/>
  <c r="G46" i="6"/>
  <c r="AA46" i="6" s="1"/>
  <c r="Z77" i="10"/>
  <c r="Z77" i="6"/>
  <c r="I77" i="6"/>
  <c r="I77" i="10"/>
  <c r="C6" i="1"/>
  <c r="F7" i="10" s="1"/>
  <c r="P74" i="10"/>
  <c r="P74" i="6"/>
  <c r="K45" i="10"/>
  <c r="J78" i="6"/>
  <c r="F77" i="10"/>
  <c r="F77" i="6"/>
  <c r="O78" i="10"/>
  <c r="O78" i="6"/>
  <c r="C9" i="1"/>
  <c r="F10" i="10" s="1"/>
  <c r="V72" i="10"/>
  <c r="C16" i="1"/>
  <c r="F17" i="10" s="1"/>
  <c r="P44" i="10"/>
  <c r="G74" i="10"/>
  <c r="G74" i="6"/>
  <c r="Y72" i="6"/>
  <c r="Y72" i="10"/>
  <c r="O75" i="6"/>
  <c r="Z72" i="6"/>
  <c r="R78" i="6"/>
  <c r="O72" i="6"/>
  <c r="V77" i="6"/>
  <c r="V77" i="10"/>
  <c r="Q75" i="10"/>
  <c r="Q75" i="6"/>
  <c r="B71" i="6"/>
  <c r="J71" i="6"/>
  <c r="T71" i="10"/>
  <c r="F71" i="10"/>
  <c r="Q71" i="6"/>
  <c r="F56" i="10"/>
  <c r="W58" i="6"/>
  <c r="O60" i="10"/>
  <c r="H62" i="6"/>
  <c r="Y60" i="10"/>
  <c r="E31" i="1"/>
  <c r="O62" i="6"/>
  <c r="S60" i="10"/>
  <c r="E55" i="10"/>
  <c r="L55" i="6"/>
  <c r="C46" i="10"/>
  <c r="N55" i="10"/>
  <c r="F60" i="6"/>
  <c r="Y56" i="6"/>
  <c r="P55" i="10"/>
  <c r="O55" i="10"/>
  <c r="E28" i="1"/>
  <c r="O44" i="6"/>
  <c r="D46" i="10"/>
  <c r="V44" i="6"/>
  <c r="B60" i="10"/>
  <c r="N60" i="10"/>
  <c r="R58" i="10"/>
  <c r="F61" i="10"/>
  <c r="K58" i="10"/>
  <c r="K63" i="6"/>
  <c r="AA63" i="6" s="1"/>
  <c r="R55" i="10"/>
  <c r="P56" i="10"/>
  <c r="T44" i="10"/>
  <c r="D44" i="10"/>
  <c r="B44" i="6"/>
  <c r="P45" i="10"/>
  <c r="E45" i="10"/>
  <c r="C47" i="10"/>
  <c r="C45" i="10"/>
  <c r="X44" i="10"/>
  <c r="S44" i="10"/>
  <c r="F46" i="10"/>
  <c r="G56" i="10"/>
  <c r="V55" i="10"/>
  <c r="Y66" i="6"/>
  <c r="X45" i="6"/>
  <c r="D45" i="10"/>
  <c r="E10" i="3"/>
  <c r="J9" i="3"/>
  <c r="V97" i="6"/>
  <c r="T97" i="6"/>
  <c r="W96" i="10"/>
  <c r="U89" i="6"/>
  <c r="Q97" i="10"/>
  <c r="V96" i="6"/>
  <c r="C10" i="1"/>
  <c r="F11" i="10" s="1"/>
  <c r="C55" i="6"/>
  <c r="W72" i="10"/>
  <c r="L89" i="10"/>
  <c r="D89" i="10"/>
  <c r="C15" i="1"/>
  <c r="F16" i="10" s="1"/>
  <c r="C4" i="1"/>
  <c r="F5" i="10" s="1"/>
  <c r="S87" i="10"/>
  <c r="S87" i="6"/>
  <c r="C87" i="6"/>
  <c r="C87" i="10"/>
  <c r="H87" i="6"/>
  <c r="H87" i="10"/>
  <c r="M44" i="10"/>
  <c r="L44" i="10"/>
  <c r="E60" i="10"/>
  <c r="F88" i="6"/>
  <c r="J88" i="10"/>
  <c r="X99" i="10"/>
  <c r="Z71" i="6"/>
  <c r="C28" i="1"/>
  <c r="F29" i="10" s="1"/>
  <c r="F87" i="6"/>
  <c r="F87" i="10"/>
  <c r="K55" i="10"/>
  <c r="C3" i="1"/>
  <c r="F4" i="10" s="1"/>
  <c r="O86" i="10"/>
  <c r="F92" i="6"/>
  <c r="V86" i="6"/>
  <c r="E25" i="1"/>
  <c r="I72" i="10"/>
  <c r="I72" i="6"/>
  <c r="B87" i="6"/>
  <c r="B87" i="10"/>
  <c r="J87" i="10"/>
  <c r="J87" i="6"/>
  <c r="E89" i="10"/>
  <c r="E89" i="6"/>
  <c r="N71" i="10"/>
  <c r="P86" i="6"/>
  <c r="S89" i="10"/>
  <c r="C29" i="1"/>
  <c r="F30" i="10" s="1"/>
  <c r="T87" i="6"/>
  <c r="T87" i="10"/>
  <c r="E87" i="10"/>
  <c r="E87" i="6"/>
  <c r="W87" i="6"/>
  <c r="W87" i="10"/>
  <c r="U87" i="10"/>
  <c r="U87" i="6"/>
  <c r="M89" i="10"/>
  <c r="M89" i="6"/>
  <c r="H83" i="6"/>
  <c r="L92" i="6"/>
  <c r="K88" i="10"/>
  <c r="O99" i="10"/>
  <c r="M99" i="6"/>
  <c r="M87" i="10"/>
  <c r="M87" i="6"/>
  <c r="R87" i="10"/>
  <c r="R87" i="6"/>
  <c r="D71" i="6"/>
  <c r="D71" i="10"/>
  <c r="R89" i="6"/>
  <c r="R89" i="10"/>
  <c r="V87" i="10"/>
  <c r="V87" i="6"/>
  <c r="X89" i="10"/>
  <c r="X89" i="6"/>
  <c r="L60" i="6"/>
  <c r="E20" i="1"/>
  <c r="T55" i="10"/>
  <c r="G45" i="6"/>
  <c r="E12" i="1"/>
  <c r="V46" i="10"/>
  <c r="X46" i="10"/>
  <c r="J86" i="10"/>
  <c r="J86" i="6"/>
  <c r="C92" i="6"/>
  <c r="C92" i="10"/>
  <c r="W83" i="6"/>
  <c r="C24" i="1"/>
  <c r="F25" i="10" s="1"/>
  <c r="C18" i="1"/>
  <c r="F19" i="10" s="1"/>
  <c r="X78" i="10"/>
  <c r="X78" i="6"/>
  <c r="T72" i="6"/>
  <c r="T72" i="10"/>
  <c r="Y71" i="10"/>
  <c r="Y71" i="6"/>
  <c r="Q89" i="6"/>
  <c r="Q89" i="10"/>
  <c r="O71" i="6"/>
  <c r="O71" i="10"/>
  <c r="R81" i="6"/>
  <c r="J92" i="10"/>
  <c r="J92" i="6"/>
  <c r="I71" i="10"/>
  <c r="I71" i="6"/>
  <c r="P79" i="6"/>
  <c r="S58" i="10"/>
  <c r="I84" i="6"/>
  <c r="I79" i="6"/>
  <c r="C81" i="6"/>
  <c r="P92" i="6"/>
  <c r="P92" i="10"/>
  <c r="X92" i="10"/>
  <c r="X92" i="6"/>
  <c r="F55" i="10"/>
  <c r="H61" i="10"/>
  <c r="U58" i="10"/>
  <c r="C13" i="1"/>
  <c r="F14" i="10" s="1"/>
  <c r="O83" i="6"/>
  <c r="Y88" i="10"/>
  <c r="C11" i="1"/>
  <c r="F12" i="10" s="1"/>
  <c r="S86" i="6"/>
  <c r="S86" i="10"/>
  <c r="N72" i="6"/>
  <c r="N72" i="10"/>
  <c r="U86" i="10"/>
  <c r="U86" i="6"/>
  <c r="B81" i="6"/>
  <c r="H92" i="10"/>
  <c r="H92" i="6"/>
  <c r="S61" i="10"/>
  <c r="H81" i="6"/>
  <c r="O92" i="10"/>
  <c r="Z96" i="10"/>
  <c r="Z96" i="6"/>
  <c r="R86" i="10"/>
  <c r="R86" i="6"/>
  <c r="B86" i="10"/>
  <c r="B86" i="6"/>
  <c r="W79" i="10"/>
  <c r="W79" i="6"/>
  <c r="C91" i="6"/>
  <c r="C91" i="10"/>
  <c r="J81" i="6"/>
  <c r="K92" i="6"/>
  <c r="K92" i="10"/>
  <c r="V56" i="10"/>
  <c r="E56" i="10"/>
  <c r="G83" i="6"/>
  <c r="Q72" i="6"/>
  <c r="D81" i="6"/>
  <c r="P88" i="6"/>
  <c r="P96" i="10"/>
  <c r="X72" i="10"/>
  <c r="X72" i="6"/>
  <c r="I96" i="10"/>
  <c r="I96" i="6"/>
  <c r="S83" i="6"/>
  <c r="X71" i="10"/>
  <c r="X71" i="6"/>
  <c r="H79" i="10"/>
  <c r="H79" i="6"/>
  <c r="K81" i="6"/>
  <c r="Y92" i="6"/>
  <c r="Y92" i="10"/>
  <c r="S92" i="6"/>
  <c r="S92" i="10"/>
  <c r="U55" i="10"/>
  <c r="H56" i="6"/>
  <c r="O56" i="6"/>
  <c r="Q72" i="10"/>
  <c r="I88" i="10"/>
  <c r="Q96" i="6"/>
  <c r="Q96" i="10"/>
  <c r="Q79" i="10"/>
  <c r="Q79" i="6"/>
  <c r="Y89" i="6"/>
  <c r="Y89" i="10"/>
  <c r="Y81" i="6"/>
  <c r="Z81" i="6"/>
  <c r="S81" i="6"/>
  <c r="B92" i="10"/>
  <c r="B92" i="6"/>
  <c r="U55" i="6"/>
  <c r="J96" i="10"/>
  <c r="J96" i="6"/>
  <c r="D72" i="6"/>
  <c r="D72" i="10"/>
  <c r="R92" i="10"/>
  <c r="R92" i="6"/>
  <c r="Z92" i="10"/>
  <c r="Z92" i="6"/>
  <c r="C58" i="10"/>
  <c r="L58" i="10"/>
  <c r="E23" i="1"/>
  <c r="B58" i="10"/>
  <c r="Q58" i="10"/>
  <c r="X58" i="10"/>
  <c r="J44" i="6"/>
  <c r="E58" i="10"/>
  <c r="F58" i="10"/>
  <c r="V61" i="10"/>
  <c r="B56" i="10"/>
  <c r="M56" i="10"/>
  <c r="X56" i="10"/>
  <c r="E11" i="1"/>
  <c r="E9" i="1"/>
  <c r="F44" i="10"/>
  <c r="Q56" i="6"/>
  <c r="K56" i="10"/>
  <c r="U56" i="10"/>
  <c r="J56" i="6"/>
  <c r="V45" i="10"/>
  <c r="E10" i="1"/>
  <c r="Z45" i="10"/>
  <c r="R45" i="10"/>
  <c r="L40" i="15"/>
  <c r="C61" i="10"/>
  <c r="C96" i="6"/>
  <c r="C96" i="10"/>
  <c r="I56" i="10"/>
  <c r="T61" i="6"/>
  <c r="C78" i="10"/>
  <c r="C78" i="6"/>
  <c r="I89" i="6"/>
  <c r="I89" i="10"/>
  <c r="F76" i="6"/>
  <c r="F76" i="10"/>
  <c r="R96" i="6"/>
  <c r="R96" i="10"/>
  <c r="B76" i="10"/>
  <c r="B76" i="6"/>
  <c r="AA80" i="6"/>
  <c r="E76" i="6"/>
  <c r="E76" i="10"/>
  <c r="T76" i="6"/>
  <c r="T76" i="10"/>
  <c r="H78" i="10"/>
  <c r="H78" i="6"/>
  <c r="U76" i="6"/>
  <c r="U76" i="10"/>
  <c r="C56" i="10"/>
  <c r="C97" i="6"/>
  <c r="C97" i="10"/>
  <c r="Q76" i="6"/>
  <c r="Q76" i="10"/>
  <c r="V78" i="6"/>
  <c r="V78" i="10"/>
  <c r="J91" i="10"/>
  <c r="J91" i="6"/>
  <c r="U88" i="10"/>
  <c r="U88" i="6"/>
  <c r="Z97" i="10"/>
  <c r="Z97" i="6"/>
  <c r="J76" i="6"/>
  <c r="J76" i="10"/>
  <c r="G88" i="10"/>
  <c r="G88" i="6"/>
  <c r="C21" i="1"/>
  <c r="F22" i="10" s="1"/>
  <c r="Z91" i="10"/>
  <c r="Z91" i="6"/>
  <c r="I76" i="10"/>
  <c r="I76" i="6"/>
  <c r="H76" i="6"/>
  <c r="H76" i="10"/>
  <c r="D61" i="10"/>
  <c r="T56" i="10"/>
  <c r="C8" i="1"/>
  <c r="F9" i="10" s="1"/>
  <c r="AA93" i="6"/>
  <c r="W88" i="6"/>
  <c r="W88" i="10"/>
  <c r="X76" i="10"/>
  <c r="X76" i="6"/>
  <c r="B91" i="6"/>
  <c r="B91" i="10"/>
  <c r="W89" i="6"/>
  <c r="W89" i="10"/>
  <c r="R97" i="10"/>
  <c r="R97" i="6"/>
  <c r="B89" i="10"/>
  <c r="B89" i="6"/>
  <c r="R91" i="10"/>
  <c r="R91" i="6"/>
  <c r="M75" i="6"/>
  <c r="M75" i="10"/>
  <c r="R76" i="6"/>
  <c r="R76" i="10"/>
  <c r="G61" i="10"/>
  <c r="C7" i="1"/>
  <c r="F8" i="10" s="1"/>
  <c r="N76" i="10"/>
  <c r="N76" i="6"/>
  <c r="G78" i="6"/>
  <c r="G78" i="10"/>
  <c r="P89" i="10"/>
  <c r="P89" i="6"/>
  <c r="W78" i="6"/>
  <c r="W78" i="10"/>
  <c r="P78" i="10"/>
  <c r="P78" i="6"/>
  <c r="E27" i="1"/>
  <c r="X62" i="6"/>
  <c r="R56" i="10"/>
  <c r="Z56" i="10"/>
  <c r="N56" i="10"/>
  <c r="X61" i="6"/>
  <c r="AA93" i="10"/>
  <c r="E26" i="1"/>
  <c r="E21" i="1"/>
  <c r="D56" i="10"/>
  <c r="L56" i="10"/>
  <c r="Q61" i="10"/>
  <c r="L56" i="6"/>
  <c r="B62" i="10"/>
  <c r="Q61" i="6"/>
  <c r="X53" i="6"/>
  <c r="X53" i="10"/>
  <c r="G59" i="6"/>
  <c r="G59" i="10"/>
  <c r="Y65" i="6"/>
  <c r="W53" i="6"/>
  <c r="W53" i="10"/>
  <c r="Z53" i="6"/>
  <c r="Z53" i="10"/>
  <c r="U53" i="6"/>
  <c r="U53" i="10"/>
  <c r="E54" i="6"/>
  <c r="E54" i="10"/>
  <c r="O54" i="6"/>
  <c r="O54" i="10"/>
  <c r="B54" i="10"/>
  <c r="T54" i="6"/>
  <c r="T54" i="10"/>
  <c r="G64" i="6"/>
  <c r="Y64" i="6"/>
  <c r="D64" i="6"/>
  <c r="V64" i="6"/>
  <c r="O59" i="6"/>
  <c r="O59" i="10"/>
  <c r="B59" i="10"/>
  <c r="L59" i="6"/>
  <c r="L59" i="10"/>
  <c r="E57" i="6"/>
  <c r="E57" i="10"/>
  <c r="W57" i="6"/>
  <c r="W57" i="10"/>
  <c r="J57" i="6"/>
  <c r="J57" i="10"/>
  <c r="T65" i="6"/>
  <c r="O65" i="6"/>
  <c r="G54" i="6"/>
  <c r="G54" i="10"/>
  <c r="N64" i="6"/>
  <c r="G65" i="6"/>
  <c r="I53" i="6"/>
  <c r="I53" i="10"/>
  <c r="C53" i="6"/>
  <c r="C53" i="10"/>
  <c r="E53" i="6"/>
  <c r="E53" i="10"/>
  <c r="M54" i="6"/>
  <c r="M54" i="10"/>
  <c r="W54" i="6"/>
  <c r="W54" i="10"/>
  <c r="J54" i="6"/>
  <c r="J54" i="10"/>
  <c r="O64" i="6"/>
  <c r="L64" i="6"/>
  <c r="W59" i="6"/>
  <c r="W59" i="10"/>
  <c r="J59" i="6"/>
  <c r="J59" i="10"/>
  <c r="T59" i="6"/>
  <c r="T59" i="10"/>
  <c r="M57" i="6"/>
  <c r="M57" i="10"/>
  <c r="H57" i="6"/>
  <c r="H57" i="10"/>
  <c r="E22" i="1"/>
  <c r="R57" i="6"/>
  <c r="R57" i="10"/>
  <c r="E65" i="6"/>
  <c r="W65" i="6"/>
  <c r="J65" i="6"/>
  <c r="L54" i="6"/>
  <c r="L54" i="10"/>
  <c r="L65" i="6"/>
  <c r="Q53" i="6"/>
  <c r="Q53" i="10"/>
  <c r="K53" i="6"/>
  <c r="K53" i="10"/>
  <c r="F53" i="6"/>
  <c r="F53" i="10"/>
  <c r="U54" i="6"/>
  <c r="U54" i="10"/>
  <c r="H54" i="6"/>
  <c r="H54" i="10"/>
  <c r="E19" i="1"/>
  <c r="Z54" i="6"/>
  <c r="Z54" i="10"/>
  <c r="W64" i="6"/>
  <c r="J64" i="6"/>
  <c r="T64" i="6"/>
  <c r="H59" i="6"/>
  <c r="H59" i="10"/>
  <c r="E24" i="1"/>
  <c r="R59" i="6"/>
  <c r="R59" i="10"/>
  <c r="E59" i="6"/>
  <c r="E59" i="10"/>
  <c r="U57" i="6"/>
  <c r="U57" i="10"/>
  <c r="P57" i="6"/>
  <c r="P57" i="10"/>
  <c r="Z57" i="6"/>
  <c r="Z57" i="10"/>
  <c r="M65" i="6"/>
  <c r="H65" i="6"/>
  <c r="E30" i="1"/>
  <c r="R65" i="6"/>
  <c r="R53" i="6"/>
  <c r="R53" i="10"/>
  <c r="Y54" i="6"/>
  <c r="Y54" i="10"/>
  <c r="Q64" i="6"/>
  <c r="O57" i="6"/>
  <c r="O57" i="10"/>
  <c r="Y53" i="6"/>
  <c r="Y53" i="10"/>
  <c r="S53" i="6"/>
  <c r="S53" i="10"/>
  <c r="N53" i="6"/>
  <c r="N53" i="10"/>
  <c r="R54" i="6"/>
  <c r="R54" i="10"/>
  <c r="P54" i="6"/>
  <c r="P54" i="10"/>
  <c r="C54" i="6"/>
  <c r="C54" i="10"/>
  <c r="H64" i="6"/>
  <c r="E29" i="1"/>
  <c r="R64" i="6"/>
  <c r="E64" i="6"/>
  <c r="P59" i="6"/>
  <c r="P59" i="10"/>
  <c r="Z59" i="6"/>
  <c r="Z59" i="10"/>
  <c r="M59" i="6"/>
  <c r="M59" i="10"/>
  <c r="F57" i="6"/>
  <c r="F57" i="10"/>
  <c r="X57" i="6"/>
  <c r="X57" i="10"/>
  <c r="C57" i="6"/>
  <c r="C57" i="10"/>
  <c r="U65" i="6"/>
  <c r="P65" i="6"/>
  <c r="Z65" i="6"/>
  <c r="M53" i="6"/>
  <c r="M53" i="10"/>
  <c r="S64" i="6"/>
  <c r="Y59" i="6"/>
  <c r="Y59" i="10"/>
  <c r="B57" i="10"/>
  <c r="O53" i="6"/>
  <c r="O53" i="10"/>
  <c r="G53" i="6"/>
  <c r="G53" i="10"/>
  <c r="D53" i="6"/>
  <c r="D53" i="10"/>
  <c r="V53" i="6"/>
  <c r="V53" i="10"/>
  <c r="F54" i="6"/>
  <c r="F54" i="10"/>
  <c r="X54" i="6"/>
  <c r="X54" i="10"/>
  <c r="K54" i="6"/>
  <c r="K54" i="10"/>
  <c r="P64" i="6"/>
  <c r="Z64" i="6"/>
  <c r="M64" i="6"/>
  <c r="F59" i="6"/>
  <c r="F59" i="10"/>
  <c r="X59" i="6"/>
  <c r="X59" i="10"/>
  <c r="C59" i="6"/>
  <c r="C59" i="10"/>
  <c r="U59" i="6"/>
  <c r="U59" i="10"/>
  <c r="N57" i="6"/>
  <c r="N57" i="10"/>
  <c r="I57" i="6"/>
  <c r="I57" i="10"/>
  <c r="K57" i="6"/>
  <c r="K57" i="10"/>
  <c r="F65" i="6"/>
  <c r="X65" i="6"/>
  <c r="C65" i="6"/>
  <c r="D59" i="6"/>
  <c r="D59" i="10"/>
  <c r="H53" i="6"/>
  <c r="H53" i="10"/>
  <c r="E18" i="1"/>
  <c r="B53" i="10"/>
  <c r="L53" i="6"/>
  <c r="L53" i="10"/>
  <c r="N54" i="6"/>
  <c r="N54" i="10"/>
  <c r="I54" i="6"/>
  <c r="I54" i="10"/>
  <c r="S54" i="6"/>
  <c r="S54" i="10"/>
  <c r="X64" i="6"/>
  <c r="C64" i="6"/>
  <c r="U64" i="6"/>
  <c r="N59" i="6"/>
  <c r="N59" i="10"/>
  <c r="I59" i="6"/>
  <c r="I59" i="10"/>
  <c r="K59" i="6"/>
  <c r="K59" i="10"/>
  <c r="D57" i="6"/>
  <c r="D57" i="10"/>
  <c r="V57" i="6"/>
  <c r="V57" i="10"/>
  <c r="Q57" i="6"/>
  <c r="Q57" i="10"/>
  <c r="S57" i="6"/>
  <c r="S57" i="10"/>
  <c r="N65" i="6"/>
  <c r="I65" i="6"/>
  <c r="K65" i="6"/>
  <c r="T57" i="6"/>
  <c r="T57" i="10"/>
  <c r="P53" i="6"/>
  <c r="P53" i="10"/>
  <c r="J53" i="6"/>
  <c r="J53" i="10"/>
  <c r="T53" i="6"/>
  <c r="T53" i="10"/>
  <c r="V54" i="6"/>
  <c r="V54" i="10"/>
  <c r="Q54" i="6"/>
  <c r="Q54" i="10"/>
  <c r="D54" i="6"/>
  <c r="D54" i="10"/>
  <c r="I64" i="6"/>
  <c r="K64" i="6"/>
  <c r="F64" i="6"/>
  <c r="V59" i="6"/>
  <c r="V59" i="10"/>
  <c r="Q59" i="6"/>
  <c r="Q59" i="10"/>
  <c r="S59" i="6"/>
  <c r="S59" i="10"/>
  <c r="L57" i="6"/>
  <c r="L57" i="10"/>
  <c r="G57" i="6"/>
  <c r="G57" i="10"/>
  <c r="Y57" i="6"/>
  <c r="Y57" i="10"/>
  <c r="D65" i="6"/>
  <c r="V65" i="6"/>
  <c r="Q65" i="6"/>
  <c r="S65" i="6"/>
  <c r="O40" i="6"/>
  <c r="O40" i="10"/>
  <c r="B40" i="6"/>
  <c r="B40" i="10"/>
  <c r="L40" i="6"/>
  <c r="L40" i="10"/>
  <c r="W48" i="6"/>
  <c r="J48" i="6"/>
  <c r="T48" i="6"/>
  <c r="I42" i="6"/>
  <c r="I42" i="10"/>
  <c r="C42" i="6"/>
  <c r="C42" i="10"/>
  <c r="U42" i="6"/>
  <c r="U42" i="10"/>
  <c r="E43" i="6"/>
  <c r="E43" i="10"/>
  <c r="Q43" i="6"/>
  <c r="Q43" i="10"/>
  <c r="S43" i="6"/>
  <c r="S43" i="10"/>
  <c r="G51" i="6"/>
  <c r="Y51" i="6"/>
  <c r="D51" i="6"/>
  <c r="E49" i="6"/>
  <c r="W49" i="6"/>
  <c r="J49" i="6"/>
  <c r="Y50" i="6"/>
  <c r="D50" i="6"/>
  <c r="V50" i="6"/>
  <c r="D41" i="6"/>
  <c r="D41" i="10"/>
  <c r="N41" i="6"/>
  <c r="N41" i="10"/>
  <c r="I41" i="6"/>
  <c r="I41" i="10"/>
  <c r="W40" i="6"/>
  <c r="W40" i="10"/>
  <c r="J40" i="6"/>
  <c r="J40" i="10"/>
  <c r="T40" i="6"/>
  <c r="T40" i="10"/>
  <c r="H48" i="6"/>
  <c r="E13" i="1"/>
  <c r="R48" i="6"/>
  <c r="E48" i="6"/>
  <c r="Q42" i="6"/>
  <c r="Q42" i="10"/>
  <c r="K42" i="6"/>
  <c r="K42" i="10"/>
  <c r="F42" i="6"/>
  <c r="F42" i="10"/>
  <c r="G43" i="6"/>
  <c r="G43" i="10"/>
  <c r="Y43" i="6"/>
  <c r="Y43" i="10"/>
  <c r="D43" i="6"/>
  <c r="D43" i="10"/>
  <c r="O51" i="6"/>
  <c r="B51" i="6"/>
  <c r="L51" i="6"/>
  <c r="M49" i="6"/>
  <c r="H49" i="6"/>
  <c r="E14" i="1"/>
  <c r="R49" i="6"/>
  <c r="B50" i="6"/>
  <c r="L50" i="6"/>
  <c r="G50" i="6"/>
  <c r="L41" i="6"/>
  <c r="L41" i="10"/>
  <c r="V41" i="6"/>
  <c r="V41" i="10"/>
  <c r="Q41" i="6"/>
  <c r="Q41" i="10"/>
  <c r="H40" i="6"/>
  <c r="H40" i="10"/>
  <c r="E5" i="1"/>
  <c r="R40" i="6"/>
  <c r="R40" i="10"/>
  <c r="E40" i="6"/>
  <c r="E40" i="10"/>
  <c r="P48" i="6"/>
  <c r="Z48" i="6"/>
  <c r="M48" i="6"/>
  <c r="Y42" i="6"/>
  <c r="Y42" i="10"/>
  <c r="S42" i="6"/>
  <c r="S42" i="10"/>
  <c r="N42" i="6"/>
  <c r="N42" i="10"/>
  <c r="AA39" i="10"/>
  <c r="O43" i="6"/>
  <c r="O43" i="10"/>
  <c r="B43" i="6"/>
  <c r="B43" i="10"/>
  <c r="L43" i="6"/>
  <c r="L43" i="10"/>
  <c r="W51" i="6"/>
  <c r="J51" i="6"/>
  <c r="T51" i="6"/>
  <c r="U49" i="6"/>
  <c r="P49" i="6"/>
  <c r="Z49" i="6"/>
  <c r="J50" i="6"/>
  <c r="T50" i="6"/>
  <c r="O50" i="6"/>
  <c r="T41" i="6"/>
  <c r="T41" i="10"/>
  <c r="G41" i="6"/>
  <c r="G41" i="10"/>
  <c r="Y41" i="6"/>
  <c r="Y41" i="10"/>
  <c r="P40" i="6"/>
  <c r="P40" i="10"/>
  <c r="Z40" i="6"/>
  <c r="Z40" i="10"/>
  <c r="M40" i="6"/>
  <c r="M40" i="10"/>
  <c r="X48" i="6"/>
  <c r="C48" i="6"/>
  <c r="U48" i="6"/>
  <c r="X42" i="6"/>
  <c r="X42" i="10"/>
  <c r="D42" i="6"/>
  <c r="D42" i="10"/>
  <c r="V42" i="6"/>
  <c r="V42" i="10"/>
  <c r="AA39" i="6"/>
  <c r="W43" i="6"/>
  <c r="W43" i="10"/>
  <c r="J43" i="6"/>
  <c r="J43" i="10"/>
  <c r="T43" i="6"/>
  <c r="T43" i="10"/>
  <c r="H51" i="6"/>
  <c r="E16" i="1"/>
  <c r="R51" i="6"/>
  <c r="E51" i="6"/>
  <c r="F49" i="6"/>
  <c r="X49" i="6"/>
  <c r="C49" i="6"/>
  <c r="R50" i="6"/>
  <c r="E50" i="6"/>
  <c r="W50" i="6"/>
  <c r="K41" i="6"/>
  <c r="K41" i="10"/>
  <c r="O41" i="6"/>
  <c r="O41" i="10"/>
  <c r="B41" i="6"/>
  <c r="B41" i="10"/>
  <c r="X40" i="6"/>
  <c r="X40" i="10"/>
  <c r="C40" i="6"/>
  <c r="C40" i="10"/>
  <c r="U40" i="6"/>
  <c r="U40" i="10"/>
  <c r="I48" i="6"/>
  <c r="K48" i="6"/>
  <c r="F48" i="6"/>
  <c r="B42" i="6"/>
  <c r="B42" i="10"/>
  <c r="L42" i="6"/>
  <c r="L42" i="10"/>
  <c r="G42" i="6"/>
  <c r="G42" i="10"/>
  <c r="M43" i="6"/>
  <c r="M43" i="10"/>
  <c r="H43" i="6"/>
  <c r="H43" i="10"/>
  <c r="E8" i="1"/>
  <c r="R43" i="6"/>
  <c r="R43" i="10"/>
  <c r="U43" i="6"/>
  <c r="U43" i="10"/>
  <c r="P51" i="6"/>
  <c r="Z51" i="6"/>
  <c r="M51" i="6"/>
  <c r="N49" i="6"/>
  <c r="I49" i="6"/>
  <c r="K49" i="6"/>
  <c r="Z50" i="6"/>
  <c r="M50" i="6"/>
  <c r="H50" i="6"/>
  <c r="E15" i="1"/>
  <c r="E41" i="6"/>
  <c r="E41" i="10"/>
  <c r="W41" i="6"/>
  <c r="W41" i="10"/>
  <c r="J41" i="6"/>
  <c r="J41" i="10"/>
  <c r="F40" i="6"/>
  <c r="F40" i="10"/>
  <c r="I40" i="6"/>
  <c r="I40" i="10"/>
  <c r="K40" i="6"/>
  <c r="K40" i="10"/>
  <c r="N40" i="6"/>
  <c r="N40" i="10"/>
  <c r="Q48" i="6"/>
  <c r="S48" i="6"/>
  <c r="N48" i="6"/>
  <c r="J42" i="6"/>
  <c r="J42" i="10"/>
  <c r="T42" i="6"/>
  <c r="T42" i="10"/>
  <c r="O42" i="6"/>
  <c r="O42" i="10"/>
  <c r="F43" i="6"/>
  <c r="F43" i="10"/>
  <c r="P43" i="6"/>
  <c r="P43" i="10"/>
  <c r="Z43" i="6"/>
  <c r="Z43" i="10"/>
  <c r="F51" i="6"/>
  <c r="X51" i="6"/>
  <c r="C51" i="6"/>
  <c r="U51" i="6"/>
  <c r="D49" i="6"/>
  <c r="V49" i="6"/>
  <c r="Q49" i="6"/>
  <c r="S49" i="6"/>
  <c r="C50" i="6"/>
  <c r="U50" i="6"/>
  <c r="P50" i="6"/>
  <c r="M41" i="6"/>
  <c r="M41" i="10"/>
  <c r="H41" i="6"/>
  <c r="H41" i="10"/>
  <c r="E6" i="1"/>
  <c r="R41" i="6"/>
  <c r="R41" i="10"/>
  <c r="V40" i="6"/>
  <c r="V40" i="10"/>
  <c r="Q40" i="6"/>
  <c r="Q40" i="10"/>
  <c r="S40" i="6"/>
  <c r="S40" i="10"/>
  <c r="G48" i="6"/>
  <c r="Y48" i="6"/>
  <c r="D48" i="6"/>
  <c r="V48" i="6"/>
  <c r="R42" i="6"/>
  <c r="R42" i="10"/>
  <c r="E42" i="6"/>
  <c r="E42" i="10"/>
  <c r="W42" i="6"/>
  <c r="W42" i="10"/>
  <c r="N43" i="6"/>
  <c r="N43" i="10"/>
  <c r="X43" i="6"/>
  <c r="X43" i="10"/>
  <c r="C43" i="6"/>
  <c r="C43" i="10"/>
  <c r="N51" i="6"/>
  <c r="I51" i="6"/>
  <c r="K51" i="6"/>
  <c r="L49" i="6"/>
  <c r="G49" i="6"/>
  <c r="Y49" i="6"/>
  <c r="I50" i="6"/>
  <c r="K50" i="6"/>
  <c r="F50" i="6"/>
  <c r="X50" i="6"/>
  <c r="U41" i="6"/>
  <c r="U41" i="10"/>
  <c r="P41" i="6"/>
  <c r="P41" i="10"/>
  <c r="Z41" i="6"/>
  <c r="Z41" i="10"/>
  <c r="G40" i="6"/>
  <c r="G40" i="10"/>
  <c r="Y40" i="6"/>
  <c r="Y40" i="10"/>
  <c r="D40" i="6"/>
  <c r="D40" i="10"/>
  <c r="O48" i="6"/>
  <c r="B48" i="6"/>
  <c r="L48" i="6"/>
  <c r="H42" i="6"/>
  <c r="H42" i="10"/>
  <c r="E7" i="1"/>
  <c r="Z42" i="6"/>
  <c r="Z42" i="10"/>
  <c r="M42" i="6"/>
  <c r="M42" i="10"/>
  <c r="P42" i="6"/>
  <c r="P42" i="10"/>
  <c r="V43" i="6"/>
  <c r="V43" i="10"/>
  <c r="I43" i="6"/>
  <c r="I43" i="10"/>
  <c r="K43" i="6"/>
  <c r="K43" i="10"/>
  <c r="V51" i="6"/>
  <c r="Q51" i="6"/>
  <c r="S51" i="6"/>
  <c r="T49" i="6"/>
  <c r="O49" i="6"/>
  <c r="B49" i="6"/>
  <c r="Q50" i="6"/>
  <c r="S50" i="6"/>
  <c r="N50" i="6"/>
  <c r="S41" i="6"/>
  <c r="S41" i="10"/>
  <c r="F41" i="6"/>
  <c r="F41" i="10"/>
  <c r="X41" i="6"/>
  <c r="X41" i="10"/>
  <c r="C41" i="6"/>
  <c r="C41" i="10"/>
  <c r="V38" i="6"/>
  <c r="V38" i="10"/>
  <c r="N38" i="6"/>
  <c r="N38" i="10"/>
  <c r="B38" i="6"/>
  <c r="B38" i="10"/>
  <c r="D38" i="6"/>
  <c r="D38" i="10"/>
  <c r="H38" i="6"/>
  <c r="H38" i="10"/>
  <c r="E3" i="1"/>
  <c r="J38" i="6"/>
  <c r="J38" i="10"/>
  <c r="L38" i="6"/>
  <c r="L38" i="10"/>
  <c r="P38" i="6"/>
  <c r="P38" i="10"/>
  <c r="R38" i="6"/>
  <c r="R38" i="10"/>
  <c r="T38" i="6"/>
  <c r="T38" i="10"/>
  <c r="X38" i="6"/>
  <c r="X38" i="10"/>
  <c r="Z38" i="6"/>
  <c r="Z38" i="10"/>
  <c r="M38" i="6"/>
  <c r="M38" i="10"/>
  <c r="I38" i="6"/>
  <c r="I38" i="10"/>
  <c r="U38" i="6"/>
  <c r="U38" i="10"/>
  <c r="G38" i="6"/>
  <c r="G38" i="10"/>
  <c r="Q38" i="6"/>
  <c r="Q38" i="10"/>
  <c r="C38" i="6"/>
  <c r="C38" i="10"/>
  <c r="O38" i="6"/>
  <c r="O38" i="10"/>
  <c r="Y38" i="6"/>
  <c r="Y38" i="10"/>
  <c r="K38" i="6"/>
  <c r="K38" i="10"/>
  <c r="E38" i="6"/>
  <c r="E38" i="10"/>
  <c r="W38" i="6"/>
  <c r="W38" i="10"/>
  <c r="F38" i="6"/>
  <c r="F38" i="10"/>
  <c r="S38" i="6"/>
  <c r="S38" i="10"/>
  <c r="G87" i="22"/>
  <c r="G110" i="22"/>
  <c r="G25" i="22"/>
  <c r="G94" i="22"/>
  <c r="G81" i="22"/>
  <c r="G23" i="22"/>
  <c r="G69" i="22"/>
  <c r="G31" i="22"/>
  <c r="G28" i="22"/>
  <c r="G79" i="22"/>
  <c r="G4" i="22"/>
  <c r="G67" i="22"/>
  <c r="G60" i="22"/>
  <c r="W46" i="10" l="1"/>
  <c r="P79" i="10"/>
  <c r="P61" i="10"/>
  <c r="Z46" i="10"/>
  <c r="T46" i="10"/>
  <c r="R46" i="10"/>
  <c r="N46" i="10"/>
  <c r="N61" i="10"/>
  <c r="O46" i="10"/>
  <c r="R61" i="10"/>
  <c r="O61" i="10"/>
  <c r="T61" i="10"/>
  <c r="Y61" i="10"/>
  <c r="Z79" i="10"/>
  <c r="H46" i="10"/>
  <c r="U79" i="10"/>
  <c r="U61" i="10"/>
  <c r="Y46" i="10"/>
  <c r="S46" i="10"/>
  <c r="B80" i="10"/>
  <c r="B47" i="10"/>
  <c r="X61" i="10"/>
  <c r="C62" i="10"/>
  <c r="C80" i="10"/>
  <c r="AA74" i="10"/>
  <c r="AA94" i="10"/>
  <c r="AA90" i="10"/>
  <c r="AA72" i="10"/>
  <c r="AA99" i="10"/>
  <c r="AA71" i="10"/>
  <c r="AA47" i="6"/>
  <c r="AA84" i="6"/>
  <c r="AA98" i="6"/>
  <c r="AA99" i="6"/>
  <c r="AA90" i="6"/>
  <c r="AA94" i="6"/>
  <c r="AA75" i="6"/>
  <c r="AA75" i="10"/>
  <c r="AA60" i="6"/>
  <c r="AA55" i="6"/>
  <c r="AA60" i="10"/>
  <c r="G26" i="10" s="1"/>
  <c r="H26" i="10" s="1"/>
  <c r="AA58" i="6"/>
  <c r="AA66" i="6"/>
  <c r="AA62" i="6"/>
  <c r="AA74" i="6"/>
  <c r="AA77" i="6"/>
  <c r="AA77" i="10"/>
  <c r="AA83" i="6"/>
  <c r="AA55" i="10"/>
  <c r="AA45" i="6"/>
  <c r="AA44" i="6"/>
  <c r="E11" i="3"/>
  <c r="J10" i="3"/>
  <c r="AA86" i="10"/>
  <c r="AA71" i="6"/>
  <c r="AA87" i="10"/>
  <c r="AA87" i="6"/>
  <c r="AA44" i="10"/>
  <c r="AA78" i="6"/>
  <c r="AA79" i="6"/>
  <c r="AA45" i="10"/>
  <c r="AA56" i="6"/>
  <c r="AA92" i="10"/>
  <c r="AA86" i="6"/>
  <c r="AA92" i="6"/>
  <c r="AA72" i="6"/>
  <c r="AA81" i="6"/>
  <c r="AA58" i="10"/>
  <c r="AA96" i="6"/>
  <c r="AA76" i="6"/>
  <c r="AA76" i="10"/>
  <c r="AA78" i="10"/>
  <c r="AA88" i="10"/>
  <c r="AA88" i="6"/>
  <c r="AA89" i="10"/>
  <c r="AA96" i="10"/>
  <c r="AA61" i="6"/>
  <c r="AA97" i="10"/>
  <c r="AA91" i="10"/>
  <c r="AA91" i="6"/>
  <c r="AA97" i="6"/>
  <c r="AA89" i="6"/>
  <c r="AA56" i="10"/>
  <c r="AA53" i="6"/>
  <c r="AA49" i="6"/>
  <c r="AA53" i="10"/>
  <c r="AA57" i="10"/>
  <c r="AA54" i="10"/>
  <c r="AA57" i="6"/>
  <c r="AA64" i="6"/>
  <c r="AA59" i="10"/>
  <c r="AA54" i="6"/>
  <c r="AA59" i="6"/>
  <c r="AA65" i="6"/>
  <c r="AA48" i="6"/>
  <c r="AA42" i="10"/>
  <c r="AA41" i="10"/>
  <c r="AA50" i="6"/>
  <c r="AA42" i="6"/>
  <c r="AA41" i="6"/>
  <c r="AA51" i="6"/>
  <c r="AA40" i="10"/>
  <c r="AA40" i="6"/>
  <c r="AA43" i="10"/>
  <c r="AA43" i="6"/>
  <c r="AA38" i="6"/>
  <c r="AA38" i="10"/>
  <c r="G73" i="22"/>
  <c r="G72" i="22"/>
  <c r="G100" i="22"/>
  <c r="G101" i="22"/>
  <c r="G59" i="22"/>
  <c r="G86" i="22"/>
  <c r="G58" i="22"/>
  <c r="G27" i="22"/>
  <c r="G49" i="22"/>
  <c r="G30" i="22"/>
  <c r="G107" i="22"/>
  <c r="G97" i="22"/>
  <c r="G88" i="22"/>
  <c r="G77" i="22"/>
  <c r="G64" i="22"/>
  <c r="G63" i="22"/>
  <c r="G29" i="22"/>
  <c r="G99" i="22"/>
  <c r="G26" i="22"/>
  <c r="G9" i="22"/>
  <c r="G47" i="22"/>
  <c r="G17" i="22"/>
  <c r="G106" i="22"/>
  <c r="G96" i="22"/>
  <c r="G71" i="22"/>
  <c r="G76" i="22"/>
  <c r="G22" i="22"/>
  <c r="G50" i="22"/>
  <c r="G48" i="22"/>
  <c r="G32" i="22"/>
  <c r="G16" i="22"/>
  <c r="G105" i="22"/>
  <c r="G95" i="22"/>
  <c r="G85" i="22"/>
  <c r="G75" i="22"/>
  <c r="G62" i="22"/>
  <c r="G61" i="22"/>
  <c r="G45" i="22"/>
  <c r="G5" i="22"/>
  <c r="G19" i="22"/>
  <c r="G8" i="22"/>
  <c r="G35" i="22"/>
  <c r="G113" i="22"/>
  <c r="G104" i="22"/>
  <c r="G93" i="22"/>
  <c r="G84" i="22"/>
  <c r="G74" i="22"/>
  <c r="G7" i="22"/>
  <c r="G90" i="22"/>
  <c r="G24" i="22"/>
  <c r="G36" i="22"/>
  <c r="G18" i="22"/>
  <c r="G112" i="22"/>
  <c r="G103" i="22"/>
  <c r="G92" i="22"/>
  <c r="G83" i="22"/>
  <c r="G70" i="22"/>
  <c r="G51" i="22"/>
  <c r="G80" i="22"/>
  <c r="G20" i="22"/>
  <c r="G6" i="22"/>
  <c r="G33" i="22"/>
  <c r="G44" i="22"/>
  <c r="G111" i="22"/>
  <c r="G102" i="22"/>
  <c r="G91" i="22"/>
  <c r="G82" i="22"/>
  <c r="G68" i="22"/>
  <c r="G46" i="22"/>
  <c r="G66" i="22"/>
  <c r="G21" i="22"/>
  <c r="G34" i="22"/>
  <c r="G37" i="22"/>
  <c r="G3" i="22"/>
  <c r="G108" i="22"/>
  <c r="G98" i="22"/>
  <c r="G89" i="22"/>
  <c r="G78" i="22"/>
  <c r="G65" i="22"/>
  <c r="G109" i="22"/>
  <c r="G19" i="6" l="1"/>
  <c r="H19" i="6" s="1"/>
  <c r="I19" i="6" s="1"/>
  <c r="G5" i="6"/>
  <c r="H5" i="6" s="1"/>
  <c r="I5" i="6" s="1"/>
  <c r="N80" i="10"/>
  <c r="N47" i="10"/>
  <c r="N62" i="10"/>
  <c r="U80" i="10"/>
  <c r="U47" i="10"/>
  <c r="U62" i="10"/>
  <c r="P80" i="10"/>
  <c r="P62" i="10"/>
  <c r="P47" i="10"/>
  <c r="V80" i="10"/>
  <c r="V62" i="10"/>
  <c r="V47" i="10"/>
  <c r="S47" i="10"/>
  <c r="S80" i="10"/>
  <c r="S62" i="10"/>
  <c r="I61" i="10"/>
  <c r="I46" i="10"/>
  <c r="I79" i="10"/>
  <c r="O81" i="10"/>
  <c r="Q81" i="10"/>
  <c r="R80" i="10"/>
  <c r="R47" i="10"/>
  <c r="R62" i="10"/>
  <c r="Q80" i="10"/>
  <c r="Q47" i="10"/>
  <c r="Q62" i="10"/>
  <c r="T80" i="10"/>
  <c r="T47" i="10"/>
  <c r="T62" i="10"/>
  <c r="O80" i="10"/>
  <c r="O47" i="10"/>
  <c r="O62" i="10"/>
  <c r="Y80" i="10"/>
  <c r="Y62" i="10"/>
  <c r="Y47" i="10"/>
  <c r="B49" i="10"/>
  <c r="W81" i="10"/>
  <c r="Z81" i="10"/>
  <c r="B81" i="10"/>
  <c r="B63" i="10"/>
  <c r="B48" i="10"/>
  <c r="W47" i="10"/>
  <c r="W80" i="10"/>
  <c r="W62" i="10"/>
  <c r="Z80" i="10"/>
  <c r="Z47" i="10"/>
  <c r="Z62" i="10"/>
  <c r="X80" i="10"/>
  <c r="X47" i="10"/>
  <c r="X62" i="10"/>
  <c r="T63" i="10"/>
  <c r="O48" i="10"/>
  <c r="C63" i="10"/>
  <c r="C48" i="10"/>
  <c r="C81" i="10"/>
  <c r="D80" i="10"/>
  <c r="D47" i="10"/>
  <c r="D62" i="10"/>
  <c r="C49" i="10"/>
  <c r="G6" i="10"/>
  <c r="H6" i="10" s="1"/>
  <c r="B5" i="3" s="1"/>
  <c r="G22" i="10"/>
  <c r="H22" i="10" s="1"/>
  <c r="J22" i="10" s="1"/>
  <c r="G7" i="10"/>
  <c r="H7" i="10" s="1"/>
  <c r="B6" i="3" s="1"/>
  <c r="G23" i="10"/>
  <c r="H23" i="10" s="1"/>
  <c r="J23" i="10" s="1"/>
  <c r="G10" i="10"/>
  <c r="H10" i="10" s="1"/>
  <c r="I10" i="10" s="1"/>
  <c r="G25" i="10"/>
  <c r="H25" i="10" s="1"/>
  <c r="I25" i="10" s="1"/>
  <c r="G8" i="10"/>
  <c r="H8" i="10" s="1"/>
  <c r="B7" i="3" s="1"/>
  <c r="G5" i="10"/>
  <c r="H5" i="10" s="1"/>
  <c r="B4" i="3" s="1"/>
  <c r="G20" i="10"/>
  <c r="H20" i="10" s="1"/>
  <c r="I20" i="10" s="1"/>
  <c r="G13" i="6"/>
  <c r="H13" i="6" s="1"/>
  <c r="I13" i="6" s="1"/>
  <c r="K14" i="17" s="1"/>
  <c r="G26" i="6"/>
  <c r="H26" i="6" s="1"/>
  <c r="I26" i="6" s="1"/>
  <c r="G28" i="6"/>
  <c r="H28" i="6" s="1"/>
  <c r="C29" i="3" s="1"/>
  <c r="G29" i="6"/>
  <c r="H29" i="6" s="1"/>
  <c r="C30" i="3" s="1"/>
  <c r="G32" i="6"/>
  <c r="H32" i="6" s="1"/>
  <c r="C33" i="3" s="1"/>
  <c r="G12" i="6"/>
  <c r="H12" i="6" s="1"/>
  <c r="C11" i="3" s="1"/>
  <c r="G24" i="6"/>
  <c r="H24" i="6" s="1"/>
  <c r="J24" i="6" s="1"/>
  <c r="G27" i="6"/>
  <c r="H27" i="6" s="1"/>
  <c r="I27" i="6" s="1"/>
  <c r="G11" i="6"/>
  <c r="H11" i="6" s="1"/>
  <c r="J11" i="6" s="1"/>
  <c r="G21" i="6"/>
  <c r="H21" i="6" s="1"/>
  <c r="J21" i="6" s="1"/>
  <c r="G21" i="10"/>
  <c r="H21" i="10" s="1"/>
  <c r="I21" i="10" s="1"/>
  <c r="G10" i="6"/>
  <c r="H10" i="6" s="1"/>
  <c r="I10" i="6" s="1"/>
  <c r="K11" i="17" s="1"/>
  <c r="G19" i="10"/>
  <c r="H19" i="10" s="1"/>
  <c r="J19" i="10" s="1"/>
  <c r="G11" i="10"/>
  <c r="H11" i="10" s="1"/>
  <c r="B10" i="3" s="1"/>
  <c r="G4" i="6"/>
  <c r="G22" i="6"/>
  <c r="H22" i="6" s="1"/>
  <c r="C23" i="3" s="1"/>
  <c r="G24" i="10"/>
  <c r="H24" i="10" s="1"/>
  <c r="J24" i="10" s="1"/>
  <c r="E12" i="3"/>
  <c r="J11" i="3"/>
  <c r="D6" i="17"/>
  <c r="C4" i="3"/>
  <c r="J26" i="10"/>
  <c r="I26" i="10"/>
  <c r="G9" i="10"/>
  <c r="H9" i="10" s="1"/>
  <c r="B29" i="3"/>
  <c r="C20" i="3"/>
  <c r="G30" i="6"/>
  <c r="H30" i="6" s="1"/>
  <c r="G23" i="6"/>
  <c r="H23" i="6" s="1"/>
  <c r="B33" i="3"/>
  <c r="B23" i="3"/>
  <c r="G25" i="6"/>
  <c r="H25" i="6" s="1"/>
  <c r="B28" i="3"/>
  <c r="G31" i="6"/>
  <c r="H31" i="6" s="1"/>
  <c r="B27" i="3"/>
  <c r="B30" i="3"/>
  <c r="G20" i="6"/>
  <c r="H20" i="6" s="1"/>
  <c r="G7" i="6"/>
  <c r="H7" i="6" s="1"/>
  <c r="G16" i="6"/>
  <c r="H16" i="6" s="1"/>
  <c r="G9" i="6"/>
  <c r="H9" i="6" s="1"/>
  <c r="G8" i="6"/>
  <c r="H8" i="6" s="1"/>
  <c r="C7" i="3" s="1"/>
  <c r="B12" i="3"/>
  <c r="B11" i="3"/>
  <c r="G6" i="6"/>
  <c r="H6" i="6" s="1"/>
  <c r="C5" i="3" s="1"/>
  <c r="G14" i="6"/>
  <c r="H14" i="6" s="1"/>
  <c r="B9" i="3"/>
  <c r="G17" i="6"/>
  <c r="H17" i="6" s="1"/>
  <c r="B14" i="3"/>
  <c r="G15" i="6"/>
  <c r="H15" i="6" s="1"/>
  <c r="G2" i="22"/>
  <c r="J5" i="6" l="1"/>
  <c r="J19" i="6"/>
  <c r="B64" i="10"/>
  <c r="W63" i="10"/>
  <c r="B82" i="10"/>
  <c r="Q48" i="10"/>
  <c r="Q63" i="10"/>
  <c r="O63" i="10"/>
  <c r="Z48" i="10"/>
  <c r="P81" i="10"/>
  <c r="P48" i="10"/>
  <c r="P63" i="10"/>
  <c r="V81" i="10"/>
  <c r="V63" i="10"/>
  <c r="V48" i="10"/>
  <c r="J79" i="10"/>
  <c r="J61" i="10"/>
  <c r="J46" i="10"/>
  <c r="N81" i="10"/>
  <c r="N48" i="10"/>
  <c r="N63" i="10"/>
  <c r="S49" i="10"/>
  <c r="Q64" i="10"/>
  <c r="T82" i="10"/>
  <c r="N82" i="10"/>
  <c r="O82" i="10"/>
  <c r="U64" i="10"/>
  <c r="V82" i="10"/>
  <c r="U63" i="10"/>
  <c r="U48" i="10"/>
  <c r="U81" i="10"/>
  <c r="S63" i="10"/>
  <c r="S48" i="10"/>
  <c r="S81" i="10"/>
  <c r="T48" i="10"/>
  <c r="T81" i="10"/>
  <c r="R81" i="10"/>
  <c r="R48" i="10"/>
  <c r="R63" i="10"/>
  <c r="W48" i="10"/>
  <c r="Y48" i="10"/>
  <c r="Y81" i="10"/>
  <c r="Y63" i="10"/>
  <c r="X48" i="10"/>
  <c r="X63" i="10"/>
  <c r="X81" i="10"/>
  <c r="Z63" i="10"/>
  <c r="B83" i="10"/>
  <c r="Y64" i="10"/>
  <c r="W82" i="10"/>
  <c r="Z49" i="10"/>
  <c r="X49" i="10"/>
  <c r="S82" i="10"/>
  <c r="J49" i="10"/>
  <c r="H82" i="10"/>
  <c r="I49" i="10"/>
  <c r="Q49" i="10"/>
  <c r="T49" i="10"/>
  <c r="H64" i="10"/>
  <c r="I64" i="10"/>
  <c r="I82" i="10"/>
  <c r="T64" i="10"/>
  <c r="C64" i="10"/>
  <c r="J64" i="10"/>
  <c r="C82" i="10"/>
  <c r="S64" i="10"/>
  <c r="H49" i="10"/>
  <c r="N49" i="10"/>
  <c r="E80" i="10"/>
  <c r="E47" i="10"/>
  <c r="E62" i="10"/>
  <c r="D63" i="10"/>
  <c r="D48" i="10"/>
  <c r="D81" i="10"/>
  <c r="B65" i="10"/>
  <c r="D82" i="10"/>
  <c r="D64" i="10"/>
  <c r="D49" i="10"/>
  <c r="C65" i="10"/>
  <c r="J6" i="10"/>
  <c r="J25" i="10"/>
  <c r="I6" i="10"/>
  <c r="I11" i="10"/>
  <c r="J10" i="10"/>
  <c r="I22" i="10"/>
  <c r="I23" i="10"/>
  <c r="J8" i="10"/>
  <c r="I8" i="10"/>
  <c r="J7" i="10"/>
  <c r="I7" i="10"/>
  <c r="J26" i="6"/>
  <c r="L27" i="17" s="1"/>
  <c r="J20" i="10"/>
  <c r="I5" i="10"/>
  <c r="G4" i="10"/>
  <c r="H4" i="10" s="1"/>
  <c r="J5" i="10"/>
  <c r="J13" i="6"/>
  <c r="L14" i="17" s="1"/>
  <c r="C12" i="3"/>
  <c r="C27" i="3"/>
  <c r="C28" i="3"/>
  <c r="I32" i="6"/>
  <c r="K33" i="17" s="1"/>
  <c r="J32" i="6"/>
  <c r="L33" i="17" s="1"/>
  <c r="C25" i="3"/>
  <c r="I29" i="6"/>
  <c r="K30" i="17" s="1"/>
  <c r="J29" i="6"/>
  <c r="L30" i="17" s="1"/>
  <c r="I28" i="6"/>
  <c r="K29" i="17" s="1"/>
  <c r="J28" i="6"/>
  <c r="L29" i="17" s="1"/>
  <c r="C22" i="3"/>
  <c r="I12" i="6"/>
  <c r="K13" i="17" s="1"/>
  <c r="J12" i="6"/>
  <c r="L13" i="17" s="1"/>
  <c r="I24" i="6"/>
  <c r="J27" i="6"/>
  <c r="L28" i="17" s="1"/>
  <c r="I21" i="6"/>
  <c r="K22" i="17" s="1"/>
  <c r="K28" i="17"/>
  <c r="I19" i="10"/>
  <c r="K20" i="17" s="1"/>
  <c r="C10" i="3"/>
  <c r="I11" i="6"/>
  <c r="K12" i="17" s="1"/>
  <c r="J21" i="10"/>
  <c r="L22" i="17" s="1"/>
  <c r="B22" i="3"/>
  <c r="C9" i="3"/>
  <c r="J10" i="6"/>
  <c r="L11" i="17" s="1"/>
  <c r="I24" i="10"/>
  <c r="J22" i="6"/>
  <c r="L23" i="17" s="1"/>
  <c r="L6" i="17"/>
  <c r="J11" i="10"/>
  <c r="L12" i="17" s="1"/>
  <c r="I22" i="6"/>
  <c r="K23" i="17" s="1"/>
  <c r="B25" i="3"/>
  <c r="K6" i="17"/>
  <c r="E13" i="3"/>
  <c r="E14" i="3" s="1"/>
  <c r="E15" i="3" s="1"/>
  <c r="J12" i="3"/>
  <c r="D8" i="17"/>
  <c r="C6" i="3"/>
  <c r="D9" i="17"/>
  <c r="D7" i="17"/>
  <c r="D4" i="3"/>
  <c r="C6" i="2"/>
  <c r="D6" i="2" s="1"/>
  <c r="L25" i="17"/>
  <c r="K27" i="17"/>
  <c r="D29" i="17"/>
  <c r="I30" i="6"/>
  <c r="J30" i="6"/>
  <c r="J31" i="6"/>
  <c r="I31" i="6"/>
  <c r="J23" i="6"/>
  <c r="I23" i="6"/>
  <c r="L20" i="17"/>
  <c r="J25" i="6"/>
  <c r="I25" i="6"/>
  <c r="J20" i="6"/>
  <c r="I20" i="6"/>
  <c r="J8" i="6"/>
  <c r="L9" i="17" s="1"/>
  <c r="I8" i="6"/>
  <c r="K9" i="17" s="1"/>
  <c r="J17" i="6"/>
  <c r="L18" i="17" s="1"/>
  <c r="I17" i="6"/>
  <c r="K18" i="17" s="1"/>
  <c r="J9" i="6"/>
  <c r="I9" i="6"/>
  <c r="I14" i="6"/>
  <c r="K15" i="17" s="1"/>
  <c r="J14" i="6"/>
  <c r="L15" i="17" s="1"/>
  <c r="J16" i="6"/>
  <c r="L17" i="17" s="1"/>
  <c r="I16" i="6"/>
  <c r="K17" i="17" s="1"/>
  <c r="J6" i="6"/>
  <c r="L7" i="17" s="1"/>
  <c r="I6" i="6"/>
  <c r="K7" i="17" s="1"/>
  <c r="J7" i="6"/>
  <c r="L8" i="17" s="1"/>
  <c r="I7" i="6"/>
  <c r="K8" i="17" s="1"/>
  <c r="J15" i="6"/>
  <c r="L16" i="17" s="1"/>
  <c r="I15" i="6"/>
  <c r="K16" i="17" s="1"/>
  <c r="J9" i="10"/>
  <c r="I9" i="10"/>
  <c r="D27" i="17"/>
  <c r="D30" i="17"/>
  <c r="D13" i="17"/>
  <c r="D23" i="17"/>
  <c r="C24" i="3"/>
  <c r="C32" i="3"/>
  <c r="C31" i="3"/>
  <c r="C26" i="3"/>
  <c r="D33" i="17"/>
  <c r="B31" i="3"/>
  <c r="B24" i="3"/>
  <c r="B32" i="3"/>
  <c r="B26" i="3"/>
  <c r="B21" i="3"/>
  <c r="C21" i="3"/>
  <c r="C13" i="3"/>
  <c r="C16" i="3"/>
  <c r="B8" i="3"/>
  <c r="B16" i="3"/>
  <c r="B15" i="3"/>
  <c r="B13" i="3"/>
  <c r="C8" i="3"/>
  <c r="C15" i="3"/>
  <c r="O49" i="10" l="1"/>
  <c r="Q82" i="10"/>
  <c r="Z82" i="10"/>
  <c r="O64" i="10"/>
  <c r="Z64" i="10"/>
  <c r="X64" i="10"/>
  <c r="X82" i="10"/>
  <c r="P64" i="10"/>
  <c r="P49" i="10"/>
  <c r="P82" i="10"/>
  <c r="W64" i="10"/>
  <c r="V64" i="10"/>
  <c r="U49" i="10"/>
  <c r="U82" i="10"/>
  <c r="U50" i="10"/>
  <c r="N65" i="10"/>
  <c r="R65" i="10"/>
  <c r="S83" i="10"/>
  <c r="K79" i="10"/>
  <c r="K46" i="10"/>
  <c r="K61" i="10"/>
  <c r="N64" i="10"/>
  <c r="W49" i="10"/>
  <c r="R82" i="10"/>
  <c r="R49" i="10"/>
  <c r="R64" i="10"/>
  <c r="V49" i="10"/>
  <c r="J82" i="10"/>
  <c r="Y82" i="10"/>
  <c r="Y49" i="10"/>
  <c r="B66" i="10"/>
  <c r="W83" i="10"/>
  <c r="Y50" i="10"/>
  <c r="B50" i="10"/>
  <c r="R83" i="10"/>
  <c r="O65" i="10"/>
  <c r="P83" i="10"/>
  <c r="J50" i="10"/>
  <c r="I65" i="10"/>
  <c r="C50" i="10"/>
  <c r="J83" i="10"/>
  <c r="E81" i="10"/>
  <c r="E48" i="10"/>
  <c r="E63" i="10"/>
  <c r="F47" i="10"/>
  <c r="F80" i="10"/>
  <c r="F62" i="10"/>
  <c r="C83" i="10"/>
  <c r="H65" i="10"/>
  <c r="D83" i="10"/>
  <c r="D50" i="10"/>
  <c r="D65" i="10"/>
  <c r="C84" i="10"/>
  <c r="C51" i="10"/>
  <c r="E82" i="10"/>
  <c r="E64" i="10"/>
  <c r="E49" i="10"/>
  <c r="B3" i="3"/>
  <c r="J4" i="10"/>
  <c r="I4" i="10"/>
  <c r="D28" i="17"/>
  <c r="C30" i="2" s="1"/>
  <c r="H30" i="2" s="1"/>
  <c r="B32" i="15" s="1"/>
  <c r="D14" i="17"/>
  <c r="D12" i="3" s="1"/>
  <c r="K25" i="17"/>
  <c r="D12" i="17"/>
  <c r="C12" i="2" s="1"/>
  <c r="H12" i="2" s="1"/>
  <c r="B14" i="15" s="1"/>
  <c r="D22" i="17"/>
  <c r="D22" i="3" s="1"/>
  <c r="D25" i="17"/>
  <c r="C27" i="2" s="1"/>
  <c r="D11" i="17"/>
  <c r="C11" i="2" s="1"/>
  <c r="L32" i="17"/>
  <c r="K32" i="17"/>
  <c r="L21" i="17"/>
  <c r="K21" i="17"/>
  <c r="L24" i="17"/>
  <c r="K24" i="17"/>
  <c r="L26" i="17"/>
  <c r="K26" i="17"/>
  <c r="L31" i="17"/>
  <c r="K31" i="17"/>
  <c r="C32" i="2"/>
  <c r="H32" i="2" s="1"/>
  <c r="B34" i="15" s="1"/>
  <c r="D30" i="3"/>
  <c r="C34" i="3"/>
  <c r="C24" i="2"/>
  <c r="D24" i="2" s="1"/>
  <c r="C35" i="2"/>
  <c r="D35" i="2" s="1"/>
  <c r="D33" i="3"/>
  <c r="C29" i="2"/>
  <c r="H29" i="2" s="1"/>
  <c r="B31" i="15" s="1"/>
  <c r="D27" i="3"/>
  <c r="C31" i="2"/>
  <c r="H31" i="2" s="1"/>
  <c r="B33" i="15" s="1"/>
  <c r="D29" i="3"/>
  <c r="D20" i="17"/>
  <c r="B20" i="3"/>
  <c r="B34" i="3" s="1"/>
  <c r="C25" i="2"/>
  <c r="H25" i="2" s="1"/>
  <c r="B27" i="15" s="1"/>
  <c r="D23" i="3"/>
  <c r="B17" i="3"/>
  <c r="K4" i="3"/>
  <c r="B58" i="3"/>
  <c r="C58" i="3" s="1"/>
  <c r="D58" i="3" s="1"/>
  <c r="E58" i="3" s="1"/>
  <c r="F58" i="3" s="1"/>
  <c r="G58" i="3" s="1"/>
  <c r="H58" i="3" s="1"/>
  <c r="I58" i="3" s="1"/>
  <c r="J58" i="3" s="1"/>
  <c r="K58" i="3" s="1"/>
  <c r="L58" i="3" s="1"/>
  <c r="M58" i="3" s="1"/>
  <c r="N58" i="3" s="1"/>
  <c r="O58" i="3" s="1"/>
  <c r="P58" i="3" s="1"/>
  <c r="Q58" i="3" s="1"/>
  <c r="R58" i="3" s="1"/>
  <c r="S58" i="3" s="1"/>
  <c r="T58" i="3" s="1"/>
  <c r="U58" i="3" s="1"/>
  <c r="V58" i="3" s="1"/>
  <c r="W58" i="3" s="1"/>
  <c r="X58" i="3" s="1"/>
  <c r="Y58" i="3" s="1"/>
  <c r="Z58" i="3" s="1"/>
  <c r="AA58" i="3" s="1"/>
  <c r="AB58" i="3" s="1"/>
  <c r="AC58" i="3" s="1"/>
  <c r="AD58" i="3" s="1"/>
  <c r="AE58" i="3" s="1"/>
  <c r="AF58" i="3" s="1"/>
  <c r="AG58" i="3" s="1"/>
  <c r="AH58" i="3" s="1"/>
  <c r="AI58" i="3" s="1"/>
  <c r="AJ58" i="3" s="1"/>
  <c r="AK58" i="3" s="1"/>
  <c r="AL58" i="3" s="1"/>
  <c r="AM58" i="3" s="1"/>
  <c r="AN58" i="3" s="1"/>
  <c r="AO58" i="3" s="1"/>
  <c r="AP58" i="3" s="1"/>
  <c r="AQ58" i="3" s="1"/>
  <c r="AR58" i="3" s="1"/>
  <c r="AS58" i="3" s="1"/>
  <c r="AT58" i="3" s="1"/>
  <c r="AU58" i="3" s="1"/>
  <c r="AV58" i="3" s="1"/>
  <c r="AW58" i="3" s="1"/>
  <c r="AX58" i="3" s="1"/>
  <c r="AY58" i="3" s="1"/>
  <c r="AZ58" i="3" s="1"/>
  <c r="BA58" i="3" s="1"/>
  <c r="BB58" i="3" s="1"/>
  <c r="BC58" i="3" s="1"/>
  <c r="BD58" i="3" s="1"/>
  <c r="BE58" i="3" s="1"/>
  <c r="BF58" i="3" s="1"/>
  <c r="BG58" i="3" s="1"/>
  <c r="BH58" i="3" s="1"/>
  <c r="BI58" i="3" s="1"/>
  <c r="BJ58" i="3" s="1"/>
  <c r="BK58" i="3" s="1"/>
  <c r="BL58" i="3" s="1"/>
  <c r="BM58" i="3" s="1"/>
  <c r="BN58" i="3" s="1"/>
  <c r="BO58" i="3" s="1"/>
  <c r="BP58" i="3" s="1"/>
  <c r="BQ58" i="3" s="1"/>
  <c r="BR58" i="3" s="1"/>
  <c r="BS58" i="3" s="1"/>
  <c r="D11" i="3"/>
  <c r="C13" i="2"/>
  <c r="H13" i="2" s="1"/>
  <c r="B15" i="15" s="1"/>
  <c r="C7" i="2"/>
  <c r="D5" i="3"/>
  <c r="D7" i="3"/>
  <c r="C9" i="2"/>
  <c r="H9" i="2" s="1"/>
  <c r="B11" i="15" s="1"/>
  <c r="D16" i="17"/>
  <c r="C14" i="3"/>
  <c r="D6" i="3"/>
  <c r="C8" i="2"/>
  <c r="K10" i="17"/>
  <c r="L10" i="17"/>
  <c r="H35" i="17"/>
  <c r="G35" i="17"/>
  <c r="D26" i="17"/>
  <c r="H6" i="2"/>
  <c r="B8" i="15" s="1"/>
  <c r="D32" i="17"/>
  <c r="D18" i="17"/>
  <c r="D15" i="17"/>
  <c r="D24" i="17"/>
  <c r="D21" i="17"/>
  <c r="D31" i="17"/>
  <c r="D17" i="17"/>
  <c r="D10" i="17"/>
  <c r="B35" i="17"/>
  <c r="U65" i="10" l="1"/>
  <c r="S65" i="10"/>
  <c r="N50" i="10"/>
  <c r="H83" i="10"/>
  <c r="I50" i="10"/>
  <c r="R50" i="10"/>
  <c r="U83" i="10"/>
  <c r="W50" i="10"/>
  <c r="K65" i="10"/>
  <c r="W65" i="10"/>
  <c r="H50" i="10"/>
  <c r="N83" i="10"/>
  <c r="I83" i="10"/>
  <c r="Q83" i="10"/>
  <c r="Q50" i="10"/>
  <c r="Q65" i="10"/>
  <c r="K82" i="10"/>
  <c r="K64" i="10"/>
  <c r="K49" i="10"/>
  <c r="P65" i="10"/>
  <c r="P50" i="10"/>
  <c r="V50" i="10"/>
  <c r="V65" i="10"/>
  <c r="V83" i="10"/>
  <c r="K50" i="10"/>
  <c r="L50" i="10"/>
  <c r="L65" i="10"/>
  <c r="L83" i="10"/>
  <c r="O50" i="10"/>
  <c r="O83" i="10"/>
  <c r="Q66" i="10"/>
  <c r="R66" i="10"/>
  <c r="O66" i="10"/>
  <c r="N84" i="10"/>
  <c r="L79" i="10"/>
  <c r="L46" i="10"/>
  <c r="L61" i="10"/>
  <c r="T65" i="10"/>
  <c r="T50" i="10"/>
  <c r="T83" i="10"/>
  <c r="J65" i="10"/>
  <c r="K83" i="10"/>
  <c r="S50" i="10"/>
  <c r="Z83" i="10"/>
  <c r="Z50" i="10"/>
  <c r="Z65" i="10"/>
  <c r="X83" i="10"/>
  <c r="X65" i="10"/>
  <c r="X50" i="10"/>
  <c r="Y65" i="10"/>
  <c r="Z84" i="10"/>
  <c r="W84" i="10"/>
  <c r="X66" i="10"/>
  <c r="B84" i="10"/>
  <c r="B51" i="10"/>
  <c r="Y83" i="10"/>
  <c r="Q51" i="10"/>
  <c r="Q84" i="10"/>
  <c r="R51" i="10"/>
  <c r="N66" i="10"/>
  <c r="S51" i="10"/>
  <c r="F81" i="10"/>
  <c r="F63" i="10"/>
  <c r="F48" i="10"/>
  <c r="C66" i="10"/>
  <c r="H51" i="10"/>
  <c r="G47" i="10"/>
  <c r="G80" i="10"/>
  <c r="G62" i="10"/>
  <c r="H66" i="10"/>
  <c r="F82" i="10"/>
  <c r="F64" i="10"/>
  <c r="F49" i="10"/>
  <c r="D84" i="10"/>
  <c r="D51" i="10"/>
  <c r="D66" i="10"/>
  <c r="E65" i="10"/>
  <c r="E50" i="10"/>
  <c r="E83" i="10"/>
  <c r="C14" i="2"/>
  <c r="H14" i="2" s="1"/>
  <c r="B16" i="15" s="1"/>
  <c r="D28" i="3"/>
  <c r="K28" i="3" s="1"/>
  <c r="D10" i="3"/>
  <c r="B64" i="3" s="1"/>
  <c r="C64" i="3" s="1"/>
  <c r="D64" i="3" s="1"/>
  <c r="E64" i="3" s="1"/>
  <c r="F64" i="3" s="1"/>
  <c r="G64" i="3" s="1"/>
  <c r="H64" i="3" s="1"/>
  <c r="I64" i="3" s="1"/>
  <c r="J64" i="3" s="1"/>
  <c r="K64" i="3" s="1"/>
  <c r="L64" i="3" s="1"/>
  <c r="M64" i="3" s="1"/>
  <c r="N64" i="3" s="1"/>
  <c r="O64" i="3" s="1"/>
  <c r="P64" i="3" s="1"/>
  <c r="Q64" i="3" s="1"/>
  <c r="R64" i="3" s="1"/>
  <c r="S64" i="3" s="1"/>
  <c r="T64" i="3" s="1"/>
  <c r="U64" i="3" s="1"/>
  <c r="V64" i="3" s="1"/>
  <c r="W64" i="3" s="1"/>
  <c r="X64" i="3" s="1"/>
  <c r="Y64" i="3" s="1"/>
  <c r="Z64" i="3" s="1"/>
  <c r="AA64" i="3" s="1"/>
  <c r="AB64" i="3" s="1"/>
  <c r="AC64" i="3" s="1"/>
  <c r="AD64" i="3" s="1"/>
  <c r="AE64" i="3" s="1"/>
  <c r="AF64" i="3" s="1"/>
  <c r="AG64" i="3" s="1"/>
  <c r="AH64" i="3" s="1"/>
  <c r="AI64" i="3" s="1"/>
  <c r="AJ64" i="3" s="1"/>
  <c r="AK64" i="3" s="1"/>
  <c r="AL64" i="3" s="1"/>
  <c r="AM64" i="3" s="1"/>
  <c r="AN64" i="3" s="1"/>
  <c r="AO64" i="3" s="1"/>
  <c r="AP64" i="3" s="1"/>
  <c r="AQ64" i="3" s="1"/>
  <c r="AR64" i="3" s="1"/>
  <c r="AS64" i="3" s="1"/>
  <c r="AT64" i="3" s="1"/>
  <c r="AU64" i="3" s="1"/>
  <c r="AV64" i="3" s="1"/>
  <c r="AW64" i="3" s="1"/>
  <c r="AX64" i="3" s="1"/>
  <c r="AY64" i="3" s="1"/>
  <c r="AZ64" i="3" s="1"/>
  <c r="BA64" i="3" s="1"/>
  <c r="BB64" i="3" s="1"/>
  <c r="BC64" i="3" s="1"/>
  <c r="BD64" i="3" s="1"/>
  <c r="BE64" i="3" s="1"/>
  <c r="BF64" i="3" s="1"/>
  <c r="BG64" i="3" s="1"/>
  <c r="BH64" i="3" s="1"/>
  <c r="BI64" i="3" s="1"/>
  <c r="BJ64" i="3" s="1"/>
  <c r="BK64" i="3" s="1"/>
  <c r="BL64" i="3" s="1"/>
  <c r="BM64" i="3" s="1"/>
  <c r="BN64" i="3" s="1"/>
  <c r="BO64" i="3" s="1"/>
  <c r="BP64" i="3" s="1"/>
  <c r="BQ64" i="3" s="1"/>
  <c r="BR64" i="3" s="1"/>
  <c r="BS64" i="3" s="1"/>
  <c r="D32" i="2"/>
  <c r="D27" i="2"/>
  <c r="H27" i="2"/>
  <c r="B29" i="15" s="1"/>
  <c r="D25" i="3"/>
  <c r="B79" i="3" s="1"/>
  <c r="C79" i="3" s="1"/>
  <c r="D79" i="3" s="1"/>
  <c r="E79" i="3" s="1"/>
  <c r="F79" i="3" s="1"/>
  <c r="G79" i="3" s="1"/>
  <c r="H79" i="3" s="1"/>
  <c r="I79" i="3" s="1"/>
  <c r="J79" i="3" s="1"/>
  <c r="K79" i="3" s="1"/>
  <c r="L79" i="3" s="1"/>
  <c r="M79" i="3" s="1"/>
  <c r="N79" i="3" s="1"/>
  <c r="O79" i="3" s="1"/>
  <c r="P79" i="3" s="1"/>
  <c r="Q79" i="3" s="1"/>
  <c r="R79" i="3" s="1"/>
  <c r="S79" i="3" s="1"/>
  <c r="T79" i="3" s="1"/>
  <c r="U79" i="3" s="1"/>
  <c r="V79" i="3" s="1"/>
  <c r="W79" i="3" s="1"/>
  <c r="X79" i="3" s="1"/>
  <c r="Y79" i="3" s="1"/>
  <c r="Z79" i="3" s="1"/>
  <c r="AA79" i="3" s="1"/>
  <c r="AB79" i="3" s="1"/>
  <c r="AC79" i="3" s="1"/>
  <c r="AD79" i="3" s="1"/>
  <c r="AE79" i="3" s="1"/>
  <c r="AF79" i="3" s="1"/>
  <c r="AG79" i="3" s="1"/>
  <c r="AH79" i="3" s="1"/>
  <c r="AI79" i="3" s="1"/>
  <c r="AJ79" i="3" s="1"/>
  <c r="AK79" i="3" s="1"/>
  <c r="AL79" i="3" s="1"/>
  <c r="AM79" i="3" s="1"/>
  <c r="AN79" i="3" s="1"/>
  <c r="AO79" i="3" s="1"/>
  <c r="AP79" i="3" s="1"/>
  <c r="AQ79" i="3" s="1"/>
  <c r="AR79" i="3" s="1"/>
  <c r="AS79" i="3" s="1"/>
  <c r="AT79" i="3" s="1"/>
  <c r="AU79" i="3" s="1"/>
  <c r="AV79" i="3" s="1"/>
  <c r="AW79" i="3" s="1"/>
  <c r="AX79" i="3" s="1"/>
  <c r="AY79" i="3" s="1"/>
  <c r="AZ79" i="3" s="1"/>
  <c r="BA79" i="3" s="1"/>
  <c r="BB79" i="3" s="1"/>
  <c r="BC79" i="3" s="1"/>
  <c r="BD79" i="3" s="1"/>
  <c r="BE79" i="3" s="1"/>
  <c r="BF79" i="3" s="1"/>
  <c r="BG79" i="3" s="1"/>
  <c r="BH79" i="3" s="1"/>
  <c r="BI79" i="3" s="1"/>
  <c r="BJ79" i="3" s="1"/>
  <c r="BK79" i="3" s="1"/>
  <c r="BL79" i="3" s="1"/>
  <c r="BM79" i="3" s="1"/>
  <c r="BN79" i="3" s="1"/>
  <c r="BO79" i="3" s="1"/>
  <c r="BP79" i="3" s="1"/>
  <c r="BQ79" i="3" s="1"/>
  <c r="BR79" i="3" s="1"/>
  <c r="BS79" i="3" s="1"/>
  <c r="D30" i="2"/>
  <c r="D11" i="2"/>
  <c r="H11" i="2"/>
  <c r="B13" i="15" s="1"/>
  <c r="D9" i="3"/>
  <c r="B63" i="3" s="1"/>
  <c r="C63" i="3" s="1"/>
  <c r="D63" i="3" s="1"/>
  <c r="E63" i="3" s="1"/>
  <c r="F63" i="3" s="1"/>
  <c r="G63" i="3" s="1"/>
  <c r="H63" i="3" s="1"/>
  <c r="I63" i="3" s="1"/>
  <c r="J63" i="3" s="1"/>
  <c r="K63" i="3" s="1"/>
  <c r="L63" i="3" s="1"/>
  <c r="M63" i="3" s="1"/>
  <c r="N63" i="3" s="1"/>
  <c r="O63" i="3" s="1"/>
  <c r="P63" i="3" s="1"/>
  <c r="Q63" i="3" s="1"/>
  <c r="R63" i="3" s="1"/>
  <c r="S63" i="3" s="1"/>
  <c r="T63" i="3" s="1"/>
  <c r="U63" i="3" s="1"/>
  <c r="V63" i="3" s="1"/>
  <c r="W63" i="3" s="1"/>
  <c r="X63" i="3" s="1"/>
  <c r="Y63" i="3" s="1"/>
  <c r="Z63" i="3" s="1"/>
  <c r="AA63" i="3" s="1"/>
  <c r="AB63" i="3" s="1"/>
  <c r="AC63" i="3" s="1"/>
  <c r="AD63" i="3" s="1"/>
  <c r="AE63" i="3" s="1"/>
  <c r="AF63" i="3" s="1"/>
  <c r="AG63" i="3" s="1"/>
  <c r="AH63" i="3" s="1"/>
  <c r="AI63" i="3" s="1"/>
  <c r="AJ63" i="3" s="1"/>
  <c r="AK63" i="3" s="1"/>
  <c r="AL63" i="3" s="1"/>
  <c r="AM63" i="3" s="1"/>
  <c r="AN63" i="3" s="1"/>
  <c r="AO63" i="3" s="1"/>
  <c r="AP63" i="3" s="1"/>
  <c r="AQ63" i="3" s="1"/>
  <c r="AR63" i="3" s="1"/>
  <c r="AS63" i="3" s="1"/>
  <c r="AT63" i="3" s="1"/>
  <c r="AU63" i="3" s="1"/>
  <c r="AV63" i="3" s="1"/>
  <c r="AW63" i="3" s="1"/>
  <c r="AX63" i="3" s="1"/>
  <c r="AY63" i="3" s="1"/>
  <c r="AZ63" i="3" s="1"/>
  <c r="BA63" i="3" s="1"/>
  <c r="BB63" i="3" s="1"/>
  <c r="BC63" i="3" s="1"/>
  <c r="BD63" i="3" s="1"/>
  <c r="BE63" i="3" s="1"/>
  <c r="BF63" i="3" s="1"/>
  <c r="BG63" i="3" s="1"/>
  <c r="BH63" i="3" s="1"/>
  <c r="BI63" i="3" s="1"/>
  <c r="BJ63" i="3" s="1"/>
  <c r="BK63" i="3" s="1"/>
  <c r="BL63" i="3" s="1"/>
  <c r="BM63" i="3" s="1"/>
  <c r="BN63" i="3" s="1"/>
  <c r="BO63" i="3" s="1"/>
  <c r="BP63" i="3" s="1"/>
  <c r="BQ63" i="3" s="1"/>
  <c r="BR63" i="3" s="1"/>
  <c r="BS63" i="3" s="1"/>
  <c r="H35" i="2"/>
  <c r="B37" i="15" s="1"/>
  <c r="C8" i="15"/>
  <c r="L4" i="3"/>
  <c r="G8" i="15" s="1"/>
  <c r="D31" i="2"/>
  <c r="D12" i="2"/>
  <c r="D29" i="2"/>
  <c r="D25" i="2"/>
  <c r="B36" i="3"/>
  <c r="C34" i="2"/>
  <c r="H34" i="2" s="1"/>
  <c r="B36" i="15" s="1"/>
  <c r="D32" i="3"/>
  <c r="C26" i="2"/>
  <c r="D26" i="2" s="1"/>
  <c r="D24" i="3"/>
  <c r="C23" i="2"/>
  <c r="H23" i="2" s="1"/>
  <c r="B25" i="15" s="1"/>
  <c r="D21" i="3"/>
  <c r="K33" i="3"/>
  <c r="B87" i="3"/>
  <c r="C87" i="3" s="1"/>
  <c r="D87" i="3" s="1"/>
  <c r="E87" i="3" s="1"/>
  <c r="F87" i="3" s="1"/>
  <c r="G87" i="3" s="1"/>
  <c r="H87" i="3" s="1"/>
  <c r="I87" i="3" s="1"/>
  <c r="J87" i="3" s="1"/>
  <c r="K87" i="3" s="1"/>
  <c r="L87" i="3" s="1"/>
  <c r="M87" i="3" s="1"/>
  <c r="N87" i="3" s="1"/>
  <c r="O87" i="3" s="1"/>
  <c r="P87" i="3" s="1"/>
  <c r="Q87" i="3" s="1"/>
  <c r="R87" i="3" s="1"/>
  <c r="S87" i="3" s="1"/>
  <c r="T87" i="3" s="1"/>
  <c r="U87" i="3" s="1"/>
  <c r="V87" i="3" s="1"/>
  <c r="W87" i="3" s="1"/>
  <c r="X87" i="3" s="1"/>
  <c r="Y87" i="3" s="1"/>
  <c r="Z87" i="3" s="1"/>
  <c r="AA87" i="3" s="1"/>
  <c r="AB87" i="3" s="1"/>
  <c r="AC87" i="3" s="1"/>
  <c r="AD87" i="3" s="1"/>
  <c r="AE87" i="3" s="1"/>
  <c r="AF87" i="3" s="1"/>
  <c r="AG87" i="3" s="1"/>
  <c r="AH87" i="3" s="1"/>
  <c r="AI87" i="3" s="1"/>
  <c r="AJ87" i="3" s="1"/>
  <c r="AK87" i="3" s="1"/>
  <c r="AL87" i="3" s="1"/>
  <c r="AM87" i="3" s="1"/>
  <c r="AN87" i="3" s="1"/>
  <c r="AO87" i="3" s="1"/>
  <c r="AP87" i="3" s="1"/>
  <c r="AQ87" i="3" s="1"/>
  <c r="AR87" i="3" s="1"/>
  <c r="AS87" i="3" s="1"/>
  <c r="AT87" i="3" s="1"/>
  <c r="AU87" i="3" s="1"/>
  <c r="AV87" i="3" s="1"/>
  <c r="AW87" i="3" s="1"/>
  <c r="AX87" i="3" s="1"/>
  <c r="AY87" i="3" s="1"/>
  <c r="AZ87" i="3" s="1"/>
  <c r="BA87" i="3" s="1"/>
  <c r="BB87" i="3" s="1"/>
  <c r="BC87" i="3" s="1"/>
  <c r="BD87" i="3" s="1"/>
  <c r="BE87" i="3" s="1"/>
  <c r="BF87" i="3" s="1"/>
  <c r="BG87" i="3" s="1"/>
  <c r="BH87" i="3" s="1"/>
  <c r="BI87" i="3" s="1"/>
  <c r="BJ87" i="3" s="1"/>
  <c r="BK87" i="3" s="1"/>
  <c r="BL87" i="3" s="1"/>
  <c r="BM87" i="3" s="1"/>
  <c r="BN87" i="3" s="1"/>
  <c r="BO87" i="3" s="1"/>
  <c r="BP87" i="3" s="1"/>
  <c r="BQ87" i="3" s="1"/>
  <c r="BR87" i="3" s="1"/>
  <c r="BS87" i="3" s="1"/>
  <c r="C33" i="2"/>
  <c r="D31" i="3"/>
  <c r="H24" i="2"/>
  <c r="B26" i="15" s="1"/>
  <c r="C22" i="2"/>
  <c r="D20" i="3"/>
  <c r="K29" i="3"/>
  <c r="B83" i="3"/>
  <c r="C83" i="3" s="1"/>
  <c r="D83" i="3" s="1"/>
  <c r="E83" i="3" s="1"/>
  <c r="F83" i="3" s="1"/>
  <c r="G83" i="3" s="1"/>
  <c r="H83" i="3" s="1"/>
  <c r="I83" i="3" s="1"/>
  <c r="J83" i="3" s="1"/>
  <c r="K83" i="3" s="1"/>
  <c r="L83" i="3" s="1"/>
  <c r="M83" i="3" s="1"/>
  <c r="N83" i="3" s="1"/>
  <c r="O83" i="3" s="1"/>
  <c r="P83" i="3" s="1"/>
  <c r="Q83" i="3" s="1"/>
  <c r="R83" i="3" s="1"/>
  <c r="S83" i="3" s="1"/>
  <c r="T83" i="3" s="1"/>
  <c r="U83" i="3" s="1"/>
  <c r="V83" i="3" s="1"/>
  <c r="W83" i="3" s="1"/>
  <c r="X83" i="3" s="1"/>
  <c r="Y83" i="3" s="1"/>
  <c r="Z83" i="3" s="1"/>
  <c r="AA83" i="3" s="1"/>
  <c r="AB83" i="3" s="1"/>
  <c r="AC83" i="3" s="1"/>
  <c r="AD83" i="3" s="1"/>
  <c r="AE83" i="3" s="1"/>
  <c r="AF83" i="3" s="1"/>
  <c r="AG83" i="3" s="1"/>
  <c r="AH83" i="3" s="1"/>
  <c r="AI83" i="3" s="1"/>
  <c r="AJ83" i="3" s="1"/>
  <c r="AK83" i="3" s="1"/>
  <c r="AL83" i="3" s="1"/>
  <c r="AM83" i="3" s="1"/>
  <c r="AN83" i="3" s="1"/>
  <c r="AO83" i="3" s="1"/>
  <c r="AP83" i="3" s="1"/>
  <c r="AQ83" i="3" s="1"/>
  <c r="AR83" i="3" s="1"/>
  <c r="AS83" i="3" s="1"/>
  <c r="AT83" i="3" s="1"/>
  <c r="AU83" i="3" s="1"/>
  <c r="AV83" i="3" s="1"/>
  <c r="AW83" i="3" s="1"/>
  <c r="AX83" i="3" s="1"/>
  <c r="AY83" i="3" s="1"/>
  <c r="AZ83" i="3" s="1"/>
  <c r="BA83" i="3" s="1"/>
  <c r="BB83" i="3" s="1"/>
  <c r="BC83" i="3" s="1"/>
  <c r="BD83" i="3" s="1"/>
  <c r="BE83" i="3" s="1"/>
  <c r="BF83" i="3" s="1"/>
  <c r="BG83" i="3" s="1"/>
  <c r="BH83" i="3" s="1"/>
  <c r="BI83" i="3" s="1"/>
  <c r="BJ83" i="3" s="1"/>
  <c r="BK83" i="3" s="1"/>
  <c r="BL83" i="3" s="1"/>
  <c r="BM83" i="3" s="1"/>
  <c r="BN83" i="3" s="1"/>
  <c r="BO83" i="3" s="1"/>
  <c r="BP83" i="3" s="1"/>
  <c r="BQ83" i="3" s="1"/>
  <c r="BR83" i="3" s="1"/>
  <c r="BS83" i="3" s="1"/>
  <c r="K22" i="3"/>
  <c r="B76" i="3"/>
  <c r="C76" i="3" s="1"/>
  <c r="D76" i="3" s="1"/>
  <c r="E76" i="3" s="1"/>
  <c r="F76" i="3" s="1"/>
  <c r="G76" i="3" s="1"/>
  <c r="H76" i="3" s="1"/>
  <c r="I76" i="3" s="1"/>
  <c r="J76" i="3" s="1"/>
  <c r="K76" i="3" s="1"/>
  <c r="L76" i="3" s="1"/>
  <c r="M76" i="3" s="1"/>
  <c r="N76" i="3" s="1"/>
  <c r="O76" i="3" s="1"/>
  <c r="P76" i="3" s="1"/>
  <c r="Q76" i="3" s="1"/>
  <c r="R76" i="3" s="1"/>
  <c r="S76" i="3" s="1"/>
  <c r="T76" i="3" s="1"/>
  <c r="U76" i="3" s="1"/>
  <c r="V76" i="3" s="1"/>
  <c r="W76" i="3" s="1"/>
  <c r="X76" i="3" s="1"/>
  <c r="Y76" i="3" s="1"/>
  <c r="Z76" i="3" s="1"/>
  <c r="AA76" i="3" s="1"/>
  <c r="AB76" i="3" s="1"/>
  <c r="AC76" i="3" s="1"/>
  <c r="AD76" i="3" s="1"/>
  <c r="AE76" i="3" s="1"/>
  <c r="AF76" i="3" s="1"/>
  <c r="AG76" i="3" s="1"/>
  <c r="AH76" i="3" s="1"/>
  <c r="AI76" i="3" s="1"/>
  <c r="AJ76" i="3" s="1"/>
  <c r="AK76" i="3" s="1"/>
  <c r="AL76" i="3" s="1"/>
  <c r="AM76" i="3" s="1"/>
  <c r="AN76" i="3" s="1"/>
  <c r="AO76" i="3" s="1"/>
  <c r="AP76" i="3" s="1"/>
  <c r="AQ76" i="3" s="1"/>
  <c r="AR76" i="3" s="1"/>
  <c r="AS76" i="3" s="1"/>
  <c r="AT76" i="3" s="1"/>
  <c r="AU76" i="3" s="1"/>
  <c r="AV76" i="3" s="1"/>
  <c r="AW76" i="3" s="1"/>
  <c r="AX76" i="3" s="1"/>
  <c r="AY76" i="3" s="1"/>
  <c r="AZ76" i="3" s="1"/>
  <c r="BA76" i="3" s="1"/>
  <c r="BB76" i="3" s="1"/>
  <c r="BC76" i="3" s="1"/>
  <c r="BD76" i="3" s="1"/>
  <c r="BE76" i="3" s="1"/>
  <c r="BF76" i="3" s="1"/>
  <c r="BG76" i="3" s="1"/>
  <c r="BH76" i="3" s="1"/>
  <c r="BI76" i="3" s="1"/>
  <c r="BJ76" i="3" s="1"/>
  <c r="BK76" i="3" s="1"/>
  <c r="BL76" i="3" s="1"/>
  <c r="BM76" i="3" s="1"/>
  <c r="BN76" i="3" s="1"/>
  <c r="BO76" i="3" s="1"/>
  <c r="BP76" i="3" s="1"/>
  <c r="BQ76" i="3" s="1"/>
  <c r="BR76" i="3" s="1"/>
  <c r="BS76" i="3" s="1"/>
  <c r="K23" i="3"/>
  <c r="B77" i="3"/>
  <c r="C77" i="3" s="1"/>
  <c r="D77" i="3" s="1"/>
  <c r="E77" i="3" s="1"/>
  <c r="F77" i="3" s="1"/>
  <c r="G77" i="3" s="1"/>
  <c r="H77" i="3" s="1"/>
  <c r="I77" i="3" s="1"/>
  <c r="J77" i="3" s="1"/>
  <c r="K77" i="3" s="1"/>
  <c r="L77" i="3" s="1"/>
  <c r="M77" i="3" s="1"/>
  <c r="N77" i="3" s="1"/>
  <c r="O77" i="3" s="1"/>
  <c r="P77" i="3" s="1"/>
  <c r="Q77" i="3" s="1"/>
  <c r="R77" i="3" s="1"/>
  <c r="S77" i="3" s="1"/>
  <c r="T77" i="3" s="1"/>
  <c r="U77" i="3" s="1"/>
  <c r="V77" i="3" s="1"/>
  <c r="W77" i="3" s="1"/>
  <c r="X77" i="3" s="1"/>
  <c r="Y77" i="3" s="1"/>
  <c r="Z77" i="3" s="1"/>
  <c r="AA77" i="3" s="1"/>
  <c r="AB77" i="3" s="1"/>
  <c r="AC77" i="3" s="1"/>
  <c r="AD77" i="3" s="1"/>
  <c r="AE77" i="3" s="1"/>
  <c r="AF77" i="3" s="1"/>
  <c r="AG77" i="3" s="1"/>
  <c r="AH77" i="3" s="1"/>
  <c r="AI77" i="3" s="1"/>
  <c r="AJ77" i="3" s="1"/>
  <c r="AK77" i="3" s="1"/>
  <c r="AL77" i="3" s="1"/>
  <c r="AM77" i="3" s="1"/>
  <c r="AN77" i="3" s="1"/>
  <c r="AO77" i="3" s="1"/>
  <c r="AP77" i="3" s="1"/>
  <c r="AQ77" i="3" s="1"/>
  <c r="AR77" i="3" s="1"/>
  <c r="AS77" i="3" s="1"/>
  <c r="AT77" i="3" s="1"/>
  <c r="AU77" i="3" s="1"/>
  <c r="AV77" i="3" s="1"/>
  <c r="AW77" i="3" s="1"/>
  <c r="AX77" i="3" s="1"/>
  <c r="AY77" i="3" s="1"/>
  <c r="AZ77" i="3" s="1"/>
  <c r="BA77" i="3" s="1"/>
  <c r="BB77" i="3" s="1"/>
  <c r="BC77" i="3" s="1"/>
  <c r="BD77" i="3" s="1"/>
  <c r="BE77" i="3" s="1"/>
  <c r="BF77" i="3" s="1"/>
  <c r="BG77" i="3" s="1"/>
  <c r="BH77" i="3" s="1"/>
  <c r="BI77" i="3" s="1"/>
  <c r="BJ77" i="3" s="1"/>
  <c r="BK77" i="3" s="1"/>
  <c r="BL77" i="3" s="1"/>
  <c r="BM77" i="3" s="1"/>
  <c r="BN77" i="3" s="1"/>
  <c r="BO77" i="3" s="1"/>
  <c r="BP77" i="3" s="1"/>
  <c r="BQ77" i="3" s="1"/>
  <c r="BR77" i="3" s="1"/>
  <c r="BS77" i="3" s="1"/>
  <c r="K27" i="3"/>
  <c r="B81" i="3"/>
  <c r="C81" i="3" s="1"/>
  <c r="D81" i="3" s="1"/>
  <c r="E81" i="3" s="1"/>
  <c r="F81" i="3" s="1"/>
  <c r="G81" i="3" s="1"/>
  <c r="H81" i="3" s="1"/>
  <c r="I81" i="3" s="1"/>
  <c r="J81" i="3" s="1"/>
  <c r="K81" i="3" s="1"/>
  <c r="L81" i="3" s="1"/>
  <c r="M81" i="3" s="1"/>
  <c r="N81" i="3" s="1"/>
  <c r="O81" i="3" s="1"/>
  <c r="P81" i="3" s="1"/>
  <c r="Q81" i="3" s="1"/>
  <c r="R81" i="3" s="1"/>
  <c r="S81" i="3" s="1"/>
  <c r="T81" i="3" s="1"/>
  <c r="U81" i="3" s="1"/>
  <c r="V81" i="3" s="1"/>
  <c r="W81" i="3" s="1"/>
  <c r="X81" i="3" s="1"/>
  <c r="Y81" i="3" s="1"/>
  <c r="Z81" i="3" s="1"/>
  <c r="AA81" i="3" s="1"/>
  <c r="AB81" i="3" s="1"/>
  <c r="AC81" i="3" s="1"/>
  <c r="AD81" i="3" s="1"/>
  <c r="AE81" i="3" s="1"/>
  <c r="AF81" i="3" s="1"/>
  <c r="AG81" i="3" s="1"/>
  <c r="AH81" i="3" s="1"/>
  <c r="AI81" i="3" s="1"/>
  <c r="AJ81" i="3" s="1"/>
  <c r="AK81" i="3" s="1"/>
  <c r="AL81" i="3" s="1"/>
  <c r="AM81" i="3" s="1"/>
  <c r="AN81" i="3" s="1"/>
  <c r="AO81" i="3" s="1"/>
  <c r="AP81" i="3" s="1"/>
  <c r="AQ81" i="3" s="1"/>
  <c r="AR81" i="3" s="1"/>
  <c r="AS81" i="3" s="1"/>
  <c r="AT81" i="3" s="1"/>
  <c r="AU81" i="3" s="1"/>
  <c r="AV81" i="3" s="1"/>
  <c r="AW81" i="3" s="1"/>
  <c r="AX81" i="3" s="1"/>
  <c r="AY81" i="3" s="1"/>
  <c r="AZ81" i="3" s="1"/>
  <c r="BA81" i="3" s="1"/>
  <c r="BB81" i="3" s="1"/>
  <c r="BC81" i="3" s="1"/>
  <c r="BD81" i="3" s="1"/>
  <c r="BE81" i="3" s="1"/>
  <c r="BF81" i="3" s="1"/>
  <c r="BG81" i="3" s="1"/>
  <c r="BH81" i="3" s="1"/>
  <c r="BI81" i="3" s="1"/>
  <c r="BJ81" i="3" s="1"/>
  <c r="BK81" i="3" s="1"/>
  <c r="BL81" i="3" s="1"/>
  <c r="BM81" i="3" s="1"/>
  <c r="BN81" i="3" s="1"/>
  <c r="BO81" i="3" s="1"/>
  <c r="BP81" i="3" s="1"/>
  <c r="BQ81" i="3" s="1"/>
  <c r="BR81" i="3" s="1"/>
  <c r="BS81" i="3" s="1"/>
  <c r="K30" i="3"/>
  <c r="B84" i="3"/>
  <c r="C84" i="3" s="1"/>
  <c r="D84" i="3" s="1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A84" i="3" s="1"/>
  <c r="AB84" i="3" s="1"/>
  <c r="AC84" i="3" s="1"/>
  <c r="AD84" i="3" s="1"/>
  <c r="AE84" i="3" s="1"/>
  <c r="AF84" i="3" s="1"/>
  <c r="AG84" i="3" s="1"/>
  <c r="AH84" i="3" s="1"/>
  <c r="AI84" i="3" s="1"/>
  <c r="AJ84" i="3" s="1"/>
  <c r="AK84" i="3" s="1"/>
  <c r="AL84" i="3" s="1"/>
  <c r="AM84" i="3" s="1"/>
  <c r="AN84" i="3" s="1"/>
  <c r="AO84" i="3" s="1"/>
  <c r="AP84" i="3" s="1"/>
  <c r="AQ84" i="3" s="1"/>
  <c r="AR84" i="3" s="1"/>
  <c r="AS84" i="3" s="1"/>
  <c r="AT84" i="3" s="1"/>
  <c r="AU84" i="3" s="1"/>
  <c r="AV84" i="3" s="1"/>
  <c r="AW84" i="3" s="1"/>
  <c r="AX84" i="3" s="1"/>
  <c r="AY84" i="3" s="1"/>
  <c r="AZ84" i="3" s="1"/>
  <c r="BA84" i="3" s="1"/>
  <c r="BB84" i="3" s="1"/>
  <c r="BC84" i="3" s="1"/>
  <c r="BD84" i="3" s="1"/>
  <c r="BE84" i="3" s="1"/>
  <c r="BF84" i="3" s="1"/>
  <c r="BG84" i="3" s="1"/>
  <c r="BH84" i="3" s="1"/>
  <c r="BI84" i="3" s="1"/>
  <c r="BJ84" i="3" s="1"/>
  <c r="BK84" i="3" s="1"/>
  <c r="BL84" i="3" s="1"/>
  <c r="BM84" i="3" s="1"/>
  <c r="BN84" i="3" s="1"/>
  <c r="BO84" i="3" s="1"/>
  <c r="BP84" i="3" s="1"/>
  <c r="BQ84" i="3" s="1"/>
  <c r="BR84" i="3" s="1"/>
  <c r="BS84" i="3" s="1"/>
  <c r="C28" i="2"/>
  <c r="D28" i="2" s="1"/>
  <c r="D26" i="3"/>
  <c r="K5" i="3"/>
  <c r="K6" i="3"/>
  <c r="K7" i="3"/>
  <c r="K10" i="3"/>
  <c r="K12" i="3"/>
  <c r="K11" i="3"/>
  <c r="B65" i="3"/>
  <c r="C65" i="3" s="1"/>
  <c r="D65" i="3" s="1"/>
  <c r="E65" i="3" s="1"/>
  <c r="F65" i="3" s="1"/>
  <c r="G65" i="3" s="1"/>
  <c r="H65" i="3" s="1"/>
  <c r="I65" i="3" s="1"/>
  <c r="J65" i="3" s="1"/>
  <c r="K65" i="3" s="1"/>
  <c r="L65" i="3" s="1"/>
  <c r="M65" i="3" s="1"/>
  <c r="N65" i="3" s="1"/>
  <c r="O65" i="3" s="1"/>
  <c r="P65" i="3" s="1"/>
  <c r="Q65" i="3" s="1"/>
  <c r="R65" i="3" s="1"/>
  <c r="S65" i="3" s="1"/>
  <c r="T65" i="3" s="1"/>
  <c r="U65" i="3" s="1"/>
  <c r="V65" i="3" s="1"/>
  <c r="W65" i="3" s="1"/>
  <c r="X65" i="3" s="1"/>
  <c r="Y65" i="3" s="1"/>
  <c r="Z65" i="3" s="1"/>
  <c r="AA65" i="3" s="1"/>
  <c r="AB65" i="3" s="1"/>
  <c r="AC65" i="3" s="1"/>
  <c r="AD65" i="3" s="1"/>
  <c r="AE65" i="3" s="1"/>
  <c r="AF65" i="3" s="1"/>
  <c r="AG65" i="3" s="1"/>
  <c r="AH65" i="3" s="1"/>
  <c r="AI65" i="3" s="1"/>
  <c r="AJ65" i="3" s="1"/>
  <c r="AK65" i="3" s="1"/>
  <c r="AL65" i="3" s="1"/>
  <c r="AM65" i="3" s="1"/>
  <c r="AN65" i="3" s="1"/>
  <c r="AO65" i="3" s="1"/>
  <c r="AP65" i="3" s="1"/>
  <c r="AQ65" i="3" s="1"/>
  <c r="AR65" i="3" s="1"/>
  <c r="AS65" i="3" s="1"/>
  <c r="AT65" i="3" s="1"/>
  <c r="AU65" i="3" s="1"/>
  <c r="AV65" i="3" s="1"/>
  <c r="AW65" i="3" s="1"/>
  <c r="AX65" i="3" s="1"/>
  <c r="AY65" i="3" s="1"/>
  <c r="AZ65" i="3" s="1"/>
  <c r="BA65" i="3" s="1"/>
  <c r="BB65" i="3" s="1"/>
  <c r="BC65" i="3" s="1"/>
  <c r="BD65" i="3" s="1"/>
  <c r="BE65" i="3" s="1"/>
  <c r="BF65" i="3" s="1"/>
  <c r="BG65" i="3" s="1"/>
  <c r="BH65" i="3" s="1"/>
  <c r="BI65" i="3" s="1"/>
  <c r="BJ65" i="3" s="1"/>
  <c r="BK65" i="3" s="1"/>
  <c r="BL65" i="3" s="1"/>
  <c r="BM65" i="3" s="1"/>
  <c r="BN65" i="3" s="1"/>
  <c r="BO65" i="3" s="1"/>
  <c r="BP65" i="3" s="1"/>
  <c r="BQ65" i="3" s="1"/>
  <c r="BR65" i="3" s="1"/>
  <c r="BS65" i="3" s="1"/>
  <c r="B59" i="3"/>
  <c r="C59" i="3" s="1"/>
  <c r="D59" i="3" s="1"/>
  <c r="E59" i="3" s="1"/>
  <c r="F59" i="3" s="1"/>
  <c r="G59" i="3" s="1"/>
  <c r="H59" i="3" s="1"/>
  <c r="I59" i="3" s="1"/>
  <c r="J59" i="3" s="1"/>
  <c r="K59" i="3" s="1"/>
  <c r="L59" i="3" s="1"/>
  <c r="M59" i="3" s="1"/>
  <c r="N59" i="3" s="1"/>
  <c r="O59" i="3" s="1"/>
  <c r="P59" i="3" s="1"/>
  <c r="Q59" i="3" s="1"/>
  <c r="R59" i="3" s="1"/>
  <c r="S59" i="3" s="1"/>
  <c r="T59" i="3" s="1"/>
  <c r="U59" i="3" s="1"/>
  <c r="V59" i="3" s="1"/>
  <c r="W59" i="3" s="1"/>
  <c r="X59" i="3" s="1"/>
  <c r="Y59" i="3" s="1"/>
  <c r="Z59" i="3" s="1"/>
  <c r="AA59" i="3" s="1"/>
  <c r="AB59" i="3" s="1"/>
  <c r="AC59" i="3" s="1"/>
  <c r="AD59" i="3" s="1"/>
  <c r="AE59" i="3" s="1"/>
  <c r="AF59" i="3" s="1"/>
  <c r="AG59" i="3" s="1"/>
  <c r="AH59" i="3" s="1"/>
  <c r="AI59" i="3" s="1"/>
  <c r="AJ59" i="3" s="1"/>
  <c r="AK59" i="3" s="1"/>
  <c r="AL59" i="3" s="1"/>
  <c r="AM59" i="3" s="1"/>
  <c r="AN59" i="3" s="1"/>
  <c r="AO59" i="3" s="1"/>
  <c r="AP59" i="3" s="1"/>
  <c r="AQ59" i="3" s="1"/>
  <c r="AR59" i="3" s="1"/>
  <c r="AS59" i="3" s="1"/>
  <c r="AT59" i="3" s="1"/>
  <c r="AU59" i="3" s="1"/>
  <c r="AV59" i="3" s="1"/>
  <c r="AW59" i="3" s="1"/>
  <c r="AX59" i="3" s="1"/>
  <c r="AY59" i="3" s="1"/>
  <c r="AZ59" i="3" s="1"/>
  <c r="BA59" i="3" s="1"/>
  <c r="BB59" i="3" s="1"/>
  <c r="BC59" i="3" s="1"/>
  <c r="BD59" i="3" s="1"/>
  <c r="BE59" i="3" s="1"/>
  <c r="BF59" i="3" s="1"/>
  <c r="BG59" i="3" s="1"/>
  <c r="BH59" i="3" s="1"/>
  <c r="BI59" i="3" s="1"/>
  <c r="BJ59" i="3" s="1"/>
  <c r="BK59" i="3" s="1"/>
  <c r="BL59" i="3" s="1"/>
  <c r="BM59" i="3" s="1"/>
  <c r="BN59" i="3" s="1"/>
  <c r="BO59" i="3" s="1"/>
  <c r="BP59" i="3" s="1"/>
  <c r="BQ59" i="3" s="1"/>
  <c r="BR59" i="3" s="1"/>
  <c r="BS59" i="3" s="1"/>
  <c r="B60" i="3"/>
  <c r="C60" i="3" s="1"/>
  <c r="D60" i="3" s="1"/>
  <c r="E60" i="3" s="1"/>
  <c r="F60" i="3" s="1"/>
  <c r="G60" i="3" s="1"/>
  <c r="H60" i="3" s="1"/>
  <c r="I60" i="3" s="1"/>
  <c r="J60" i="3" s="1"/>
  <c r="K60" i="3" s="1"/>
  <c r="L60" i="3" s="1"/>
  <c r="M60" i="3" s="1"/>
  <c r="N60" i="3" s="1"/>
  <c r="O60" i="3" s="1"/>
  <c r="P60" i="3" s="1"/>
  <c r="Q60" i="3" s="1"/>
  <c r="R60" i="3" s="1"/>
  <c r="S60" i="3" s="1"/>
  <c r="T60" i="3" s="1"/>
  <c r="U60" i="3" s="1"/>
  <c r="V60" i="3" s="1"/>
  <c r="W60" i="3" s="1"/>
  <c r="X60" i="3" s="1"/>
  <c r="Y60" i="3" s="1"/>
  <c r="Z60" i="3" s="1"/>
  <c r="AA60" i="3" s="1"/>
  <c r="AB60" i="3" s="1"/>
  <c r="AC60" i="3" s="1"/>
  <c r="AD60" i="3" s="1"/>
  <c r="AE60" i="3" s="1"/>
  <c r="AF60" i="3" s="1"/>
  <c r="AG60" i="3" s="1"/>
  <c r="AH60" i="3" s="1"/>
  <c r="AI60" i="3" s="1"/>
  <c r="AJ60" i="3" s="1"/>
  <c r="AK60" i="3" s="1"/>
  <c r="AL60" i="3" s="1"/>
  <c r="AM60" i="3" s="1"/>
  <c r="AN60" i="3" s="1"/>
  <c r="AO60" i="3" s="1"/>
  <c r="AP60" i="3" s="1"/>
  <c r="AQ60" i="3" s="1"/>
  <c r="AR60" i="3" s="1"/>
  <c r="AS60" i="3" s="1"/>
  <c r="AT60" i="3" s="1"/>
  <c r="AU60" i="3" s="1"/>
  <c r="AV60" i="3" s="1"/>
  <c r="AW60" i="3" s="1"/>
  <c r="AX60" i="3" s="1"/>
  <c r="AY60" i="3" s="1"/>
  <c r="AZ60" i="3" s="1"/>
  <c r="BA60" i="3" s="1"/>
  <c r="BB60" i="3" s="1"/>
  <c r="BC60" i="3" s="1"/>
  <c r="BD60" i="3" s="1"/>
  <c r="BE60" i="3" s="1"/>
  <c r="BF60" i="3" s="1"/>
  <c r="BG60" i="3" s="1"/>
  <c r="BH60" i="3" s="1"/>
  <c r="BI60" i="3" s="1"/>
  <c r="BJ60" i="3" s="1"/>
  <c r="BK60" i="3" s="1"/>
  <c r="BL60" i="3" s="1"/>
  <c r="BM60" i="3" s="1"/>
  <c r="BN60" i="3" s="1"/>
  <c r="BO60" i="3" s="1"/>
  <c r="BP60" i="3" s="1"/>
  <c r="BQ60" i="3" s="1"/>
  <c r="BR60" i="3" s="1"/>
  <c r="BS60" i="3" s="1"/>
  <c r="B61" i="3"/>
  <c r="C61" i="3" s="1"/>
  <c r="D61" i="3" s="1"/>
  <c r="E61" i="3" s="1"/>
  <c r="F61" i="3" s="1"/>
  <c r="G61" i="3" s="1"/>
  <c r="H61" i="3" s="1"/>
  <c r="I61" i="3" s="1"/>
  <c r="J61" i="3" s="1"/>
  <c r="K61" i="3" s="1"/>
  <c r="L61" i="3" s="1"/>
  <c r="M61" i="3" s="1"/>
  <c r="N61" i="3" s="1"/>
  <c r="O61" i="3" s="1"/>
  <c r="P61" i="3" s="1"/>
  <c r="Q61" i="3" s="1"/>
  <c r="R61" i="3" s="1"/>
  <c r="S61" i="3" s="1"/>
  <c r="T61" i="3" s="1"/>
  <c r="U61" i="3" s="1"/>
  <c r="V61" i="3" s="1"/>
  <c r="W61" i="3" s="1"/>
  <c r="X61" i="3" s="1"/>
  <c r="Y61" i="3" s="1"/>
  <c r="Z61" i="3" s="1"/>
  <c r="AA61" i="3" s="1"/>
  <c r="AB61" i="3" s="1"/>
  <c r="AC61" i="3" s="1"/>
  <c r="AD61" i="3" s="1"/>
  <c r="AE61" i="3" s="1"/>
  <c r="AF61" i="3" s="1"/>
  <c r="AG61" i="3" s="1"/>
  <c r="AH61" i="3" s="1"/>
  <c r="AI61" i="3" s="1"/>
  <c r="AJ61" i="3" s="1"/>
  <c r="AK61" i="3" s="1"/>
  <c r="AL61" i="3" s="1"/>
  <c r="AM61" i="3" s="1"/>
  <c r="AN61" i="3" s="1"/>
  <c r="AO61" i="3" s="1"/>
  <c r="AP61" i="3" s="1"/>
  <c r="AQ61" i="3" s="1"/>
  <c r="AR61" i="3" s="1"/>
  <c r="AS61" i="3" s="1"/>
  <c r="AT61" i="3" s="1"/>
  <c r="AU61" i="3" s="1"/>
  <c r="AV61" i="3" s="1"/>
  <c r="AW61" i="3" s="1"/>
  <c r="AX61" i="3" s="1"/>
  <c r="AY61" i="3" s="1"/>
  <c r="AZ61" i="3" s="1"/>
  <c r="BA61" i="3" s="1"/>
  <c r="BB61" i="3" s="1"/>
  <c r="BC61" i="3" s="1"/>
  <c r="BD61" i="3" s="1"/>
  <c r="BE61" i="3" s="1"/>
  <c r="BF61" i="3" s="1"/>
  <c r="BG61" i="3" s="1"/>
  <c r="BH61" i="3" s="1"/>
  <c r="BI61" i="3" s="1"/>
  <c r="BJ61" i="3" s="1"/>
  <c r="BK61" i="3" s="1"/>
  <c r="BL61" i="3" s="1"/>
  <c r="BM61" i="3" s="1"/>
  <c r="BN61" i="3" s="1"/>
  <c r="BO61" i="3" s="1"/>
  <c r="BP61" i="3" s="1"/>
  <c r="BQ61" i="3" s="1"/>
  <c r="BR61" i="3" s="1"/>
  <c r="BS61" i="3" s="1"/>
  <c r="B66" i="3"/>
  <c r="C66" i="3" s="1"/>
  <c r="D66" i="3" s="1"/>
  <c r="E66" i="3" s="1"/>
  <c r="F66" i="3" s="1"/>
  <c r="G66" i="3" s="1"/>
  <c r="H66" i="3" s="1"/>
  <c r="I66" i="3" s="1"/>
  <c r="J66" i="3" s="1"/>
  <c r="K66" i="3" s="1"/>
  <c r="L66" i="3" s="1"/>
  <c r="M66" i="3" s="1"/>
  <c r="N66" i="3" s="1"/>
  <c r="O66" i="3" s="1"/>
  <c r="P66" i="3" s="1"/>
  <c r="Q66" i="3" s="1"/>
  <c r="R66" i="3" s="1"/>
  <c r="S66" i="3" s="1"/>
  <c r="T66" i="3" s="1"/>
  <c r="U66" i="3" s="1"/>
  <c r="V66" i="3" s="1"/>
  <c r="W66" i="3" s="1"/>
  <c r="X66" i="3" s="1"/>
  <c r="Y66" i="3" s="1"/>
  <c r="Z66" i="3" s="1"/>
  <c r="AA66" i="3" s="1"/>
  <c r="AB66" i="3" s="1"/>
  <c r="AC66" i="3" s="1"/>
  <c r="AD66" i="3" s="1"/>
  <c r="AE66" i="3" s="1"/>
  <c r="AF66" i="3" s="1"/>
  <c r="AG66" i="3" s="1"/>
  <c r="AH66" i="3" s="1"/>
  <c r="AI66" i="3" s="1"/>
  <c r="AJ66" i="3" s="1"/>
  <c r="AK66" i="3" s="1"/>
  <c r="AL66" i="3" s="1"/>
  <c r="AM66" i="3" s="1"/>
  <c r="AN66" i="3" s="1"/>
  <c r="AO66" i="3" s="1"/>
  <c r="AP66" i="3" s="1"/>
  <c r="AQ66" i="3" s="1"/>
  <c r="AR66" i="3" s="1"/>
  <c r="AS66" i="3" s="1"/>
  <c r="AT66" i="3" s="1"/>
  <c r="AU66" i="3" s="1"/>
  <c r="AV66" i="3" s="1"/>
  <c r="AW66" i="3" s="1"/>
  <c r="AX66" i="3" s="1"/>
  <c r="AY66" i="3" s="1"/>
  <c r="AZ66" i="3" s="1"/>
  <c r="BA66" i="3" s="1"/>
  <c r="BB66" i="3" s="1"/>
  <c r="BC66" i="3" s="1"/>
  <c r="BD66" i="3" s="1"/>
  <c r="BE66" i="3" s="1"/>
  <c r="BF66" i="3" s="1"/>
  <c r="BG66" i="3" s="1"/>
  <c r="BH66" i="3" s="1"/>
  <c r="BI66" i="3" s="1"/>
  <c r="BJ66" i="3" s="1"/>
  <c r="BK66" i="3" s="1"/>
  <c r="BL66" i="3" s="1"/>
  <c r="BM66" i="3" s="1"/>
  <c r="BN66" i="3" s="1"/>
  <c r="BO66" i="3" s="1"/>
  <c r="BP66" i="3" s="1"/>
  <c r="BQ66" i="3" s="1"/>
  <c r="BR66" i="3" s="1"/>
  <c r="BS66" i="3" s="1"/>
  <c r="D13" i="2"/>
  <c r="D14" i="2"/>
  <c r="D16" i="3"/>
  <c r="C18" i="2"/>
  <c r="H18" i="2" s="1"/>
  <c r="B20" i="15" s="1"/>
  <c r="D14" i="3"/>
  <c r="C16" i="2"/>
  <c r="D8" i="3"/>
  <c r="C10" i="2"/>
  <c r="D10" i="2" s="1"/>
  <c r="D15" i="3"/>
  <c r="C17" i="2"/>
  <c r="D17" i="2" s="1"/>
  <c r="C15" i="2"/>
  <c r="H15" i="2" s="1"/>
  <c r="B17" i="15" s="1"/>
  <c r="D13" i="3"/>
  <c r="D9" i="2"/>
  <c r="H8" i="2"/>
  <c r="B10" i="15" s="1"/>
  <c r="D8" i="2"/>
  <c r="D7" i="2"/>
  <c r="H7" i="2"/>
  <c r="B9" i="15" s="1"/>
  <c r="O51" i="10" l="1"/>
  <c r="X84" i="10"/>
  <c r="O84" i="10"/>
  <c r="X51" i="10"/>
  <c r="R84" i="10"/>
  <c r="U84" i="10"/>
  <c r="U51" i="10"/>
  <c r="U66" i="10"/>
  <c r="H84" i="10"/>
  <c r="V84" i="10"/>
  <c r="V66" i="10"/>
  <c r="V51" i="10"/>
  <c r="L49" i="10"/>
  <c r="L64" i="10"/>
  <c r="L82" i="10"/>
  <c r="T84" i="10"/>
  <c r="T66" i="10"/>
  <c r="T51" i="10"/>
  <c r="S66" i="10"/>
  <c r="S84" i="10"/>
  <c r="M65" i="10"/>
  <c r="M50" i="10"/>
  <c r="M83" i="10"/>
  <c r="N51" i="10"/>
  <c r="M79" i="10"/>
  <c r="AA79" i="10" s="1"/>
  <c r="M61" i="10"/>
  <c r="AA61" i="10" s="1"/>
  <c r="M46" i="10"/>
  <c r="AA46" i="10" s="1"/>
  <c r="P66" i="10"/>
  <c r="P84" i="10"/>
  <c r="P51" i="10"/>
  <c r="W66" i="10"/>
  <c r="W51" i="10"/>
  <c r="Z66" i="10"/>
  <c r="Z51" i="10"/>
  <c r="Y51" i="10"/>
  <c r="Y66" i="10"/>
  <c r="Y84" i="10"/>
  <c r="H80" i="10"/>
  <c r="H62" i="10"/>
  <c r="H47" i="10"/>
  <c r="G48" i="10"/>
  <c r="G63" i="10"/>
  <c r="G81" i="10"/>
  <c r="E84" i="10"/>
  <c r="E66" i="10"/>
  <c r="E51" i="10"/>
  <c r="G82" i="10"/>
  <c r="G49" i="10"/>
  <c r="G64" i="10"/>
  <c r="F65" i="10"/>
  <c r="F50" i="10"/>
  <c r="F83" i="10"/>
  <c r="D23" i="2"/>
  <c r="B82" i="3"/>
  <c r="C82" i="3" s="1"/>
  <c r="D82" i="3" s="1"/>
  <c r="E82" i="3" s="1"/>
  <c r="F82" i="3" s="1"/>
  <c r="G82" i="3" s="1"/>
  <c r="H82" i="3" s="1"/>
  <c r="I82" i="3" s="1"/>
  <c r="J82" i="3" s="1"/>
  <c r="K82" i="3" s="1"/>
  <c r="L82" i="3" s="1"/>
  <c r="M82" i="3" s="1"/>
  <c r="N82" i="3" s="1"/>
  <c r="O82" i="3" s="1"/>
  <c r="P82" i="3" s="1"/>
  <c r="Q82" i="3" s="1"/>
  <c r="R82" i="3" s="1"/>
  <c r="S82" i="3" s="1"/>
  <c r="T82" i="3" s="1"/>
  <c r="U82" i="3" s="1"/>
  <c r="V82" i="3" s="1"/>
  <c r="W82" i="3" s="1"/>
  <c r="X82" i="3" s="1"/>
  <c r="Y82" i="3" s="1"/>
  <c r="Z82" i="3" s="1"/>
  <c r="AA82" i="3" s="1"/>
  <c r="AB82" i="3" s="1"/>
  <c r="AC82" i="3" s="1"/>
  <c r="AD82" i="3" s="1"/>
  <c r="AE82" i="3" s="1"/>
  <c r="AF82" i="3" s="1"/>
  <c r="AG82" i="3" s="1"/>
  <c r="AH82" i="3" s="1"/>
  <c r="AI82" i="3" s="1"/>
  <c r="AJ82" i="3" s="1"/>
  <c r="AK82" i="3" s="1"/>
  <c r="AL82" i="3" s="1"/>
  <c r="AM82" i="3" s="1"/>
  <c r="AN82" i="3" s="1"/>
  <c r="AO82" i="3" s="1"/>
  <c r="AP82" i="3" s="1"/>
  <c r="AQ82" i="3" s="1"/>
  <c r="AR82" i="3" s="1"/>
  <c r="AS82" i="3" s="1"/>
  <c r="AT82" i="3" s="1"/>
  <c r="AU82" i="3" s="1"/>
  <c r="AV82" i="3" s="1"/>
  <c r="AW82" i="3" s="1"/>
  <c r="AX82" i="3" s="1"/>
  <c r="AY82" i="3" s="1"/>
  <c r="AZ82" i="3" s="1"/>
  <c r="BA82" i="3" s="1"/>
  <c r="BB82" i="3" s="1"/>
  <c r="BC82" i="3" s="1"/>
  <c r="BD82" i="3" s="1"/>
  <c r="BE82" i="3" s="1"/>
  <c r="BF82" i="3" s="1"/>
  <c r="BG82" i="3" s="1"/>
  <c r="BH82" i="3" s="1"/>
  <c r="BI82" i="3" s="1"/>
  <c r="BJ82" i="3" s="1"/>
  <c r="BK82" i="3" s="1"/>
  <c r="BL82" i="3" s="1"/>
  <c r="BM82" i="3" s="1"/>
  <c r="BN82" i="3" s="1"/>
  <c r="BO82" i="3" s="1"/>
  <c r="BP82" i="3" s="1"/>
  <c r="BQ82" i="3" s="1"/>
  <c r="BR82" i="3" s="1"/>
  <c r="BS82" i="3" s="1"/>
  <c r="K25" i="3"/>
  <c r="H28" i="2"/>
  <c r="B30" i="15" s="1"/>
  <c r="D34" i="2"/>
  <c r="K9" i="3"/>
  <c r="H26" i="2"/>
  <c r="B28" i="15" s="1"/>
  <c r="N4" i="3"/>
  <c r="O4" i="3" s="1"/>
  <c r="H8" i="15" s="1"/>
  <c r="N8" i="15" s="1"/>
  <c r="C34" i="15"/>
  <c r="L30" i="3"/>
  <c r="D34" i="15" s="1"/>
  <c r="C33" i="15"/>
  <c r="L29" i="3"/>
  <c r="D33" i="15" s="1"/>
  <c r="C32" i="15"/>
  <c r="L28" i="3"/>
  <c r="D32" i="15" s="1"/>
  <c r="C27" i="15"/>
  <c r="L23" i="3"/>
  <c r="D27" i="15" s="1"/>
  <c r="C36" i="2"/>
  <c r="C37" i="15"/>
  <c r="L33" i="3"/>
  <c r="G37" i="15" s="1"/>
  <c r="C29" i="15"/>
  <c r="L25" i="3"/>
  <c r="D29" i="15" s="1"/>
  <c r="C31" i="15"/>
  <c r="L27" i="3"/>
  <c r="D31" i="15" s="1"/>
  <c r="C26" i="15"/>
  <c r="L22" i="3"/>
  <c r="D26" i="15" s="1"/>
  <c r="C14" i="15"/>
  <c r="L10" i="3"/>
  <c r="C10" i="15"/>
  <c r="L6" i="3"/>
  <c r="G10" i="15" s="1"/>
  <c r="C9" i="15"/>
  <c r="L5" i="3"/>
  <c r="G9" i="15" s="1"/>
  <c r="C15" i="15"/>
  <c r="L11" i="3"/>
  <c r="G15" i="15" s="1"/>
  <c r="C13" i="15"/>
  <c r="L9" i="3"/>
  <c r="G13" i="15" s="1"/>
  <c r="C16" i="15"/>
  <c r="L12" i="3"/>
  <c r="C11" i="15"/>
  <c r="L7" i="3"/>
  <c r="G11" i="15" s="1"/>
  <c r="D33" i="2"/>
  <c r="H33" i="2"/>
  <c r="B35" i="15" s="1"/>
  <c r="H17" i="2"/>
  <c r="B19" i="15" s="1"/>
  <c r="H10" i="2"/>
  <c r="B12" i="15" s="1"/>
  <c r="N28" i="3"/>
  <c r="N27" i="3"/>
  <c r="K26" i="3"/>
  <c r="B80" i="3"/>
  <c r="C80" i="3" s="1"/>
  <c r="D80" i="3" s="1"/>
  <c r="E80" i="3" s="1"/>
  <c r="F80" i="3" s="1"/>
  <c r="G80" i="3" s="1"/>
  <c r="H80" i="3" s="1"/>
  <c r="I80" i="3" s="1"/>
  <c r="J80" i="3" s="1"/>
  <c r="K80" i="3" s="1"/>
  <c r="L80" i="3" s="1"/>
  <c r="M80" i="3" s="1"/>
  <c r="N80" i="3" s="1"/>
  <c r="O80" i="3" s="1"/>
  <c r="P80" i="3" s="1"/>
  <c r="Q80" i="3" s="1"/>
  <c r="R80" i="3" s="1"/>
  <c r="S80" i="3" s="1"/>
  <c r="T80" i="3" s="1"/>
  <c r="U80" i="3" s="1"/>
  <c r="V80" i="3" s="1"/>
  <c r="W80" i="3" s="1"/>
  <c r="X80" i="3" s="1"/>
  <c r="Y80" i="3" s="1"/>
  <c r="Z80" i="3" s="1"/>
  <c r="AA80" i="3" s="1"/>
  <c r="AB80" i="3" s="1"/>
  <c r="AC80" i="3" s="1"/>
  <c r="AD80" i="3" s="1"/>
  <c r="AE80" i="3" s="1"/>
  <c r="AF80" i="3" s="1"/>
  <c r="AG80" i="3" s="1"/>
  <c r="AH80" i="3" s="1"/>
  <c r="AI80" i="3" s="1"/>
  <c r="AJ80" i="3" s="1"/>
  <c r="AK80" i="3" s="1"/>
  <c r="AL80" i="3" s="1"/>
  <c r="AM80" i="3" s="1"/>
  <c r="AN80" i="3" s="1"/>
  <c r="AO80" i="3" s="1"/>
  <c r="AP80" i="3" s="1"/>
  <c r="AQ80" i="3" s="1"/>
  <c r="AR80" i="3" s="1"/>
  <c r="AS80" i="3" s="1"/>
  <c r="AT80" i="3" s="1"/>
  <c r="AU80" i="3" s="1"/>
  <c r="AV80" i="3" s="1"/>
  <c r="AW80" i="3" s="1"/>
  <c r="AX80" i="3" s="1"/>
  <c r="AY80" i="3" s="1"/>
  <c r="AZ80" i="3" s="1"/>
  <c r="BA80" i="3" s="1"/>
  <c r="BB80" i="3" s="1"/>
  <c r="BC80" i="3" s="1"/>
  <c r="BD80" i="3" s="1"/>
  <c r="BE80" i="3" s="1"/>
  <c r="BF80" i="3" s="1"/>
  <c r="BG80" i="3" s="1"/>
  <c r="BH80" i="3" s="1"/>
  <c r="BI80" i="3" s="1"/>
  <c r="BJ80" i="3" s="1"/>
  <c r="BK80" i="3" s="1"/>
  <c r="BL80" i="3" s="1"/>
  <c r="BM80" i="3" s="1"/>
  <c r="BN80" i="3" s="1"/>
  <c r="BO80" i="3" s="1"/>
  <c r="BP80" i="3" s="1"/>
  <c r="BQ80" i="3" s="1"/>
  <c r="BR80" i="3" s="1"/>
  <c r="BS80" i="3" s="1"/>
  <c r="N29" i="3"/>
  <c r="D34" i="3"/>
  <c r="B88" i="3" s="1"/>
  <c r="C88" i="3" s="1"/>
  <c r="D88" i="3" s="1"/>
  <c r="E88" i="3" s="1"/>
  <c r="F88" i="3" s="1"/>
  <c r="G88" i="3" s="1"/>
  <c r="H88" i="3" s="1"/>
  <c r="I88" i="3" s="1"/>
  <c r="J88" i="3" s="1"/>
  <c r="K88" i="3" s="1"/>
  <c r="L88" i="3" s="1"/>
  <c r="M88" i="3" s="1"/>
  <c r="N88" i="3" s="1"/>
  <c r="O88" i="3" s="1"/>
  <c r="P88" i="3" s="1"/>
  <c r="Q88" i="3" s="1"/>
  <c r="R88" i="3" s="1"/>
  <c r="S88" i="3" s="1"/>
  <c r="T88" i="3" s="1"/>
  <c r="U88" i="3" s="1"/>
  <c r="V88" i="3" s="1"/>
  <c r="W88" i="3" s="1"/>
  <c r="X88" i="3" s="1"/>
  <c r="Y88" i="3" s="1"/>
  <c r="Z88" i="3" s="1"/>
  <c r="AA88" i="3" s="1"/>
  <c r="AB88" i="3" s="1"/>
  <c r="AC88" i="3" s="1"/>
  <c r="AD88" i="3" s="1"/>
  <c r="AE88" i="3" s="1"/>
  <c r="AF88" i="3" s="1"/>
  <c r="AG88" i="3" s="1"/>
  <c r="AH88" i="3" s="1"/>
  <c r="AI88" i="3" s="1"/>
  <c r="AJ88" i="3" s="1"/>
  <c r="AK88" i="3" s="1"/>
  <c r="AL88" i="3" s="1"/>
  <c r="AM88" i="3" s="1"/>
  <c r="AN88" i="3" s="1"/>
  <c r="AO88" i="3" s="1"/>
  <c r="AP88" i="3" s="1"/>
  <c r="AQ88" i="3" s="1"/>
  <c r="AR88" i="3" s="1"/>
  <c r="AS88" i="3" s="1"/>
  <c r="AT88" i="3" s="1"/>
  <c r="AU88" i="3" s="1"/>
  <c r="AV88" i="3" s="1"/>
  <c r="AW88" i="3" s="1"/>
  <c r="AX88" i="3" s="1"/>
  <c r="AY88" i="3" s="1"/>
  <c r="AZ88" i="3" s="1"/>
  <c r="BA88" i="3" s="1"/>
  <c r="BB88" i="3" s="1"/>
  <c r="BC88" i="3" s="1"/>
  <c r="BD88" i="3" s="1"/>
  <c r="BE88" i="3" s="1"/>
  <c r="BF88" i="3" s="1"/>
  <c r="BG88" i="3" s="1"/>
  <c r="BH88" i="3" s="1"/>
  <c r="BI88" i="3" s="1"/>
  <c r="BJ88" i="3" s="1"/>
  <c r="BK88" i="3" s="1"/>
  <c r="BL88" i="3" s="1"/>
  <c r="BM88" i="3" s="1"/>
  <c r="BN88" i="3" s="1"/>
  <c r="BO88" i="3" s="1"/>
  <c r="BP88" i="3" s="1"/>
  <c r="BQ88" i="3" s="1"/>
  <c r="BR88" i="3" s="1"/>
  <c r="BS88" i="3" s="1"/>
  <c r="K20" i="3"/>
  <c r="B74" i="3"/>
  <c r="C74" i="3" s="1"/>
  <c r="D74" i="3" s="1"/>
  <c r="E74" i="3" s="1"/>
  <c r="F74" i="3" s="1"/>
  <c r="G74" i="3" s="1"/>
  <c r="H74" i="3" s="1"/>
  <c r="I74" i="3" s="1"/>
  <c r="J74" i="3" s="1"/>
  <c r="K74" i="3" s="1"/>
  <c r="L74" i="3" s="1"/>
  <c r="M74" i="3" s="1"/>
  <c r="N74" i="3" s="1"/>
  <c r="O74" i="3" s="1"/>
  <c r="P74" i="3" s="1"/>
  <c r="Q74" i="3" s="1"/>
  <c r="R74" i="3" s="1"/>
  <c r="S74" i="3" s="1"/>
  <c r="T74" i="3" s="1"/>
  <c r="U74" i="3" s="1"/>
  <c r="V74" i="3" s="1"/>
  <c r="W74" i="3" s="1"/>
  <c r="X74" i="3" s="1"/>
  <c r="Y74" i="3" s="1"/>
  <c r="Z74" i="3" s="1"/>
  <c r="AA74" i="3" s="1"/>
  <c r="AB74" i="3" s="1"/>
  <c r="AC74" i="3" s="1"/>
  <c r="AD74" i="3" s="1"/>
  <c r="AE74" i="3" s="1"/>
  <c r="AF74" i="3" s="1"/>
  <c r="AG74" i="3" s="1"/>
  <c r="AH74" i="3" s="1"/>
  <c r="AI74" i="3" s="1"/>
  <c r="AJ74" i="3" s="1"/>
  <c r="AK74" i="3" s="1"/>
  <c r="AL74" i="3" s="1"/>
  <c r="AM74" i="3" s="1"/>
  <c r="AN74" i="3" s="1"/>
  <c r="AO74" i="3" s="1"/>
  <c r="AP74" i="3" s="1"/>
  <c r="AQ74" i="3" s="1"/>
  <c r="AR74" i="3" s="1"/>
  <c r="AS74" i="3" s="1"/>
  <c r="AT74" i="3" s="1"/>
  <c r="AU74" i="3" s="1"/>
  <c r="AV74" i="3" s="1"/>
  <c r="AW74" i="3" s="1"/>
  <c r="AX74" i="3" s="1"/>
  <c r="AY74" i="3" s="1"/>
  <c r="AZ74" i="3" s="1"/>
  <c r="BA74" i="3" s="1"/>
  <c r="BB74" i="3" s="1"/>
  <c r="BC74" i="3" s="1"/>
  <c r="BD74" i="3" s="1"/>
  <c r="BE74" i="3" s="1"/>
  <c r="BF74" i="3" s="1"/>
  <c r="BG74" i="3" s="1"/>
  <c r="BH74" i="3" s="1"/>
  <c r="BI74" i="3" s="1"/>
  <c r="BJ74" i="3" s="1"/>
  <c r="BK74" i="3" s="1"/>
  <c r="BL74" i="3" s="1"/>
  <c r="BM74" i="3" s="1"/>
  <c r="BN74" i="3" s="1"/>
  <c r="BO74" i="3" s="1"/>
  <c r="BP74" i="3" s="1"/>
  <c r="BQ74" i="3" s="1"/>
  <c r="BR74" i="3" s="1"/>
  <c r="BS74" i="3" s="1"/>
  <c r="K21" i="3"/>
  <c r="B75" i="3"/>
  <c r="C75" i="3" s="1"/>
  <c r="D75" i="3" s="1"/>
  <c r="E75" i="3" s="1"/>
  <c r="F75" i="3" s="1"/>
  <c r="G75" i="3" s="1"/>
  <c r="H75" i="3" s="1"/>
  <c r="I75" i="3" s="1"/>
  <c r="J75" i="3" s="1"/>
  <c r="K75" i="3" s="1"/>
  <c r="L75" i="3" s="1"/>
  <c r="M75" i="3" s="1"/>
  <c r="N75" i="3" s="1"/>
  <c r="O75" i="3" s="1"/>
  <c r="P75" i="3" s="1"/>
  <c r="Q75" i="3" s="1"/>
  <c r="R75" i="3" s="1"/>
  <c r="S75" i="3" s="1"/>
  <c r="T75" i="3" s="1"/>
  <c r="U75" i="3" s="1"/>
  <c r="V75" i="3" s="1"/>
  <c r="W75" i="3" s="1"/>
  <c r="X75" i="3" s="1"/>
  <c r="Y75" i="3" s="1"/>
  <c r="Z75" i="3" s="1"/>
  <c r="AA75" i="3" s="1"/>
  <c r="AB75" i="3" s="1"/>
  <c r="AC75" i="3" s="1"/>
  <c r="AD75" i="3" s="1"/>
  <c r="AE75" i="3" s="1"/>
  <c r="AF75" i="3" s="1"/>
  <c r="AG75" i="3" s="1"/>
  <c r="AH75" i="3" s="1"/>
  <c r="AI75" i="3" s="1"/>
  <c r="AJ75" i="3" s="1"/>
  <c r="AK75" i="3" s="1"/>
  <c r="AL75" i="3" s="1"/>
  <c r="AM75" i="3" s="1"/>
  <c r="AN75" i="3" s="1"/>
  <c r="AO75" i="3" s="1"/>
  <c r="AP75" i="3" s="1"/>
  <c r="AQ75" i="3" s="1"/>
  <c r="AR75" i="3" s="1"/>
  <c r="AS75" i="3" s="1"/>
  <c r="AT75" i="3" s="1"/>
  <c r="AU75" i="3" s="1"/>
  <c r="AV75" i="3" s="1"/>
  <c r="AW75" i="3" s="1"/>
  <c r="AX75" i="3" s="1"/>
  <c r="AY75" i="3" s="1"/>
  <c r="AZ75" i="3" s="1"/>
  <c r="BA75" i="3" s="1"/>
  <c r="BB75" i="3" s="1"/>
  <c r="BC75" i="3" s="1"/>
  <c r="BD75" i="3" s="1"/>
  <c r="BE75" i="3" s="1"/>
  <c r="BF75" i="3" s="1"/>
  <c r="BG75" i="3" s="1"/>
  <c r="BH75" i="3" s="1"/>
  <c r="BI75" i="3" s="1"/>
  <c r="BJ75" i="3" s="1"/>
  <c r="BK75" i="3" s="1"/>
  <c r="BL75" i="3" s="1"/>
  <c r="BM75" i="3" s="1"/>
  <c r="BN75" i="3" s="1"/>
  <c r="BO75" i="3" s="1"/>
  <c r="BP75" i="3" s="1"/>
  <c r="BQ75" i="3" s="1"/>
  <c r="BR75" i="3" s="1"/>
  <c r="BS75" i="3" s="1"/>
  <c r="H22" i="2"/>
  <c r="B24" i="15" s="1"/>
  <c r="D22" i="2"/>
  <c r="N25" i="3"/>
  <c r="K24" i="3"/>
  <c r="B78" i="3"/>
  <c r="C78" i="3" s="1"/>
  <c r="D78" i="3" s="1"/>
  <c r="E78" i="3" s="1"/>
  <c r="F78" i="3" s="1"/>
  <c r="G78" i="3" s="1"/>
  <c r="H78" i="3" s="1"/>
  <c r="I78" i="3" s="1"/>
  <c r="J78" i="3" s="1"/>
  <c r="K78" i="3" s="1"/>
  <c r="L78" i="3" s="1"/>
  <c r="M78" i="3" s="1"/>
  <c r="N78" i="3" s="1"/>
  <c r="O78" i="3" s="1"/>
  <c r="P78" i="3" s="1"/>
  <c r="Q78" i="3" s="1"/>
  <c r="R78" i="3" s="1"/>
  <c r="S78" i="3" s="1"/>
  <c r="T78" i="3" s="1"/>
  <c r="U78" i="3" s="1"/>
  <c r="V78" i="3" s="1"/>
  <c r="W78" i="3" s="1"/>
  <c r="X78" i="3" s="1"/>
  <c r="Y78" i="3" s="1"/>
  <c r="Z78" i="3" s="1"/>
  <c r="AA78" i="3" s="1"/>
  <c r="AB78" i="3" s="1"/>
  <c r="AC78" i="3" s="1"/>
  <c r="AD78" i="3" s="1"/>
  <c r="AE78" i="3" s="1"/>
  <c r="AF78" i="3" s="1"/>
  <c r="AG78" i="3" s="1"/>
  <c r="AH78" i="3" s="1"/>
  <c r="AI78" i="3" s="1"/>
  <c r="AJ78" i="3" s="1"/>
  <c r="AK78" i="3" s="1"/>
  <c r="AL78" i="3" s="1"/>
  <c r="AM78" i="3" s="1"/>
  <c r="AN78" i="3" s="1"/>
  <c r="AO78" i="3" s="1"/>
  <c r="AP78" i="3" s="1"/>
  <c r="AQ78" i="3" s="1"/>
  <c r="AR78" i="3" s="1"/>
  <c r="AS78" i="3" s="1"/>
  <c r="AT78" i="3" s="1"/>
  <c r="AU78" i="3" s="1"/>
  <c r="AV78" i="3" s="1"/>
  <c r="AW78" i="3" s="1"/>
  <c r="AX78" i="3" s="1"/>
  <c r="AY78" i="3" s="1"/>
  <c r="AZ78" i="3" s="1"/>
  <c r="BA78" i="3" s="1"/>
  <c r="BB78" i="3" s="1"/>
  <c r="BC78" i="3" s="1"/>
  <c r="BD78" i="3" s="1"/>
  <c r="BE78" i="3" s="1"/>
  <c r="BF78" i="3" s="1"/>
  <c r="BG78" i="3" s="1"/>
  <c r="BH78" i="3" s="1"/>
  <c r="BI78" i="3" s="1"/>
  <c r="BJ78" i="3" s="1"/>
  <c r="BK78" i="3" s="1"/>
  <c r="BL78" i="3" s="1"/>
  <c r="BM78" i="3" s="1"/>
  <c r="BN78" i="3" s="1"/>
  <c r="BO78" i="3" s="1"/>
  <c r="BP78" i="3" s="1"/>
  <c r="BQ78" i="3" s="1"/>
  <c r="BR78" i="3" s="1"/>
  <c r="BS78" i="3" s="1"/>
  <c r="K31" i="3"/>
  <c r="B85" i="3"/>
  <c r="C85" i="3" s="1"/>
  <c r="D85" i="3" s="1"/>
  <c r="E85" i="3" s="1"/>
  <c r="F85" i="3" s="1"/>
  <c r="G85" i="3" s="1"/>
  <c r="H85" i="3" s="1"/>
  <c r="I85" i="3" s="1"/>
  <c r="J85" i="3" s="1"/>
  <c r="K85" i="3" s="1"/>
  <c r="L85" i="3" s="1"/>
  <c r="M85" i="3" s="1"/>
  <c r="N85" i="3" s="1"/>
  <c r="O85" i="3" s="1"/>
  <c r="P85" i="3" s="1"/>
  <c r="Q85" i="3" s="1"/>
  <c r="R85" i="3" s="1"/>
  <c r="S85" i="3" s="1"/>
  <c r="T85" i="3" s="1"/>
  <c r="U85" i="3" s="1"/>
  <c r="V85" i="3" s="1"/>
  <c r="W85" i="3" s="1"/>
  <c r="X85" i="3" s="1"/>
  <c r="Y85" i="3" s="1"/>
  <c r="Z85" i="3" s="1"/>
  <c r="AA85" i="3" s="1"/>
  <c r="AB85" i="3" s="1"/>
  <c r="AC85" i="3" s="1"/>
  <c r="AD85" i="3" s="1"/>
  <c r="AE85" i="3" s="1"/>
  <c r="AF85" i="3" s="1"/>
  <c r="AG85" i="3" s="1"/>
  <c r="AH85" i="3" s="1"/>
  <c r="AI85" i="3" s="1"/>
  <c r="AJ85" i="3" s="1"/>
  <c r="AK85" i="3" s="1"/>
  <c r="AL85" i="3" s="1"/>
  <c r="AM85" i="3" s="1"/>
  <c r="AN85" i="3" s="1"/>
  <c r="AO85" i="3" s="1"/>
  <c r="AP85" i="3" s="1"/>
  <c r="AQ85" i="3" s="1"/>
  <c r="AR85" i="3" s="1"/>
  <c r="AS85" i="3" s="1"/>
  <c r="AT85" i="3" s="1"/>
  <c r="AU85" i="3" s="1"/>
  <c r="AV85" i="3" s="1"/>
  <c r="AW85" i="3" s="1"/>
  <c r="AX85" i="3" s="1"/>
  <c r="AY85" i="3" s="1"/>
  <c r="AZ85" i="3" s="1"/>
  <c r="BA85" i="3" s="1"/>
  <c r="BB85" i="3" s="1"/>
  <c r="BC85" i="3" s="1"/>
  <c r="BD85" i="3" s="1"/>
  <c r="BE85" i="3" s="1"/>
  <c r="BF85" i="3" s="1"/>
  <c r="BG85" i="3" s="1"/>
  <c r="BH85" i="3" s="1"/>
  <c r="BI85" i="3" s="1"/>
  <c r="BJ85" i="3" s="1"/>
  <c r="BK85" i="3" s="1"/>
  <c r="BL85" i="3" s="1"/>
  <c r="BM85" i="3" s="1"/>
  <c r="BN85" i="3" s="1"/>
  <c r="BO85" i="3" s="1"/>
  <c r="BP85" i="3" s="1"/>
  <c r="BQ85" i="3" s="1"/>
  <c r="BR85" i="3" s="1"/>
  <c r="BS85" i="3" s="1"/>
  <c r="K32" i="3"/>
  <c r="B86" i="3"/>
  <c r="C86" i="3" s="1"/>
  <c r="D86" i="3" s="1"/>
  <c r="E86" i="3" s="1"/>
  <c r="F86" i="3" s="1"/>
  <c r="G86" i="3" s="1"/>
  <c r="H86" i="3" s="1"/>
  <c r="I86" i="3" s="1"/>
  <c r="J86" i="3" s="1"/>
  <c r="K86" i="3" s="1"/>
  <c r="L86" i="3" s="1"/>
  <c r="M86" i="3" s="1"/>
  <c r="N86" i="3" s="1"/>
  <c r="O86" i="3" s="1"/>
  <c r="P86" i="3" s="1"/>
  <c r="Q86" i="3" s="1"/>
  <c r="R86" i="3" s="1"/>
  <c r="S86" i="3" s="1"/>
  <c r="T86" i="3" s="1"/>
  <c r="U86" i="3" s="1"/>
  <c r="V86" i="3" s="1"/>
  <c r="W86" i="3" s="1"/>
  <c r="X86" i="3" s="1"/>
  <c r="Y86" i="3" s="1"/>
  <c r="Z86" i="3" s="1"/>
  <c r="AA86" i="3" s="1"/>
  <c r="AB86" i="3" s="1"/>
  <c r="AC86" i="3" s="1"/>
  <c r="AD86" i="3" s="1"/>
  <c r="AE86" i="3" s="1"/>
  <c r="AF86" i="3" s="1"/>
  <c r="AG86" i="3" s="1"/>
  <c r="AH86" i="3" s="1"/>
  <c r="AI86" i="3" s="1"/>
  <c r="AJ86" i="3" s="1"/>
  <c r="AK86" i="3" s="1"/>
  <c r="AL86" i="3" s="1"/>
  <c r="AM86" i="3" s="1"/>
  <c r="AN86" i="3" s="1"/>
  <c r="AO86" i="3" s="1"/>
  <c r="AP86" i="3" s="1"/>
  <c r="AQ86" i="3" s="1"/>
  <c r="AR86" i="3" s="1"/>
  <c r="AS86" i="3" s="1"/>
  <c r="AT86" i="3" s="1"/>
  <c r="AU86" i="3" s="1"/>
  <c r="AV86" i="3" s="1"/>
  <c r="AW86" i="3" s="1"/>
  <c r="AX86" i="3" s="1"/>
  <c r="AY86" i="3" s="1"/>
  <c r="AZ86" i="3" s="1"/>
  <c r="BA86" i="3" s="1"/>
  <c r="BB86" i="3" s="1"/>
  <c r="BC86" i="3" s="1"/>
  <c r="BD86" i="3" s="1"/>
  <c r="BE86" i="3" s="1"/>
  <c r="BF86" i="3" s="1"/>
  <c r="BG86" i="3" s="1"/>
  <c r="BH86" i="3" s="1"/>
  <c r="BI86" i="3" s="1"/>
  <c r="BJ86" i="3" s="1"/>
  <c r="BK86" i="3" s="1"/>
  <c r="BL86" i="3" s="1"/>
  <c r="BM86" i="3" s="1"/>
  <c r="BN86" i="3" s="1"/>
  <c r="BO86" i="3" s="1"/>
  <c r="BP86" i="3" s="1"/>
  <c r="BQ86" i="3" s="1"/>
  <c r="BR86" i="3" s="1"/>
  <c r="BS86" i="3" s="1"/>
  <c r="K15" i="3"/>
  <c r="K8" i="3"/>
  <c r="K14" i="3"/>
  <c r="K13" i="3"/>
  <c r="K16" i="3"/>
  <c r="N5" i="3"/>
  <c r="N6" i="3"/>
  <c r="B68" i="3"/>
  <c r="C68" i="3" s="1"/>
  <c r="D68" i="3" s="1"/>
  <c r="E68" i="3" s="1"/>
  <c r="F68" i="3" s="1"/>
  <c r="G68" i="3" s="1"/>
  <c r="H68" i="3" s="1"/>
  <c r="I68" i="3" s="1"/>
  <c r="J68" i="3" s="1"/>
  <c r="K68" i="3" s="1"/>
  <c r="L68" i="3" s="1"/>
  <c r="M68" i="3" s="1"/>
  <c r="N68" i="3" s="1"/>
  <c r="O68" i="3" s="1"/>
  <c r="P68" i="3" s="1"/>
  <c r="Q68" i="3" s="1"/>
  <c r="R68" i="3" s="1"/>
  <c r="S68" i="3" s="1"/>
  <c r="T68" i="3" s="1"/>
  <c r="U68" i="3" s="1"/>
  <c r="V68" i="3" s="1"/>
  <c r="W68" i="3" s="1"/>
  <c r="X68" i="3" s="1"/>
  <c r="Y68" i="3" s="1"/>
  <c r="Z68" i="3" s="1"/>
  <c r="AA68" i="3" s="1"/>
  <c r="AB68" i="3" s="1"/>
  <c r="AC68" i="3" s="1"/>
  <c r="AD68" i="3" s="1"/>
  <c r="AE68" i="3" s="1"/>
  <c r="AF68" i="3" s="1"/>
  <c r="AG68" i="3" s="1"/>
  <c r="AH68" i="3" s="1"/>
  <c r="AI68" i="3" s="1"/>
  <c r="AJ68" i="3" s="1"/>
  <c r="AK68" i="3" s="1"/>
  <c r="AL68" i="3" s="1"/>
  <c r="AM68" i="3" s="1"/>
  <c r="AN68" i="3" s="1"/>
  <c r="AO68" i="3" s="1"/>
  <c r="AP68" i="3" s="1"/>
  <c r="AQ68" i="3" s="1"/>
  <c r="AR68" i="3" s="1"/>
  <c r="AS68" i="3" s="1"/>
  <c r="AT68" i="3" s="1"/>
  <c r="AU68" i="3" s="1"/>
  <c r="AV68" i="3" s="1"/>
  <c r="AW68" i="3" s="1"/>
  <c r="AX68" i="3" s="1"/>
  <c r="AY68" i="3" s="1"/>
  <c r="AZ68" i="3" s="1"/>
  <c r="BA68" i="3" s="1"/>
  <c r="BB68" i="3" s="1"/>
  <c r="BC68" i="3" s="1"/>
  <c r="BD68" i="3" s="1"/>
  <c r="BE68" i="3" s="1"/>
  <c r="BF68" i="3" s="1"/>
  <c r="BG68" i="3" s="1"/>
  <c r="BH68" i="3" s="1"/>
  <c r="BI68" i="3" s="1"/>
  <c r="BJ68" i="3" s="1"/>
  <c r="BK68" i="3" s="1"/>
  <c r="BL68" i="3" s="1"/>
  <c r="BM68" i="3" s="1"/>
  <c r="BN68" i="3" s="1"/>
  <c r="BO68" i="3" s="1"/>
  <c r="BP68" i="3" s="1"/>
  <c r="BQ68" i="3" s="1"/>
  <c r="BR68" i="3" s="1"/>
  <c r="BS68" i="3" s="1"/>
  <c r="B69" i="3"/>
  <c r="C69" i="3" s="1"/>
  <c r="D69" i="3" s="1"/>
  <c r="E69" i="3" s="1"/>
  <c r="F69" i="3" s="1"/>
  <c r="G69" i="3" s="1"/>
  <c r="H69" i="3" s="1"/>
  <c r="I69" i="3" s="1"/>
  <c r="J69" i="3" s="1"/>
  <c r="K69" i="3" s="1"/>
  <c r="L69" i="3" s="1"/>
  <c r="M69" i="3" s="1"/>
  <c r="N69" i="3" s="1"/>
  <c r="O69" i="3" s="1"/>
  <c r="P69" i="3" s="1"/>
  <c r="Q69" i="3" s="1"/>
  <c r="R69" i="3" s="1"/>
  <c r="S69" i="3" s="1"/>
  <c r="T69" i="3" s="1"/>
  <c r="U69" i="3" s="1"/>
  <c r="V69" i="3" s="1"/>
  <c r="W69" i="3" s="1"/>
  <c r="X69" i="3" s="1"/>
  <c r="Y69" i="3" s="1"/>
  <c r="Z69" i="3" s="1"/>
  <c r="AA69" i="3" s="1"/>
  <c r="AB69" i="3" s="1"/>
  <c r="AC69" i="3" s="1"/>
  <c r="AD69" i="3" s="1"/>
  <c r="AE69" i="3" s="1"/>
  <c r="AF69" i="3" s="1"/>
  <c r="AG69" i="3" s="1"/>
  <c r="AH69" i="3" s="1"/>
  <c r="AI69" i="3" s="1"/>
  <c r="AJ69" i="3" s="1"/>
  <c r="AK69" i="3" s="1"/>
  <c r="AL69" i="3" s="1"/>
  <c r="AM69" i="3" s="1"/>
  <c r="AN69" i="3" s="1"/>
  <c r="AO69" i="3" s="1"/>
  <c r="AP69" i="3" s="1"/>
  <c r="AQ69" i="3" s="1"/>
  <c r="AR69" i="3" s="1"/>
  <c r="AS69" i="3" s="1"/>
  <c r="AT69" i="3" s="1"/>
  <c r="AU69" i="3" s="1"/>
  <c r="AV69" i="3" s="1"/>
  <c r="AW69" i="3" s="1"/>
  <c r="AX69" i="3" s="1"/>
  <c r="AY69" i="3" s="1"/>
  <c r="AZ69" i="3" s="1"/>
  <c r="BA69" i="3" s="1"/>
  <c r="BB69" i="3" s="1"/>
  <c r="BC69" i="3" s="1"/>
  <c r="BD69" i="3" s="1"/>
  <c r="BE69" i="3" s="1"/>
  <c r="BF69" i="3" s="1"/>
  <c r="BG69" i="3" s="1"/>
  <c r="BH69" i="3" s="1"/>
  <c r="BI69" i="3" s="1"/>
  <c r="BJ69" i="3" s="1"/>
  <c r="BK69" i="3" s="1"/>
  <c r="BL69" i="3" s="1"/>
  <c r="BM69" i="3" s="1"/>
  <c r="BN69" i="3" s="1"/>
  <c r="BO69" i="3" s="1"/>
  <c r="BP69" i="3" s="1"/>
  <c r="BQ69" i="3" s="1"/>
  <c r="BR69" i="3" s="1"/>
  <c r="BS69" i="3" s="1"/>
  <c r="B62" i="3"/>
  <c r="C62" i="3" s="1"/>
  <c r="D62" i="3" s="1"/>
  <c r="E62" i="3" s="1"/>
  <c r="F62" i="3" s="1"/>
  <c r="G62" i="3" s="1"/>
  <c r="H62" i="3" s="1"/>
  <c r="I62" i="3" s="1"/>
  <c r="J62" i="3" s="1"/>
  <c r="K62" i="3" s="1"/>
  <c r="L62" i="3" s="1"/>
  <c r="M62" i="3" s="1"/>
  <c r="N62" i="3" s="1"/>
  <c r="O62" i="3" s="1"/>
  <c r="P62" i="3" s="1"/>
  <c r="Q62" i="3" s="1"/>
  <c r="R62" i="3" s="1"/>
  <c r="S62" i="3" s="1"/>
  <c r="T62" i="3" s="1"/>
  <c r="U62" i="3" s="1"/>
  <c r="V62" i="3" s="1"/>
  <c r="W62" i="3" s="1"/>
  <c r="X62" i="3" s="1"/>
  <c r="Y62" i="3" s="1"/>
  <c r="Z62" i="3" s="1"/>
  <c r="AA62" i="3" s="1"/>
  <c r="AB62" i="3" s="1"/>
  <c r="AC62" i="3" s="1"/>
  <c r="AD62" i="3" s="1"/>
  <c r="AE62" i="3" s="1"/>
  <c r="AF62" i="3" s="1"/>
  <c r="AG62" i="3" s="1"/>
  <c r="AH62" i="3" s="1"/>
  <c r="AI62" i="3" s="1"/>
  <c r="AJ62" i="3" s="1"/>
  <c r="AK62" i="3" s="1"/>
  <c r="AL62" i="3" s="1"/>
  <c r="AM62" i="3" s="1"/>
  <c r="AN62" i="3" s="1"/>
  <c r="AO62" i="3" s="1"/>
  <c r="AP62" i="3" s="1"/>
  <c r="AQ62" i="3" s="1"/>
  <c r="AR62" i="3" s="1"/>
  <c r="AS62" i="3" s="1"/>
  <c r="AT62" i="3" s="1"/>
  <c r="AU62" i="3" s="1"/>
  <c r="AV62" i="3" s="1"/>
  <c r="AW62" i="3" s="1"/>
  <c r="AX62" i="3" s="1"/>
  <c r="AY62" i="3" s="1"/>
  <c r="AZ62" i="3" s="1"/>
  <c r="BA62" i="3" s="1"/>
  <c r="BB62" i="3" s="1"/>
  <c r="BC62" i="3" s="1"/>
  <c r="BD62" i="3" s="1"/>
  <c r="BE62" i="3" s="1"/>
  <c r="BF62" i="3" s="1"/>
  <c r="BG62" i="3" s="1"/>
  <c r="BH62" i="3" s="1"/>
  <c r="BI62" i="3" s="1"/>
  <c r="BJ62" i="3" s="1"/>
  <c r="BK62" i="3" s="1"/>
  <c r="BL62" i="3" s="1"/>
  <c r="BM62" i="3" s="1"/>
  <c r="BN62" i="3" s="1"/>
  <c r="BO62" i="3" s="1"/>
  <c r="BP62" i="3" s="1"/>
  <c r="BQ62" i="3" s="1"/>
  <c r="BR62" i="3" s="1"/>
  <c r="BS62" i="3" s="1"/>
  <c r="B70" i="3"/>
  <c r="C70" i="3" s="1"/>
  <c r="D70" i="3" s="1"/>
  <c r="E70" i="3" s="1"/>
  <c r="F70" i="3" s="1"/>
  <c r="G70" i="3" s="1"/>
  <c r="H70" i="3" s="1"/>
  <c r="I70" i="3" s="1"/>
  <c r="J70" i="3" s="1"/>
  <c r="K70" i="3" s="1"/>
  <c r="L70" i="3" s="1"/>
  <c r="M70" i="3" s="1"/>
  <c r="N70" i="3" s="1"/>
  <c r="O70" i="3" s="1"/>
  <c r="P70" i="3" s="1"/>
  <c r="Q70" i="3" s="1"/>
  <c r="R70" i="3" s="1"/>
  <c r="S70" i="3" s="1"/>
  <c r="T70" i="3" s="1"/>
  <c r="U70" i="3" s="1"/>
  <c r="V70" i="3" s="1"/>
  <c r="W70" i="3" s="1"/>
  <c r="X70" i="3" s="1"/>
  <c r="Y70" i="3" s="1"/>
  <c r="Z70" i="3" s="1"/>
  <c r="AA70" i="3" s="1"/>
  <c r="AB70" i="3" s="1"/>
  <c r="AC70" i="3" s="1"/>
  <c r="AD70" i="3" s="1"/>
  <c r="AE70" i="3" s="1"/>
  <c r="AF70" i="3" s="1"/>
  <c r="AG70" i="3" s="1"/>
  <c r="AH70" i="3" s="1"/>
  <c r="AI70" i="3" s="1"/>
  <c r="AJ70" i="3" s="1"/>
  <c r="AK70" i="3" s="1"/>
  <c r="AL70" i="3" s="1"/>
  <c r="AM70" i="3" s="1"/>
  <c r="AN70" i="3" s="1"/>
  <c r="AO70" i="3" s="1"/>
  <c r="AP70" i="3" s="1"/>
  <c r="AQ70" i="3" s="1"/>
  <c r="AR70" i="3" s="1"/>
  <c r="AS70" i="3" s="1"/>
  <c r="AT70" i="3" s="1"/>
  <c r="AU70" i="3" s="1"/>
  <c r="AV70" i="3" s="1"/>
  <c r="AW70" i="3" s="1"/>
  <c r="AX70" i="3" s="1"/>
  <c r="AY70" i="3" s="1"/>
  <c r="AZ70" i="3" s="1"/>
  <c r="BA70" i="3" s="1"/>
  <c r="BB70" i="3" s="1"/>
  <c r="BC70" i="3" s="1"/>
  <c r="BD70" i="3" s="1"/>
  <c r="BE70" i="3" s="1"/>
  <c r="BF70" i="3" s="1"/>
  <c r="BG70" i="3" s="1"/>
  <c r="BH70" i="3" s="1"/>
  <c r="BI70" i="3" s="1"/>
  <c r="BJ70" i="3" s="1"/>
  <c r="BK70" i="3" s="1"/>
  <c r="BL70" i="3" s="1"/>
  <c r="BM70" i="3" s="1"/>
  <c r="BN70" i="3" s="1"/>
  <c r="BO70" i="3" s="1"/>
  <c r="BP70" i="3" s="1"/>
  <c r="BQ70" i="3" s="1"/>
  <c r="BR70" i="3" s="1"/>
  <c r="BS70" i="3" s="1"/>
  <c r="N9" i="3"/>
  <c r="B67" i="3"/>
  <c r="C67" i="3" s="1"/>
  <c r="D67" i="3" s="1"/>
  <c r="E67" i="3" s="1"/>
  <c r="F67" i="3" s="1"/>
  <c r="G67" i="3" s="1"/>
  <c r="H67" i="3" s="1"/>
  <c r="I67" i="3" s="1"/>
  <c r="J67" i="3" s="1"/>
  <c r="K67" i="3" s="1"/>
  <c r="L67" i="3" s="1"/>
  <c r="M67" i="3" s="1"/>
  <c r="N67" i="3" s="1"/>
  <c r="O67" i="3" s="1"/>
  <c r="P67" i="3" s="1"/>
  <c r="Q67" i="3" s="1"/>
  <c r="R67" i="3" s="1"/>
  <c r="S67" i="3" s="1"/>
  <c r="T67" i="3" s="1"/>
  <c r="U67" i="3" s="1"/>
  <c r="V67" i="3" s="1"/>
  <c r="W67" i="3" s="1"/>
  <c r="X67" i="3" s="1"/>
  <c r="Y67" i="3" s="1"/>
  <c r="Z67" i="3" s="1"/>
  <c r="AA67" i="3" s="1"/>
  <c r="AB67" i="3" s="1"/>
  <c r="AC67" i="3" s="1"/>
  <c r="AD67" i="3" s="1"/>
  <c r="AE67" i="3" s="1"/>
  <c r="AF67" i="3" s="1"/>
  <c r="AG67" i="3" s="1"/>
  <c r="AH67" i="3" s="1"/>
  <c r="AI67" i="3" s="1"/>
  <c r="AJ67" i="3" s="1"/>
  <c r="AK67" i="3" s="1"/>
  <c r="AL67" i="3" s="1"/>
  <c r="AM67" i="3" s="1"/>
  <c r="AN67" i="3" s="1"/>
  <c r="AO67" i="3" s="1"/>
  <c r="AP67" i="3" s="1"/>
  <c r="AQ67" i="3" s="1"/>
  <c r="AR67" i="3" s="1"/>
  <c r="AS67" i="3" s="1"/>
  <c r="AT67" i="3" s="1"/>
  <c r="AU67" i="3" s="1"/>
  <c r="AV67" i="3" s="1"/>
  <c r="AW67" i="3" s="1"/>
  <c r="AX67" i="3" s="1"/>
  <c r="AY67" i="3" s="1"/>
  <c r="AZ67" i="3" s="1"/>
  <c r="BA67" i="3" s="1"/>
  <c r="BB67" i="3" s="1"/>
  <c r="BC67" i="3" s="1"/>
  <c r="BD67" i="3" s="1"/>
  <c r="BE67" i="3" s="1"/>
  <c r="BF67" i="3" s="1"/>
  <c r="BG67" i="3" s="1"/>
  <c r="BH67" i="3" s="1"/>
  <c r="BI67" i="3" s="1"/>
  <c r="BJ67" i="3" s="1"/>
  <c r="BK67" i="3" s="1"/>
  <c r="BL67" i="3" s="1"/>
  <c r="BM67" i="3" s="1"/>
  <c r="BN67" i="3" s="1"/>
  <c r="BO67" i="3" s="1"/>
  <c r="BP67" i="3" s="1"/>
  <c r="BQ67" i="3" s="1"/>
  <c r="BR67" i="3" s="1"/>
  <c r="BS67" i="3" s="1"/>
  <c r="D15" i="2"/>
  <c r="D18" i="2"/>
  <c r="H16" i="2"/>
  <c r="B18" i="15" s="1"/>
  <c r="D16" i="2"/>
  <c r="G52" i="22"/>
  <c r="G10" i="22"/>
  <c r="G38" i="22"/>
  <c r="G12" i="10" l="1"/>
  <c r="H12" i="10" s="1"/>
  <c r="I84" i="10"/>
  <c r="I66" i="10"/>
  <c r="I51" i="10"/>
  <c r="M82" i="10"/>
  <c r="AA82" i="10" s="1"/>
  <c r="M49" i="10"/>
  <c r="AA49" i="10" s="1"/>
  <c r="M64" i="10"/>
  <c r="AA64" i="10" s="1"/>
  <c r="G27" i="10"/>
  <c r="H27" i="10" s="1"/>
  <c r="H48" i="10"/>
  <c r="H63" i="10"/>
  <c r="H81" i="10"/>
  <c r="I80" i="10"/>
  <c r="I62" i="10"/>
  <c r="I47" i="10"/>
  <c r="F66" i="10"/>
  <c r="F84" i="10"/>
  <c r="F51" i="10"/>
  <c r="G50" i="10"/>
  <c r="AA50" i="10" s="1"/>
  <c r="G65" i="10"/>
  <c r="AA65" i="10" s="1"/>
  <c r="G83" i="10"/>
  <c r="AA83" i="10" s="1"/>
  <c r="J8" i="15"/>
  <c r="G31" i="15"/>
  <c r="N22" i="3"/>
  <c r="J26" i="15" s="1"/>
  <c r="D36" i="2"/>
  <c r="N33" i="3"/>
  <c r="O33" i="3" s="1"/>
  <c r="D37" i="15"/>
  <c r="G32" i="15"/>
  <c r="G29" i="15"/>
  <c r="G33" i="15"/>
  <c r="G26" i="15"/>
  <c r="N11" i="3"/>
  <c r="N7" i="3"/>
  <c r="N23" i="3"/>
  <c r="F27" i="15" s="1"/>
  <c r="N30" i="3"/>
  <c r="F34" i="15" s="1"/>
  <c r="G34" i="15"/>
  <c r="C25" i="15"/>
  <c r="L21" i="3"/>
  <c r="G25" i="15" s="1"/>
  <c r="C24" i="15"/>
  <c r="L20" i="3"/>
  <c r="G24" i="15" s="1"/>
  <c r="G27" i="15"/>
  <c r="C35" i="15"/>
  <c r="L31" i="3"/>
  <c r="D35" i="15" s="1"/>
  <c r="C30" i="15"/>
  <c r="L26" i="3"/>
  <c r="G30" i="15" s="1"/>
  <c r="C28" i="15"/>
  <c r="L24" i="3"/>
  <c r="N24" i="3" s="1"/>
  <c r="C36" i="15"/>
  <c r="L32" i="3"/>
  <c r="D36" i="15" s="1"/>
  <c r="G16" i="15"/>
  <c r="N12" i="3"/>
  <c r="C20" i="15"/>
  <c r="L16" i="3"/>
  <c r="C17" i="15"/>
  <c r="L13" i="3"/>
  <c r="G17" i="15" s="1"/>
  <c r="C12" i="15"/>
  <c r="L8" i="3"/>
  <c r="G12" i="15" s="1"/>
  <c r="C18" i="15"/>
  <c r="L14" i="3"/>
  <c r="G14" i="15"/>
  <c r="N10" i="3"/>
  <c r="C19" i="15"/>
  <c r="L15" i="3"/>
  <c r="G19" i="15" s="1"/>
  <c r="J32" i="15"/>
  <c r="F32" i="15"/>
  <c r="H36" i="2"/>
  <c r="B38" i="15" s="1"/>
  <c r="J29" i="15"/>
  <c r="F29" i="15"/>
  <c r="J33" i="15"/>
  <c r="F33" i="15"/>
  <c r="F31" i="15"/>
  <c r="J31" i="15"/>
  <c r="O6" i="3"/>
  <c r="H10" i="15" s="1"/>
  <c r="N10" i="15" s="1"/>
  <c r="J10" i="15"/>
  <c r="O5" i="3"/>
  <c r="H9" i="15" s="1"/>
  <c r="N9" i="15" s="1"/>
  <c r="J9" i="15"/>
  <c r="O9" i="3"/>
  <c r="H13" i="15" s="1"/>
  <c r="N13" i="15" s="1"/>
  <c r="J13" i="15"/>
  <c r="O25" i="3"/>
  <c r="O27" i="3"/>
  <c r="O22" i="3"/>
  <c r="O28" i="3"/>
  <c r="K34" i="3"/>
  <c r="N20" i="3"/>
  <c r="O29" i="3"/>
  <c r="G41" i="22"/>
  <c r="G13" i="22"/>
  <c r="G55" i="22"/>
  <c r="G42" i="22"/>
  <c r="G56" i="22"/>
  <c r="G14" i="22"/>
  <c r="G15" i="10" l="1"/>
  <c r="H15" i="10" s="1"/>
  <c r="J15" i="10" s="1"/>
  <c r="G30" i="10"/>
  <c r="H30" i="10" s="1"/>
  <c r="J30" i="10" s="1"/>
  <c r="J27" i="10"/>
  <c r="I27" i="10"/>
  <c r="J84" i="10"/>
  <c r="J51" i="10"/>
  <c r="J66" i="10"/>
  <c r="J12" i="10"/>
  <c r="I12" i="10"/>
  <c r="I48" i="10"/>
  <c r="I63" i="10"/>
  <c r="I81" i="10"/>
  <c r="J80" i="10"/>
  <c r="J47" i="10"/>
  <c r="J62" i="10"/>
  <c r="G16" i="10"/>
  <c r="H16" i="10" s="1"/>
  <c r="G66" i="10"/>
  <c r="G84" i="10"/>
  <c r="G51" i="10"/>
  <c r="G31" i="10"/>
  <c r="H31" i="10" s="1"/>
  <c r="D25" i="15"/>
  <c r="F26" i="15"/>
  <c r="F37" i="15"/>
  <c r="J37" i="15"/>
  <c r="N8" i="3"/>
  <c r="O8" i="3" s="1"/>
  <c r="H12" i="15" s="1"/>
  <c r="N12" i="15" s="1"/>
  <c r="O23" i="3"/>
  <c r="H27" i="15" s="1"/>
  <c r="J27" i="15"/>
  <c r="J34" i="15"/>
  <c r="G35" i="15"/>
  <c r="O30" i="3"/>
  <c r="H34" i="15" s="1"/>
  <c r="N31" i="3"/>
  <c r="F35" i="15" s="1"/>
  <c r="G28" i="15"/>
  <c r="O11" i="3"/>
  <c r="H15" i="15" s="1"/>
  <c r="N15" i="15" s="1"/>
  <c r="J15" i="15"/>
  <c r="O7" i="3"/>
  <c r="H11" i="15" s="1"/>
  <c r="N11" i="15" s="1"/>
  <c r="J11" i="15"/>
  <c r="G36" i="15"/>
  <c r="N32" i="3"/>
  <c r="F36" i="15" s="1"/>
  <c r="D28" i="15"/>
  <c r="D30" i="15"/>
  <c r="D24" i="15"/>
  <c r="C38" i="15"/>
  <c r="N21" i="3"/>
  <c r="F25" i="15" s="1"/>
  <c r="L34" i="3"/>
  <c r="N26" i="3"/>
  <c r="J30" i="15" s="1"/>
  <c r="N15" i="3"/>
  <c r="O15" i="3" s="1"/>
  <c r="H19" i="15" s="1"/>
  <c r="N19" i="15" s="1"/>
  <c r="O10" i="3"/>
  <c r="H14" i="15" s="1"/>
  <c r="N14" i="15" s="1"/>
  <c r="J14" i="15"/>
  <c r="G20" i="15"/>
  <c r="N16" i="3"/>
  <c r="N13" i="3"/>
  <c r="O13" i="3" s="1"/>
  <c r="H17" i="15" s="1"/>
  <c r="N17" i="15" s="1"/>
  <c r="G18" i="15"/>
  <c r="N14" i="3"/>
  <c r="O12" i="3"/>
  <c r="H16" i="15" s="1"/>
  <c r="N16" i="15" s="1"/>
  <c r="J16" i="15"/>
  <c r="H32" i="15"/>
  <c r="F28" i="15"/>
  <c r="J28" i="15"/>
  <c r="H37" i="15"/>
  <c r="J24" i="15"/>
  <c r="F24" i="15"/>
  <c r="H26" i="15"/>
  <c r="H31" i="15"/>
  <c r="H33" i="15"/>
  <c r="H29" i="15"/>
  <c r="O24" i="3"/>
  <c r="O20" i="3"/>
  <c r="B4" i="6"/>
  <c r="H4" i="6" s="1"/>
  <c r="I15" i="10" l="1"/>
  <c r="I30" i="10"/>
  <c r="K51" i="10"/>
  <c r="K84" i="10"/>
  <c r="K66" i="10"/>
  <c r="K80" i="10"/>
  <c r="K47" i="10"/>
  <c r="K62" i="10"/>
  <c r="J63" i="10"/>
  <c r="J48" i="10"/>
  <c r="J81" i="10"/>
  <c r="I16" i="10"/>
  <c r="J16" i="10"/>
  <c r="J31" i="10"/>
  <c r="I31" i="10"/>
  <c r="O31" i="3"/>
  <c r="H35" i="15" s="1"/>
  <c r="J12" i="15"/>
  <c r="J35" i="15"/>
  <c r="D38" i="15"/>
  <c r="K38" i="15" s="1"/>
  <c r="K4" i="15" s="1"/>
  <c r="J19" i="15"/>
  <c r="N34" i="3"/>
  <c r="J25" i="15"/>
  <c r="J17" i="15"/>
  <c r="O32" i="3"/>
  <c r="H36" i="15" s="1"/>
  <c r="F30" i="15"/>
  <c r="F38" i="15" s="1"/>
  <c r="J36" i="15"/>
  <c r="O21" i="3"/>
  <c r="O26" i="3"/>
  <c r="H30" i="15" s="1"/>
  <c r="J18" i="15"/>
  <c r="O14" i="3"/>
  <c r="H18" i="15" s="1"/>
  <c r="N18" i="15" s="1"/>
  <c r="O16" i="3"/>
  <c r="H20" i="15" s="1"/>
  <c r="N20" i="15" s="1"/>
  <c r="J20" i="15"/>
  <c r="H28" i="15"/>
  <c r="H24" i="15"/>
  <c r="G38" i="15"/>
  <c r="D5" i="17"/>
  <c r="C3" i="3"/>
  <c r="C17" i="3" s="1"/>
  <c r="C36" i="3" s="1"/>
  <c r="D36" i="3" s="1"/>
  <c r="J4" i="6"/>
  <c r="L5" i="17" s="1"/>
  <c r="I4" i="6"/>
  <c r="K5" i="17" s="1"/>
  <c r="B33" i="6"/>
  <c r="C35" i="17"/>
  <c r="H33" i="6"/>
  <c r="L66" i="10" l="1"/>
  <c r="L51" i="10"/>
  <c r="L84" i="10"/>
  <c r="L80" i="10"/>
  <c r="L47" i="10"/>
  <c r="L62" i="10"/>
  <c r="K81" i="10"/>
  <c r="K48" i="10"/>
  <c r="K63" i="10"/>
  <c r="K40" i="15"/>
  <c r="D40" i="15"/>
  <c r="F17" i="15" s="1"/>
  <c r="M17" i="15" s="1"/>
  <c r="D4" i="15"/>
  <c r="J38" i="15"/>
  <c r="O34" i="3"/>
  <c r="H25" i="15"/>
  <c r="H38" i="15" s="1"/>
  <c r="D3" i="3"/>
  <c r="C5" i="2"/>
  <c r="I33" i="6"/>
  <c r="J33" i="6"/>
  <c r="D35" i="17"/>
  <c r="M84" i="10" l="1"/>
  <c r="AA84" i="10" s="1"/>
  <c r="M66" i="10"/>
  <c r="AA66" i="10" s="1"/>
  <c r="M51" i="10"/>
  <c r="AA51" i="10" s="1"/>
  <c r="L48" i="10"/>
  <c r="L81" i="10"/>
  <c r="L63" i="10"/>
  <c r="M80" i="10"/>
  <c r="AA80" i="10" s="1"/>
  <c r="M62" i="10"/>
  <c r="AA62" i="10" s="1"/>
  <c r="M47" i="10"/>
  <c r="AA47" i="10" s="1"/>
  <c r="F15" i="15"/>
  <c r="M15" i="15" s="1"/>
  <c r="F16" i="15"/>
  <c r="M16" i="15" s="1"/>
  <c r="F13" i="15"/>
  <c r="M13" i="15" s="1"/>
  <c r="F9" i="15"/>
  <c r="M9" i="15" s="1"/>
  <c r="F12" i="15"/>
  <c r="M12" i="15" s="1"/>
  <c r="F11" i="15"/>
  <c r="M11" i="15" s="1"/>
  <c r="F19" i="15"/>
  <c r="M19" i="15" s="1"/>
  <c r="F7" i="15"/>
  <c r="M7" i="15" s="1"/>
  <c r="M21" i="15" s="1"/>
  <c r="M4" i="15" s="1"/>
  <c r="F8" i="15"/>
  <c r="M8" i="15" s="1"/>
  <c r="F18" i="15"/>
  <c r="M18" i="15" s="1"/>
  <c r="F20" i="15"/>
  <c r="M20" i="15" s="1"/>
  <c r="F10" i="15"/>
  <c r="M10" i="15" s="1"/>
  <c r="F14" i="15"/>
  <c r="M14" i="15" s="1"/>
  <c r="B57" i="3"/>
  <c r="C57" i="3" s="1"/>
  <c r="D57" i="3" s="1"/>
  <c r="E57" i="3" s="1"/>
  <c r="F57" i="3" s="1"/>
  <c r="G57" i="3" s="1"/>
  <c r="H57" i="3" s="1"/>
  <c r="I57" i="3" s="1"/>
  <c r="J57" i="3" s="1"/>
  <c r="K57" i="3" s="1"/>
  <c r="L57" i="3" s="1"/>
  <c r="M57" i="3" s="1"/>
  <c r="N57" i="3" s="1"/>
  <c r="O57" i="3" s="1"/>
  <c r="P57" i="3" s="1"/>
  <c r="Q57" i="3" s="1"/>
  <c r="R57" i="3" s="1"/>
  <c r="S57" i="3" s="1"/>
  <c r="T57" i="3" s="1"/>
  <c r="U57" i="3" s="1"/>
  <c r="V57" i="3" s="1"/>
  <c r="W57" i="3" s="1"/>
  <c r="X57" i="3" s="1"/>
  <c r="Y57" i="3" s="1"/>
  <c r="Z57" i="3" s="1"/>
  <c r="AA57" i="3" s="1"/>
  <c r="AB57" i="3" s="1"/>
  <c r="AC57" i="3" s="1"/>
  <c r="AD57" i="3" s="1"/>
  <c r="AE57" i="3" s="1"/>
  <c r="AF57" i="3" s="1"/>
  <c r="AG57" i="3" s="1"/>
  <c r="AH57" i="3" s="1"/>
  <c r="AI57" i="3" s="1"/>
  <c r="AJ57" i="3" s="1"/>
  <c r="AK57" i="3" s="1"/>
  <c r="AL57" i="3" s="1"/>
  <c r="AM57" i="3" s="1"/>
  <c r="AN57" i="3" s="1"/>
  <c r="AO57" i="3" s="1"/>
  <c r="AP57" i="3" s="1"/>
  <c r="AQ57" i="3" s="1"/>
  <c r="AR57" i="3" s="1"/>
  <c r="AS57" i="3" s="1"/>
  <c r="AT57" i="3" s="1"/>
  <c r="AU57" i="3" s="1"/>
  <c r="AV57" i="3" s="1"/>
  <c r="AW57" i="3" s="1"/>
  <c r="AX57" i="3" s="1"/>
  <c r="AY57" i="3" s="1"/>
  <c r="AZ57" i="3" s="1"/>
  <c r="BA57" i="3" s="1"/>
  <c r="BB57" i="3" s="1"/>
  <c r="BC57" i="3" s="1"/>
  <c r="BD57" i="3" s="1"/>
  <c r="BE57" i="3" s="1"/>
  <c r="BF57" i="3" s="1"/>
  <c r="BG57" i="3" s="1"/>
  <c r="BH57" i="3" s="1"/>
  <c r="BI57" i="3" s="1"/>
  <c r="BJ57" i="3" s="1"/>
  <c r="BK57" i="3" s="1"/>
  <c r="BL57" i="3" s="1"/>
  <c r="BM57" i="3" s="1"/>
  <c r="BN57" i="3" s="1"/>
  <c r="BO57" i="3" s="1"/>
  <c r="BP57" i="3" s="1"/>
  <c r="BQ57" i="3" s="1"/>
  <c r="BR57" i="3" s="1"/>
  <c r="BS57" i="3" s="1"/>
  <c r="D17" i="3"/>
  <c r="B71" i="3" s="1"/>
  <c r="C71" i="3" s="1"/>
  <c r="D71" i="3" s="1"/>
  <c r="E71" i="3" s="1"/>
  <c r="F71" i="3" s="1"/>
  <c r="G71" i="3" s="1"/>
  <c r="H71" i="3" s="1"/>
  <c r="I71" i="3" s="1"/>
  <c r="J71" i="3" s="1"/>
  <c r="K71" i="3" s="1"/>
  <c r="L71" i="3" s="1"/>
  <c r="M71" i="3" s="1"/>
  <c r="N71" i="3" s="1"/>
  <c r="O71" i="3" s="1"/>
  <c r="P71" i="3" s="1"/>
  <c r="Q71" i="3" s="1"/>
  <c r="R71" i="3" s="1"/>
  <c r="S71" i="3" s="1"/>
  <c r="T71" i="3" s="1"/>
  <c r="U71" i="3" s="1"/>
  <c r="V71" i="3" s="1"/>
  <c r="W71" i="3" s="1"/>
  <c r="X71" i="3" s="1"/>
  <c r="Y71" i="3" s="1"/>
  <c r="Z71" i="3" s="1"/>
  <c r="AA71" i="3" s="1"/>
  <c r="AB71" i="3" s="1"/>
  <c r="AC71" i="3" s="1"/>
  <c r="AD71" i="3" s="1"/>
  <c r="AE71" i="3" s="1"/>
  <c r="AF71" i="3" s="1"/>
  <c r="AG71" i="3" s="1"/>
  <c r="AH71" i="3" s="1"/>
  <c r="AI71" i="3" s="1"/>
  <c r="AJ71" i="3" s="1"/>
  <c r="AK71" i="3" s="1"/>
  <c r="AL71" i="3" s="1"/>
  <c r="AM71" i="3" s="1"/>
  <c r="AN71" i="3" s="1"/>
  <c r="AO71" i="3" s="1"/>
  <c r="AP71" i="3" s="1"/>
  <c r="AQ71" i="3" s="1"/>
  <c r="AR71" i="3" s="1"/>
  <c r="AS71" i="3" s="1"/>
  <c r="AT71" i="3" s="1"/>
  <c r="AU71" i="3" s="1"/>
  <c r="AV71" i="3" s="1"/>
  <c r="AW71" i="3" s="1"/>
  <c r="AX71" i="3" s="1"/>
  <c r="AY71" i="3" s="1"/>
  <c r="AZ71" i="3" s="1"/>
  <c r="BA71" i="3" s="1"/>
  <c r="BB71" i="3" s="1"/>
  <c r="BC71" i="3" s="1"/>
  <c r="BD71" i="3" s="1"/>
  <c r="BE71" i="3" s="1"/>
  <c r="BF71" i="3" s="1"/>
  <c r="BG71" i="3" s="1"/>
  <c r="BH71" i="3" s="1"/>
  <c r="BI71" i="3" s="1"/>
  <c r="BJ71" i="3" s="1"/>
  <c r="BK71" i="3" s="1"/>
  <c r="BL71" i="3" s="1"/>
  <c r="BM71" i="3" s="1"/>
  <c r="BN71" i="3" s="1"/>
  <c r="BO71" i="3" s="1"/>
  <c r="BP71" i="3" s="1"/>
  <c r="BQ71" i="3" s="1"/>
  <c r="BR71" i="3" s="1"/>
  <c r="BS71" i="3" s="1"/>
  <c r="K3" i="3"/>
  <c r="L3" i="3" s="1"/>
  <c r="G7" i="15" s="1"/>
  <c r="J35" i="17"/>
  <c r="L35" i="17"/>
  <c r="I35" i="17"/>
  <c r="K35" i="17"/>
  <c r="C19" i="2"/>
  <c r="H5" i="2"/>
  <c r="D5" i="2"/>
  <c r="G15" i="22"/>
  <c r="G57" i="22"/>
  <c r="G43" i="22"/>
  <c r="G11" i="22"/>
  <c r="G39" i="22"/>
  <c r="G53" i="22"/>
  <c r="G32" i="10" l="1"/>
  <c r="H32" i="10" s="1"/>
  <c r="G17" i="10"/>
  <c r="H17" i="10" s="1"/>
  <c r="M48" i="10"/>
  <c r="AA48" i="10" s="1"/>
  <c r="M81" i="10"/>
  <c r="AA81" i="10" s="1"/>
  <c r="M63" i="10"/>
  <c r="AA63" i="10" s="1"/>
  <c r="G28" i="10"/>
  <c r="H28" i="10" s="1"/>
  <c r="G13" i="10"/>
  <c r="H13" i="10" s="1"/>
  <c r="M40" i="15"/>
  <c r="F21" i="15"/>
  <c r="R8" i="15"/>
  <c r="R12" i="15"/>
  <c r="R16" i="15"/>
  <c r="P9" i="15"/>
  <c r="R9" i="15"/>
  <c r="P11" i="15"/>
  <c r="P30" i="15"/>
  <c r="P26" i="15"/>
  <c r="P28" i="15"/>
  <c r="P16" i="15"/>
  <c r="P31" i="15"/>
  <c r="R30" i="15"/>
  <c r="P27" i="15"/>
  <c r="R26" i="15"/>
  <c r="P10" i="15"/>
  <c r="R13" i="15"/>
  <c r="R29" i="15"/>
  <c r="R25" i="15"/>
  <c r="P12" i="15"/>
  <c r="P15" i="15"/>
  <c r="P32" i="15"/>
  <c r="P24" i="15"/>
  <c r="R10" i="15"/>
  <c r="R14" i="15"/>
  <c r="P13" i="15"/>
  <c r="R33" i="15"/>
  <c r="R32" i="15"/>
  <c r="P29" i="15"/>
  <c r="R28" i="15"/>
  <c r="P25" i="15"/>
  <c r="R24" i="15"/>
  <c r="P14" i="15"/>
  <c r="R11" i="15"/>
  <c r="R15" i="15"/>
  <c r="R27" i="15"/>
  <c r="P8" i="15"/>
  <c r="R31" i="15"/>
  <c r="Z11" i="15"/>
  <c r="Z10" i="15"/>
  <c r="Z14" i="15"/>
  <c r="Z9" i="15"/>
  <c r="Z8" i="15"/>
  <c r="Z13" i="15"/>
  <c r="Z16" i="15"/>
  <c r="Z15" i="15"/>
  <c r="AI15" i="15"/>
  <c r="Z26" i="15"/>
  <c r="AI16" i="15"/>
  <c r="Z33" i="15"/>
  <c r="Z31" i="15"/>
  <c r="AI8" i="15"/>
  <c r="Z12" i="15"/>
  <c r="Z27" i="15"/>
  <c r="Z29" i="15"/>
  <c r="Z32" i="15"/>
  <c r="AI11" i="15"/>
  <c r="AI14" i="15"/>
  <c r="AI27" i="15"/>
  <c r="AI32" i="15"/>
  <c r="AI33" i="15"/>
  <c r="AI9" i="15"/>
  <c r="Z28" i="15"/>
  <c r="AI31" i="15"/>
  <c r="AI29" i="15"/>
  <c r="AI26" i="15"/>
  <c r="AI10" i="15"/>
  <c r="Z24" i="15"/>
  <c r="Z30" i="15"/>
  <c r="Z25" i="15"/>
  <c r="AI13" i="15"/>
  <c r="AI12" i="15"/>
  <c r="AI30" i="15"/>
  <c r="AI28" i="15"/>
  <c r="AI24" i="15"/>
  <c r="AI25" i="15"/>
  <c r="Q31" i="15"/>
  <c r="S30" i="15"/>
  <c r="Q27" i="15"/>
  <c r="S26" i="15"/>
  <c r="Q12" i="15"/>
  <c r="Q30" i="15"/>
  <c r="Q26" i="15"/>
  <c r="S25" i="15"/>
  <c r="S9" i="15"/>
  <c r="S13" i="15"/>
  <c r="Q15" i="15"/>
  <c r="Q10" i="15"/>
  <c r="S11" i="15"/>
  <c r="S8" i="15"/>
  <c r="S12" i="15"/>
  <c r="S16" i="15"/>
  <c r="Q13" i="15"/>
  <c r="S29" i="15"/>
  <c r="Q14" i="15"/>
  <c r="S33" i="15"/>
  <c r="S32" i="15"/>
  <c r="Q29" i="15"/>
  <c r="S28" i="15"/>
  <c r="Q25" i="15"/>
  <c r="S24" i="15"/>
  <c r="Q8" i="15"/>
  <c r="Q16" i="15"/>
  <c r="S10" i="15"/>
  <c r="S14" i="15"/>
  <c r="Q9" i="15"/>
  <c r="Q32" i="15"/>
  <c r="S31" i="15"/>
  <c r="Q28" i="15"/>
  <c r="Q24" i="15"/>
  <c r="S15" i="15"/>
  <c r="S27" i="15"/>
  <c r="Q11" i="15"/>
  <c r="AA10" i="15"/>
  <c r="AA11" i="15"/>
  <c r="AA9" i="15"/>
  <c r="AA14" i="15"/>
  <c r="AA8" i="15"/>
  <c r="AA13" i="15"/>
  <c r="AA16" i="15"/>
  <c r="AA15" i="15"/>
  <c r="AA33" i="15"/>
  <c r="AA31" i="15"/>
  <c r="AA29" i="15"/>
  <c r="AJ15" i="15"/>
  <c r="AA27" i="15"/>
  <c r="AA12" i="15"/>
  <c r="AA26" i="15"/>
  <c r="AJ8" i="15"/>
  <c r="AJ14" i="15"/>
  <c r="AA32" i="15"/>
  <c r="AJ11" i="15"/>
  <c r="AJ16" i="15"/>
  <c r="AJ27" i="15"/>
  <c r="AJ32" i="15"/>
  <c r="AJ33" i="15"/>
  <c r="AJ13" i="15"/>
  <c r="AJ31" i="15"/>
  <c r="AJ29" i="15"/>
  <c r="AJ9" i="15"/>
  <c r="AJ26" i="15"/>
  <c r="AA24" i="15"/>
  <c r="AA28" i="15"/>
  <c r="AA25" i="15"/>
  <c r="AJ10" i="15"/>
  <c r="AA30" i="15"/>
  <c r="AJ30" i="15"/>
  <c r="AJ28" i="15"/>
  <c r="AJ12" i="15"/>
  <c r="AJ25" i="15"/>
  <c r="AJ24" i="15"/>
  <c r="G21" i="15"/>
  <c r="G40" i="15" s="1"/>
  <c r="Z7" i="15"/>
  <c r="AA7" i="15"/>
  <c r="K17" i="3"/>
  <c r="K36" i="3" s="1"/>
  <c r="C7" i="15"/>
  <c r="N3" i="3"/>
  <c r="L17" i="3"/>
  <c r="B7" i="15"/>
  <c r="H19" i="2"/>
  <c r="G54" i="22"/>
  <c r="G12" i="22"/>
  <c r="G40" i="22"/>
  <c r="J17" i="10" l="1"/>
  <c r="I17" i="10"/>
  <c r="I32" i="10"/>
  <c r="J32" i="10"/>
  <c r="G14" i="10"/>
  <c r="H14" i="10" s="1"/>
  <c r="I28" i="10"/>
  <c r="J28" i="10"/>
  <c r="I13" i="10"/>
  <c r="J13" i="10"/>
  <c r="G29" i="10"/>
  <c r="H29" i="10" s="1"/>
  <c r="F40" i="15"/>
  <c r="F4" i="15"/>
  <c r="G4" i="15"/>
  <c r="Z4" i="15" s="1"/>
  <c r="Z38" i="15"/>
  <c r="R38" i="15"/>
  <c r="AJ38" i="15"/>
  <c r="P38" i="15"/>
  <c r="AA38" i="15"/>
  <c r="Q38" i="15"/>
  <c r="P7" i="15"/>
  <c r="P21" i="15" s="1"/>
  <c r="Q7" i="15"/>
  <c r="S38" i="15"/>
  <c r="AI38" i="15"/>
  <c r="S7" i="15"/>
  <c r="R7" i="15"/>
  <c r="R21" i="15" s="1"/>
  <c r="O3" i="3"/>
  <c r="H7" i="15" s="1"/>
  <c r="J7" i="15"/>
  <c r="J21" i="15" s="1"/>
  <c r="J40" i="15" s="1"/>
  <c r="C21" i="15"/>
  <c r="S21" i="15"/>
  <c r="S40" i="15" s="1"/>
  <c r="N17" i="3"/>
  <c r="L36" i="3"/>
  <c r="B21" i="15"/>
  <c r="B40" i="15" s="1"/>
  <c r="H38" i="2"/>
  <c r="B4" i="15" s="1"/>
  <c r="Q21" i="15"/>
  <c r="H33" i="10" l="1"/>
  <c r="J29" i="10"/>
  <c r="I29" i="10"/>
  <c r="J14" i="10"/>
  <c r="I14" i="10"/>
  <c r="I33" i="10" s="1"/>
  <c r="R40" i="15"/>
  <c r="Q40" i="15"/>
  <c r="AA4" i="15"/>
  <c r="P40" i="15"/>
  <c r="P4" i="15"/>
  <c r="Q4" i="15"/>
  <c r="AJ7" i="15"/>
  <c r="AI7" i="15"/>
  <c r="H21" i="15"/>
  <c r="N7" i="15"/>
  <c r="N21" i="15" s="1"/>
  <c r="C4" i="15"/>
  <c r="C40" i="15"/>
  <c r="O17" i="3"/>
  <c r="O36" i="3" s="1"/>
  <c r="N36" i="3"/>
  <c r="J33" i="10" l="1"/>
  <c r="S4" i="15"/>
  <c r="R4" i="15"/>
  <c r="N40" i="15"/>
  <c r="N4" i="15"/>
  <c r="AJ21" i="15"/>
  <c r="AJ40" i="15" s="1"/>
  <c r="AA21" i="15"/>
  <c r="AA40" i="15" s="1"/>
  <c r="Z21" i="15"/>
  <c r="Z40" i="15" s="1"/>
  <c r="AI21" i="15"/>
  <c r="AI40" i="15" s="1"/>
  <c r="H4" i="15"/>
  <c r="H40" i="15"/>
  <c r="J4" i="15"/>
  <c r="AJ4" i="15" l="1"/>
  <c r="AI4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Moreira, Patricia</author>
  </authors>
  <commentList>
    <comment ref="E1" authorId="0" shapeId="0" xr:uid="{AD248FCA-DE42-4E4D-85DC-907FFC520D96}">
      <text>
        <r>
          <rPr>
            <b/>
            <sz val="9"/>
            <color indexed="81"/>
            <rFont val="Tahoma"/>
            <family val="2"/>
          </rPr>
          <t>Moreira, Patricia:</t>
        </r>
        <r>
          <rPr>
            <sz val="9"/>
            <color indexed="81"/>
            <rFont val="Tahoma"/>
            <family val="2"/>
          </rPr>
          <t xml:space="preserve">
BLUE FOR MEN
RED FOR WOMEN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Moreira, Patricia</author>
  </authors>
  <commentList>
    <comment ref="E1" authorId="0" shapeId="0" xr:uid="{71CC7FAD-C797-426B-A4DF-F66B6E55771E}">
      <text>
        <r>
          <rPr>
            <b/>
            <sz val="9"/>
            <color indexed="81"/>
            <rFont val="Tahoma"/>
            <family val="2"/>
          </rPr>
          <t>Moreira, Patricia:</t>
        </r>
        <r>
          <rPr>
            <sz val="9"/>
            <color indexed="81"/>
            <rFont val="Tahoma"/>
            <family val="2"/>
          </rPr>
          <t xml:space="preserve">
BLUE FOR MEN
RED FOR WOMEN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Moreira, Patricia</author>
  </authors>
  <commentList>
    <comment ref="E1" authorId="0" shapeId="0" xr:uid="{F7C46E0D-96F2-4294-85BC-DC749C3DF99F}">
      <text>
        <r>
          <rPr>
            <b/>
            <sz val="9"/>
            <color indexed="81"/>
            <rFont val="Tahoma"/>
            <family val="2"/>
          </rPr>
          <t>Moreira, Patricia:</t>
        </r>
        <r>
          <rPr>
            <sz val="9"/>
            <color indexed="81"/>
            <rFont val="Tahoma"/>
            <family val="2"/>
          </rPr>
          <t xml:space="preserve">
BLUE FOR MEN
RED FOR WOMEN</t>
        </r>
      </text>
    </comment>
  </commentList>
</comments>
</file>

<file path=xl/sharedStrings.xml><?xml version="1.0" encoding="utf-8"?>
<sst xmlns="http://schemas.openxmlformats.org/spreadsheetml/2006/main" count="2409" uniqueCount="295">
  <si>
    <t>A. YLL per age group</t>
  </si>
  <si>
    <t>Population</t>
  </si>
  <si>
    <t>Deaths</t>
  </si>
  <si>
    <t>Deaths per 1,000</t>
  </si>
  <si>
    <t>Av. age of death</t>
  </si>
  <si>
    <t>Standard LE</t>
  </si>
  <si>
    <t>YLL</t>
  </si>
  <si>
    <t>Males</t>
  </si>
  <si>
    <t>15-19y</t>
  </si>
  <si>
    <t>20-24y</t>
  </si>
  <si>
    <t>25-29y</t>
  </si>
  <si>
    <t>30-34y</t>
  </si>
  <si>
    <t>35-39y</t>
  </si>
  <si>
    <t>40-44y</t>
  </si>
  <si>
    <t>45-49y</t>
  </si>
  <si>
    <t>50-54y</t>
  </si>
  <si>
    <t>55-59y</t>
  </si>
  <si>
    <t>60-64y</t>
  </si>
  <si>
    <t>65-69y</t>
  </si>
  <si>
    <t>70-74y</t>
  </si>
  <si>
    <t>75-79y</t>
  </si>
  <si>
    <t>80+</t>
  </si>
  <si>
    <t>Total</t>
  </si>
  <si>
    <t>Females</t>
  </si>
  <si>
    <t>CHD</t>
  </si>
  <si>
    <t>YPLL</t>
  </si>
  <si>
    <t>Masc</t>
  </si>
  <si>
    <t>15 a 19 anos</t>
  </si>
  <si>
    <t>20 a 24 anos</t>
  </si>
  <si>
    <t>25 a 29 anos</t>
  </si>
  <si>
    <t>30 a 34 anos</t>
  </si>
  <si>
    <t>35 a 39 anos</t>
  </si>
  <si>
    <t>40 a 44 anos</t>
  </si>
  <si>
    <t>45 a 49 anos</t>
  </si>
  <si>
    <t>50 a 54 anos</t>
  </si>
  <si>
    <t>55 a 59 anos</t>
  </si>
  <si>
    <t>60 a 64 anos</t>
  </si>
  <si>
    <t>65 a 69 anos</t>
  </si>
  <si>
    <t>70 a 74 anos</t>
  </si>
  <si>
    <t>75 a 79 anos</t>
  </si>
  <si>
    <t>80 anos e mais</t>
  </si>
  <si>
    <t>Hombres</t>
  </si>
  <si>
    <t>Mujeres</t>
  </si>
  <si>
    <t>Total H+M</t>
  </si>
  <si>
    <t>Prevalence</t>
  </si>
  <si>
    <t>M15-19</t>
  </si>
  <si>
    <t>M20-24</t>
  </si>
  <si>
    <t>M25-29</t>
  </si>
  <si>
    <t>M30-34</t>
  </si>
  <si>
    <t>M35-39</t>
  </si>
  <si>
    <t>M40-44</t>
  </si>
  <si>
    <t>M45-49</t>
  </si>
  <si>
    <t>M50-54</t>
  </si>
  <si>
    <t>M55-59</t>
  </si>
  <si>
    <t>M60-64</t>
  </si>
  <si>
    <t>M65-69</t>
  </si>
  <si>
    <t>M70-74</t>
  </si>
  <si>
    <t>M75-79</t>
  </si>
  <si>
    <t>M80-84</t>
  </si>
  <si>
    <t>M85+</t>
  </si>
  <si>
    <t>F15-19</t>
  </si>
  <si>
    <t>F20-24</t>
  </si>
  <si>
    <t>F25-29</t>
  </si>
  <si>
    <t>F30-34</t>
  </si>
  <si>
    <t>F35-39</t>
  </si>
  <si>
    <t>F40-44</t>
  </si>
  <si>
    <t>F45-49</t>
  </si>
  <si>
    <t>F50-54</t>
  </si>
  <si>
    <t>F55-59</t>
  </si>
  <si>
    <t>F60-64</t>
  </si>
  <si>
    <t>F65-69</t>
  </si>
  <si>
    <t>F70-74</t>
  </si>
  <si>
    <t>F75-79</t>
  </si>
  <si>
    <t>F80-84</t>
  </si>
  <si>
    <t>F85+</t>
  </si>
  <si>
    <t>Población</t>
  </si>
  <si>
    <t>Contrafactual</t>
  </si>
  <si>
    <t>M80+</t>
  </si>
  <si>
    <t>F80+</t>
  </si>
  <si>
    <t>Línea de base</t>
  </si>
  <si>
    <t>Prevalencias contrafactual</t>
  </si>
  <si>
    <t>Prevalencias línea de base</t>
  </si>
  <si>
    <t>Stroke</t>
  </si>
  <si>
    <t>RR</t>
  </si>
  <si>
    <t>M&gt;=80</t>
  </si>
  <si>
    <t>F&gt;=80</t>
  </si>
  <si>
    <t>Years of LE lost</t>
  </si>
  <si>
    <t>Hospitalizaciones</t>
  </si>
  <si>
    <t>Medicamentos</t>
  </si>
  <si>
    <t>TOTAL</t>
  </si>
  <si>
    <t>Consultas</t>
  </si>
  <si>
    <t>US$</t>
  </si>
  <si>
    <t xml:space="preserve">Consultas </t>
  </si>
  <si>
    <t>Total general</t>
  </si>
  <si>
    <t>Intervalos de confianza (IC 95%)</t>
  </si>
  <si>
    <t>Perdidas PIB</t>
  </si>
  <si>
    <t>COLLONES</t>
  </si>
  <si>
    <t>TFA intake</t>
  </si>
  <si>
    <t>Average TFA (% energy)</t>
  </si>
  <si>
    <t>SD</t>
  </si>
  <si>
    <t>LOG average TFA (% energy)</t>
  </si>
  <si>
    <t>LOG DP TFA</t>
  </si>
  <si>
    <t>&lt;0,1</t>
  </si>
  <si>
    <t>0,1-0,2</t>
  </si>
  <si>
    <t>0,2-0,3</t>
  </si>
  <si>
    <t>0,3-0,4</t>
  </si>
  <si>
    <t>0,4-0,5</t>
  </si>
  <si>
    <t>0,5-0,6</t>
  </si>
  <si>
    <t>0,6-0,7</t>
  </si>
  <si>
    <t>0,7-0,8</t>
  </si>
  <si>
    <t>0,8-0,9</t>
  </si>
  <si>
    <t>0,9-1,0</t>
  </si>
  <si>
    <t>1,0-1,1</t>
  </si>
  <si>
    <t>1,1-1,2</t>
  </si>
  <si>
    <t>1,2-1,3</t>
  </si>
  <si>
    <t>1,3-1,4</t>
  </si>
  <si>
    <t>1,4-1,5</t>
  </si>
  <si>
    <t>1,5-1,6</t>
  </si>
  <si>
    <t>1,6-1,7</t>
  </si>
  <si>
    <t>1,7-1,8</t>
  </si>
  <si>
    <t>1,8-1,9</t>
  </si>
  <si>
    <t>1,9-2,0</t>
  </si>
  <si>
    <t>2,0-2,1</t>
  </si>
  <si>
    <t>2,1-2,2</t>
  </si>
  <si>
    <t>2,2-2,3</t>
  </si>
  <si>
    <t>2,3-2,4</t>
  </si>
  <si>
    <t>&gt;2,4</t>
  </si>
  <si>
    <t>UI US$</t>
  </si>
  <si>
    <t>CHD mortality  per 2% increase in TFA</t>
  </si>
  <si>
    <t>TFA</t>
  </si>
  <si>
    <t>Deaths CHD</t>
  </si>
  <si>
    <t>Deaths Stroke</t>
  </si>
  <si>
    <t>Attributable deaths</t>
  </si>
  <si>
    <t>PIF</t>
  </si>
  <si>
    <t>CVD</t>
  </si>
  <si>
    <t>Deaths from stroke</t>
  </si>
  <si>
    <t>Deaths from CHD</t>
  </si>
  <si>
    <t>PIF CHD</t>
  </si>
  <si>
    <t>Soma</t>
  </si>
  <si>
    <t>Deaths averted or postponed in counterfactual scenario</t>
  </si>
  <si>
    <t>BASELINE PIF CHD</t>
  </si>
  <si>
    <t>SD TFA</t>
  </si>
  <si>
    <t xml:space="preserve">Average intake TFA (% energy) </t>
  </si>
  <si>
    <t>Baseline</t>
  </si>
  <si>
    <t>Counterfactual</t>
  </si>
  <si>
    <t>Local currency/US Dollar</t>
  </si>
  <si>
    <t>Average salary</t>
  </si>
  <si>
    <t>Employment rate</t>
  </si>
  <si>
    <t>LIC</t>
  </si>
  <si>
    <t>UIC</t>
  </si>
  <si>
    <t>RR for CHD by TFA consumption</t>
  </si>
  <si>
    <t>Stroke mortality  per 2% increase in TFA</t>
  </si>
  <si>
    <t>CI 95%</t>
  </si>
  <si>
    <t>Mean</t>
  </si>
  <si>
    <t>UI 95%</t>
  </si>
  <si>
    <t>Age of retirement (men)</t>
  </si>
  <si>
    <t>Age of retirement (women)</t>
  </si>
  <si>
    <t>Life expectancy (women)</t>
  </si>
  <si>
    <t>Life expectancy (men)</t>
  </si>
  <si>
    <t>Deaths CHD (coronary heart disease)</t>
  </si>
  <si>
    <t>ICD 10</t>
  </si>
  <si>
    <t>I20-I25</t>
  </si>
  <si>
    <t>I60-I69</t>
  </si>
  <si>
    <t>Deaths CHD*</t>
  </si>
  <si>
    <t>Deaths Stroke**</t>
  </si>
  <si>
    <t>*</t>
  </si>
  <si>
    <t>**</t>
  </si>
  <si>
    <t>Death stroke (cerebrovascular diseases)</t>
  </si>
  <si>
    <t>Local currency</t>
  </si>
  <si>
    <t>GDP losses</t>
  </si>
  <si>
    <t>Average age in the stratum</t>
  </si>
  <si>
    <t>GDP US$</t>
  </si>
  <si>
    <t>% employment</t>
  </si>
  <si>
    <t>Age of retirement</t>
  </si>
  <si>
    <t>Economic losses (local currency)</t>
  </si>
  <si>
    <t>Currency exchange rate  US$</t>
  </si>
  <si>
    <t>Economic losses (US$)</t>
  </si>
  <si>
    <t>% GDP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</si>
  <si>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</si>
  <si>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</si>
  <si>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</si>
  <si>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</si>
  <si>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</si>
  <si>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</si>
  <si>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</si>
  <si>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</si>
  <si>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</si>
  <si>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</si>
  <si>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</si>
  <si>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</si>
  <si>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</si>
  <si>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</si>
  <si>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</si>
  <si>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</si>
  <si>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</si>
  <si>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</si>
  <si>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</si>
  <si>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</si>
  <si>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</si>
  <si>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</si>
  <si>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</si>
  <si>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</si>
  <si>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</si>
  <si>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Year 26</t>
  </si>
  <si>
    <t>Year 27</t>
  </si>
  <si>
    <t>Year 28</t>
  </si>
  <si>
    <t>Year 29</t>
  </si>
  <si>
    <t>Year 30</t>
  </si>
  <si>
    <t>Year 31</t>
  </si>
  <si>
    <t>Year 32</t>
  </si>
  <si>
    <t>Year 33</t>
  </si>
  <si>
    <t>Year 34</t>
  </si>
  <si>
    <t>Year 35</t>
  </si>
  <si>
    <t>Year 36</t>
  </si>
  <si>
    <t>Year 37</t>
  </si>
  <si>
    <t>Year 38</t>
  </si>
  <si>
    <t>Year 39</t>
  </si>
  <si>
    <t>Year 40</t>
  </si>
  <si>
    <t>Year 41</t>
  </si>
  <si>
    <t>Year 42</t>
  </si>
  <si>
    <t>Year 43</t>
  </si>
  <si>
    <t>Year 44</t>
  </si>
  <si>
    <t>Year 45</t>
  </si>
  <si>
    <t>Year 46</t>
  </si>
  <si>
    <t>Year 47</t>
  </si>
  <si>
    <t>Year 48</t>
  </si>
  <si>
    <t>Year 49</t>
  </si>
  <si>
    <t>Year 50</t>
  </si>
  <si>
    <t>Year 51</t>
  </si>
  <si>
    <t>Year 52</t>
  </si>
  <si>
    <t>Year 53</t>
  </si>
  <si>
    <t>Year 54</t>
  </si>
  <si>
    <t>Year 55</t>
  </si>
  <si>
    <t>Year 56</t>
  </si>
  <si>
    <t>Year 57</t>
  </si>
  <si>
    <t>Year 58</t>
  </si>
  <si>
    <t>Year 59</t>
  </si>
  <si>
    <t>Year 60</t>
  </si>
  <si>
    <t>Year 61</t>
  </si>
  <si>
    <t>Year 62</t>
  </si>
  <si>
    <t>Year 63</t>
  </si>
  <si>
    <t>Year 64</t>
  </si>
  <si>
    <t>Year 65</t>
  </si>
  <si>
    <t>Year 66</t>
  </si>
  <si>
    <t>Year 67</t>
  </si>
  <si>
    <t>Year 68</t>
  </si>
  <si>
    <t>Year 69</t>
  </si>
  <si>
    <t>Year 70</t>
  </si>
  <si>
    <t>For discount rates (3%)</t>
  </si>
  <si>
    <t>Gross Internal Product (billion)</t>
  </si>
  <si>
    <t>Gross Domestic Product/ US Dollars (billion)</t>
  </si>
  <si>
    <t>Diference to retirement age</t>
  </si>
  <si>
    <t>YPLL costs</t>
  </si>
  <si>
    <t>GDP losses (%)</t>
  </si>
  <si>
    <t>Losses local currency</t>
  </si>
  <si>
    <t>YPLL productivity losses saved</t>
  </si>
  <si>
    <t>Female</t>
  </si>
  <si>
    <t>Male</t>
  </si>
  <si>
    <t>Total Female</t>
  </si>
  <si>
    <t>Total Male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</si>
  <si>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</si>
  <si>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</si>
  <si>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</si>
  <si>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</si>
  <si>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</si>
  <si>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</si>
  <si>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</si>
  <si>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</si>
  <si>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</si>
  <si>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</si>
  <si>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65-69 years</t>
  </si>
  <si>
    <t>70-74 years</t>
  </si>
  <si>
    <t>75-79 years</t>
  </si>
  <si>
    <t>Stochastic INPUTS</t>
  </si>
  <si>
    <t>Number of Deaths (Deterministic)</t>
  </si>
  <si>
    <t>(Poisson)</t>
  </si>
  <si>
    <t>Stochastic</t>
  </si>
  <si>
    <t>Men</t>
  </si>
  <si>
    <t>Women</t>
  </si>
  <si>
    <t>80y++</t>
  </si>
  <si>
    <t>INPUTS</t>
  </si>
  <si>
    <t xml:space="preserve">Mean </t>
  </si>
  <si>
    <t>ER pert</t>
  </si>
  <si>
    <t>RR TFA CHD</t>
  </si>
  <si>
    <t>RR TFA Stroke</t>
  </si>
  <si>
    <t>CODES</t>
  </si>
  <si>
    <t>Sex</t>
  </si>
  <si>
    <t>AGE</t>
  </si>
  <si>
    <t>Median</t>
  </si>
  <si>
    <t>StDev</t>
  </si>
  <si>
    <t>Low</t>
  </si>
  <si>
    <t>High</t>
  </si>
  <si>
    <t>LCI 95%</t>
  </si>
  <si>
    <t>HCI 95%</t>
  </si>
  <si>
    <t>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</si>
</sst>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#,##0.0000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8"/>
      <color theme="3" tint="-0.249977111117893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2" fillId="0" borderId="1" xfId="0" applyFont="1" applyBorder="1"/>
    <xf numFmtId="0" fontId="0" fillId="0" borderId="1" xfId="0" applyBorder="1"/>
    <xf numFmtId="4" fontId="0" fillId="2" borderId="1" xfId="0" applyNumberFormat="1" applyFill="1" applyBorder="1"/>
    <xf numFmtId="4" fontId="0" fillId="2" borderId="0" xfId="0" applyNumberFormat="1" applyFill="1"/>
    <xf numFmtId="0" fontId="1" fillId="0" borderId="2" xfId="0" applyFont="1" applyBorder="1"/>
    <xf numFmtId="0" fontId="0" fillId="0" borderId="2" xfId="0" applyBorder="1"/>
    <xf numFmtId="4" fontId="0" fillId="2" borderId="2" xfId="0" applyNumberFormat="1" applyFill="1" applyBorder="1"/>
    <xf numFmtId="0" fontId="2" fillId="0" borderId="0" xfId="0" applyFont="1"/>
    <xf numFmtId="0" fontId="1" fillId="0" borderId="2" xfId="0" applyFont="1" applyBorder="1" applyAlignment="1">
      <alignment horizontal="center" wrapText="1"/>
    </xf>
    <xf numFmtId="0" fontId="0" fillId="3" borderId="0" xfId="0" applyFill="1"/>
    <xf numFmtId="4" fontId="0" fillId="0" borderId="0" xfId="0" applyNumberFormat="1"/>
    <xf numFmtId="0" fontId="1" fillId="0" borderId="0" xfId="0" applyFont="1" applyAlignment="1">
      <alignment wrapText="1"/>
    </xf>
    <xf numFmtId="3" fontId="0" fillId="3" borderId="0" xfId="0" applyNumberFormat="1" applyFill="1"/>
    <xf numFmtId="3" fontId="1" fillId="0" borderId="0" xfId="0" applyNumberFormat="1" applyFont="1"/>
    <xf numFmtId="3" fontId="0" fillId="0" borderId="0" xfId="0" applyNumberFormat="1"/>
    <xf numFmtId="0" fontId="0" fillId="0" borderId="0" xfId="0" applyFill="1"/>
    <xf numFmtId="4" fontId="1" fillId="0" borderId="0" xfId="0" applyNumberFormat="1" applyFont="1"/>
    <xf numFmtId="3" fontId="0" fillId="0" borderId="0" xfId="0" applyNumberFormat="1" applyFill="1"/>
    <xf numFmtId="3" fontId="1" fillId="0" borderId="0" xfId="0" applyNumberFormat="1" applyFont="1" applyFill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/>
    <xf numFmtId="0" fontId="1" fillId="0" borderId="14" xfId="0" applyFont="1" applyBorder="1"/>
    <xf numFmtId="0" fontId="1" fillId="0" borderId="5" xfId="0" applyFont="1" applyBorder="1"/>
    <xf numFmtId="0" fontId="0" fillId="0" borderId="12" xfId="0" applyBorder="1"/>
    <xf numFmtId="0" fontId="1" fillId="0" borderId="15" xfId="0" applyFont="1" applyBorder="1"/>
    <xf numFmtId="0" fontId="0" fillId="0" borderId="0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10" xfId="0" applyFill="1" applyBorder="1"/>
    <xf numFmtId="0" fontId="4" fillId="0" borderId="17" xfId="0" applyFont="1" applyBorder="1"/>
    <xf numFmtId="49" fontId="4" fillId="0" borderId="17" xfId="0" applyNumberFormat="1" applyFont="1" applyBorder="1" applyAlignment="1">
      <alignment wrapText="1"/>
    </xf>
    <xf numFmtId="49" fontId="3" fillId="0" borderId="17" xfId="0" applyNumberFormat="1" applyFont="1" applyBorder="1" applyAlignment="1">
      <alignment wrapText="1"/>
    </xf>
    <xf numFmtId="0" fontId="1" fillId="0" borderId="5" xfId="0" applyFont="1" applyBorder="1" applyAlignment="1">
      <alignment horizontal="center"/>
    </xf>
    <xf numFmtId="0" fontId="1" fillId="0" borderId="14" xfId="0" applyFont="1" applyBorder="1" applyAlignment="1">
      <alignment horizontal="center" wrapText="1"/>
    </xf>
    <xf numFmtId="0" fontId="1" fillId="0" borderId="15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Fill="1" applyBorder="1"/>
    <xf numFmtId="0" fontId="3" fillId="0" borderId="12" xfId="0" applyFont="1" applyBorder="1"/>
    <xf numFmtId="49" fontId="3" fillId="0" borderId="12" xfId="0" applyNumberFormat="1" applyFont="1" applyBorder="1" applyAlignment="1">
      <alignment wrapText="1"/>
    </xf>
    <xf numFmtId="0" fontId="3" fillId="0" borderId="13" xfId="0" applyFont="1" applyBorder="1"/>
    <xf numFmtId="0" fontId="0" fillId="0" borderId="13" xfId="0" applyBorder="1"/>
    <xf numFmtId="0" fontId="4" fillId="0" borderId="12" xfId="0" applyFont="1" applyFill="1" applyBorder="1"/>
    <xf numFmtId="0" fontId="4" fillId="0" borderId="13" xfId="0" applyFont="1" applyFill="1" applyBorder="1"/>
    <xf numFmtId="49" fontId="4" fillId="0" borderId="0" xfId="0" applyNumberFormat="1" applyFont="1" applyFill="1" applyAlignment="1">
      <alignment wrapText="1"/>
    </xf>
    <xf numFmtId="0" fontId="4" fillId="0" borderId="11" xfId="0" applyFont="1" applyFill="1" applyBorder="1"/>
    <xf numFmtId="0" fontId="0" fillId="5" borderId="6" xfId="0" applyFill="1" applyBorder="1"/>
    <xf numFmtId="0" fontId="0" fillId="5" borderId="8" xfId="0" applyFill="1" applyBorder="1"/>
    <xf numFmtId="0" fontId="0" fillId="7" borderId="7" xfId="0" applyFill="1" applyBorder="1"/>
    <xf numFmtId="0" fontId="0" fillId="7" borderId="10" xfId="0" applyFill="1" applyBorder="1"/>
    <xf numFmtId="0" fontId="1" fillId="0" borderId="0" xfId="0" applyFont="1" applyFill="1" applyAlignment="1">
      <alignment wrapText="1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 wrapText="1"/>
    </xf>
    <xf numFmtId="4" fontId="0" fillId="0" borderId="0" xfId="0" applyNumberFormat="1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7" xfId="0" applyBorder="1" applyAlignment="1">
      <alignment vertical="center" wrapText="1"/>
    </xf>
    <xf numFmtId="4" fontId="0" fillId="0" borderId="12" xfId="0" applyNumberFormat="1" applyBorder="1" applyAlignment="1">
      <alignment vertical="center" wrapText="1"/>
    </xf>
    <xf numFmtId="0" fontId="0" fillId="0" borderId="2" xfId="0" applyFill="1" applyBorder="1"/>
    <xf numFmtId="0" fontId="0" fillId="0" borderId="0" xfId="0" applyAlignment="1">
      <alignment horizontal="center" vertical="center" wrapText="1"/>
    </xf>
    <xf numFmtId="164" fontId="0" fillId="0" borderId="0" xfId="0" applyNumberFormat="1"/>
    <xf numFmtId="164" fontId="1" fillId="0" borderId="0" xfId="0" applyNumberFormat="1" applyFont="1"/>
    <xf numFmtId="0" fontId="1" fillId="0" borderId="0" xfId="0" applyFont="1" applyAlignment="1">
      <alignment horizontal="center"/>
    </xf>
    <xf numFmtId="0" fontId="1" fillId="8" borderId="0" xfId="0" applyFont="1" applyFill="1" applyAlignment="1">
      <alignment horizontal="center"/>
    </xf>
    <xf numFmtId="4" fontId="1" fillId="0" borderId="0" xfId="0" applyNumberFormat="1" applyFont="1" applyAlignment="1">
      <alignment horizontal="center"/>
    </xf>
    <xf numFmtId="4" fontId="1" fillId="0" borderId="2" xfId="0" applyNumberFormat="1" applyFont="1" applyBorder="1"/>
    <xf numFmtId="3" fontId="5" fillId="0" borderId="0" xfId="0" applyNumberFormat="1" applyFont="1"/>
    <xf numFmtId="0" fontId="0" fillId="0" borderId="0" xfId="0" applyFont="1"/>
    <xf numFmtId="0" fontId="1" fillId="0" borderId="2" xfId="0" applyFont="1" applyFill="1" applyBorder="1"/>
    <xf numFmtId="2" fontId="0" fillId="0" borderId="0" xfId="0" applyNumberFormat="1"/>
    <xf numFmtId="0" fontId="1" fillId="5" borderId="0" xfId="0" applyFont="1" applyFill="1"/>
    <xf numFmtId="0" fontId="1" fillId="0" borderId="0" xfId="0" applyFont="1" applyBorder="1"/>
    <xf numFmtId="4" fontId="0" fillId="0" borderId="0" xfId="0" applyNumberForma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" fontId="0" fillId="0" borderId="6" xfId="0" applyNumberFormat="1" applyBorder="1"/>
    <xf numFmtId="4" fontId="1" fillId="0" borderId="14" xfId="0" applyNumberFormat="1" applyFont="1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1" fillId="0" borderId="6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15" xfId="0" applyFont="1" applyBorder="1" applyAlignment="1">
      <alignment horizontal="center"/>
    </xf>
    <xf numFmtId="0" fontId="1" fillId="0" borderId="3" xfId="0" applyFont="1" applyBorder="1"/>
    <xf numFmtId="3" fontId="0" fillId="0" borderId="3" xfId="0" applyNumberFormat="1" applyBorder="1"/>
    <xf numFmtId="0" fontId="6" fillId="0" borderId="17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49" fontId="10" fillId="3" borderId="0" xfId="0" applyNumberFormat="1" applyFont="1" applyFill="1" applyAlignment="1">
      <alignment horizontal="right" wrapText="1"/>
    </xf>
    <xf numFmtId="4" fontId="10" fillId="3" borderId="0" xfId="0" applyNumberFormat="1" applyFont="1" applyFill="1" applyBorder="1"/>
    <xf numFmtId="2" fontId="11" fillId="3" borderId="0" xfId="0" applyNumberFormat="1" applyFont="1" applyFill="1"/>
    <xf numFmtId="0" fontId="11" fillId="0" borderId="0" xfId="0" applyFont="1"/>
    <xf numFmtId="1" fontId="11" fillId="3" borderId="0" xfId="0" applyNumberFormat="1" applyFont="1" applyFill="1" applyAlignment="1">
      <alignment wrapText="1"/>
    </xf>
    <xf numFmtId="0" fontId="6" fillId="0" borderId="19" xfId="0" applyFont="1" applyBorder="1"/>
    <xf numFmtId="0" fontId="10" fillId="0" borderId="18" xfId="0" applyFont="1" applyBorder="1"/>
    <xf numFmtId="0" fontId="11" fillId="0" borderId="18" xfId="0" applyFont="1" applyBorder="1"/>
    <xf numFmtId="0" fontId="6" fillId="0" borderId="0" xfId="0" applyFont="1"/>
    <xf numFmtId="0" fontId="1" fillId="5" borderId="3" xfId="0" applyFont="1" applyFill="1" applyBorder="1"/>
    <xf numFmtId="0" fontId="1" fillId="5" borderId="0" xfId="0" applyFont="1" applyFill="1" applyAlignment="1"/>
    <xf numFmtId="0" fontId="4" fillId="9" borderId="3" xfId="0" applyFont="1" applyFill="1" applyBorder="1"/>
    <xf numFmtId="0" fontId="1" fillId="5" borderId="3" xfId="0" applyFont="1" applyFill="1" applyBorder="1" applyAlignment="1">
      <alignment horizontal="center"/>
    </xf>
    <xf numFmtId="0" fontId="4" fillId="9" borderId="14" xfId="0" applyFont="1" applyFill="1" applyBorder="1"/>
    <xf numFmtId="3" fontId="0" fillId="0" borderId="20" xfId="0" applyNumberFormat="1" applyBorder="1"/>
    <xf numFmtId="3" fontId="0" fillId="0" borderId="21" xfId="0" applyNumberFormat="1" applyBorder="1"/>
    <xf numFmtId="3" fontId="0" fillId="0" borderId="22" xfId="0" applyNumberFormat="1" applyBorder="1"/>
    <xf numFmtId="3" fontId="0" fillId="0" borderId="23" xfId="0" applyNumberFormat="1" applyBorder="1"/>
    <xf numFmtId="0" fontId="1" fillId="0" borderId="22" xfId="0" applyFont="1" applyBorder="1"/>
    <xf numFmtId="0" fontId="1" fillId="0" borderId="23" xfId="0" applyFont="1" applyBorder="1"/>
    <xf numFmtId="0" fontId="0" fillId="0" borderId="22" xfId="0" applyBorder="1"/>
    <xf numFmtId="0" fontId="0" fillId="0" borderId="23" xfId="0" applyBorder="1"/>
    <xf numFmtId="0" fontId="0" fillId="0" borderId="17" xfId="0" applyBorder="1"/>
    <xf numFmtId="0" fontId="0" fillId="0" borderId="26" xfId="0" applyBorder="1"/>
    <xf numFmtId="0" fontId="3" fillId="0" borderId="3" xfId="0" applyFont="1" applyFill="1" applyBorder="1"/>
    <xf numFmtId="3" fontId="1" fillId="0" borderId="3" xfId="0" applyNumberFormat="1" applyFont="1" applyBorder="1"/>
    <xf numFmtId="3" fontId="1" fillId="0" borderId="24" xfId="0" applyNumberFormat="1" applyFont="1" applyBorder="1"/>
    <xf numFmtId="3" fontId="1" fillId="0" borderId="25" xfId="0" applyNumberFormat="1" applyFont="1" applyBorder="1"/>
    <xf numFmtId="0" fontId="12" fillId="0" borderId="17" xfId="0" applyFont="1" applyBorder="1"/>
    <xf numFmtId="49" fontId="13" fillId="0" borderId="17" xfId="0" applyNumberFormat="1" applyFont="1" applyBorder="1" applyAlignment="1">
      <alignment wrapText="1"/>
    </xf>
    <xf numFmtId="0" fontId="0" fillId="0" borderId="14" xfId="0" applyFont="1" applyBorder="1" applyAlignment="1">
      <alignment horizontal="center" wrapText="1"/>
    </xf>
    <xf numFmtId="3" fontId="12" fillId="4" borderId="11" xfId="0" applyNumberFormat="1" applyFont="1" applyFill="1" applyBorder="1"/>
    <xf numFmtId="0" fontId="0" fillId="5" borderId="11" xfId="0" applyFont="1" applyFill="1" applyBorder="1"/>
    <xf numFmtId="0" fontId="0" fillId="6" borderId="11" xfId="0" applyFont="1" applyFill="1" applyBorder="1"/>
    <xf numFmtId="0" fontId="0" fillId="0" borderId="4" xfId="0" applyFont="1" applyBorder="1"/>
    <xf numFmtId="3" fontId="14" fillId="4" borderId="3" xfId="0" applyNumberFormat="1" applyFont="1" applyFill="1" applyBorder="1" applyAlignment="1">
      <alignment horizontal="right"/>
    </xf>
    <xf numFmtId="3" fontId="0" fillId="0" borderId="0" xfId="0" applyNumberFormat="1" applyFont="1"/>
    <xf numFmtId="3" fontId="0" fillId="5" borderId="3" xfId="0" applyNumberFormat="1" applyFont="1" applyFill="1" applyBorder="1"/>
    <xf numFmtId="3" fontId="12" fillId="4" borderId="12" xfId="0" applyNumberFormat="1" applyFont="1" applyFill="1" applyBorder="1"/>
    <xf numFmtId="0" fontId="0" fillId="0" borderId="6" xfId="0" applyFont="1" applyBorder="1"/>
    <xf numFmtId="0" fontId="0" fillId="5" borderId="3" xfId="0" applyFont="1" applyFill="1" applyBorder="1"/>
    <xf numFmtId="3" fontId="12" fillId="4" borderId="13" xfId="0" applyNumberFormat="1" applyFont="1" applyFill="1" applyBorder="1"/>
    <xf numFmtId="0" fontId="0" fillId="0" borderId="8" xfId="0" applyFont="1" applyBorder="1"/>
    <xf numFmtId="0" fontId="12" fillId="0" borderId="12" xfId="0" applyFont="1" applyFill="1" applyBorder="1"/>
    <xf numFmtId="0" fontId="0" fillId="0" borderId="0" xfId="0" applyFont="1" applyBorder="1"/>
    <xf numFmtId="0" fontId="12" fillId="0" borderId="16" xfId="0" applyFont="1" applyBorder="1"/>
    <xf numFmtId="0" fontId="0" fillId="0" borderId="11" xfId="0" applyFont="1" applyBorder="1"/>
    <xf numFmtId="49" fontId="12" fillId="0" borderId="17" xfId="0" applyNumberFormat="1" applyFont="1" applyBorder="1" applyAlignment="1">
      <alignment wrapText="1"/>
    </xf>
    <xf numFmtId="0" fontId="0" fillId="0" borderId="12" xfId="0" applyFont="1" applyBorder="1"/>
    <xf numFmtId="0" fontId="0" fillId="0" borderId="13" xfId="0" applyFont="1" applyBorder="1"/>
    <xf numFmtId="0" fontId="12" fillId="0" borderId="0" xfId="0" applyFont="1" applyFill="1" applyBorder="1"/>
    <xf numFmtId="0" fontId="12" fillId="0" borderId="0" xfId="0" applyFont="1" applyFill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Border="1" applyAlignment="1">
      <alignment vertical="center" wrapText="1"/>
    </xf>
    <xf numFmtId="2" fontId="0" fillId="0" borderId="0" xfId="0" applyNumberFormat="1" applyBorder="1"/>
    <xf numFmtId="3" fontId="0" fillId="0" borderId="0" xfId="0" applyNumberFormat="1" applyBorder="1"/>
    <xf numFmtId="0" fontId="0" fillId="0" borderId="10" xfId="0" applyBorder="1" applyAlignment="1">
      <alignment vertical="center" wrapText="1"/>
    </xf>
    <xf numFmtId="2" fontId="0" fillId="0" borderId="9" xfId="0" applyNumberFormat="1" applyBorder="1"/>
    <xf numFmtId="3" fontId="0" fillId="0" borderId="9" xfId="0" applyNumberFormat="1" applyBorder="1"/>
    <xf numFmtId="165" fontId="0" fillId="0" borderId="0" xfId="0" applyNumberFormat="1" applyBorder="1"/>
    <xf numFmtId="0" fontId="0" fillId="0" borderId="0" xfId="0" applyAlignment="1">
      <alignment horizontal="center"/>
    </xf>
    <xf numFmtId="0" fontId="0" fillId="0" borderId="16" xfId="0" applyBorder="1"/>
    <xf numFmtId="0" fontId="1" fillId="0" borderId="30" xfId="0" applyFont="1" applyBorder="1"/>
    <xf numFmtId="0" fontId="1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0" borderId="17" xfId="0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1" fillId="0" borderId="20" xfId="0" applyFont="1" applyBorder="1"/>
    <xf numFmtId="1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13" borderId="24" xfId="0" applyFont="1" applyFill="1" applyBorder="1"/>
    <xf numFmtId="1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14" borderId="29" xfId="0" applyFont="1" applyFill="1" applyBorder="1" applyAlignment="1">
      <alignment horizontal="center"/>
    </xf>
    <xf numFmtId="0" fontId="1" fillId="14" borderId="16" xfId="0" applyFont="1" applyFill="1" applyBorder="1" applyAlignment="1">
      <alignment horizontal="center"/>
    </xf>
    <xf numFmtId="0" fontId="1" fillId="14" borderId="30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33" xfId="0" applyFon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34" xfId="0" applyBorder="1"/>
    <xf numFmtId="0" fontId="0" fillId="0" borderId="33" xfId="0" applyBorder="1"/>
    <xf numFmtId="0" fontId="0" fillId="0" borderId="35" xfId="0" applyBorder="1"/>
    <xf numFmtId="0" fontId="1" fillId="1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11" fontId="0" fillId="0" borderId="0" xfId="0" applyNumberFormat="1"/>
    <xf numFmtId="49" fontId="13" fillId="0" borderId="11" xfId="0" applyNumberFormat="1" applyFont="1" applyFill="1" applyBorder="1" applyAlignment="1">
      <alignment horizontal="center" wrapText="1"/>
    </xf>
    <xf numFmtId="49" fontId="13" fillId="0" borderId="12" xfId="0" applyNumberFormat="1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49" fontId="13" fillId="0" borderId="13" xfId="0" applyNumberFormat="1" applyFont="1" applyFill="1" applyBorder="1" applyAlignment="1">
      <alignment horizontal="center" wrapText="1"/>
    </xf>
    <xf numFmtId="0" fontId="1" fillId="5" borderId="27" xfId="0" applyFont="1" applyFill="1" applyBorder="1" applyAlignment="1">
      <alignment horizontal="center"/>
    </xf>
    <xf numFmtId="0" fontId="1" fillId="5" borderId="28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4" fillId="0" borderId="11" xfId="0" applyNumberFormat="1" applyFont="1" applyFill="1" applyBorder="1" applyAlignment="1">
      <alignment horizontal="center" wrapText="1"/>
    </xf>
    <xf numFmtId="49" fontId="4" fillId="0" borderId="13" xfId="0" applyNumberFormat="1" applyFont="1" applyFill="1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166" fontId="6" fillId="3" borderId="0" xfId="0" applyNumberFormat="1" applyFont="1" applyFill="1" applyAlignment="1">
      <alignment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uardo\AppData\Roaming\Microsoft\Excel\Prime%20Salt2017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Dropbox/UPF%20model/Modelo%20All%20cause%20mortality%20Ersatz%20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&amp; Counterfactual"/>
      <sheetName val="Population &amp; Mortality"/>
      <sheetName val="Results"/>
      <sheetName val="MC_Results"/>
      <sheetName val="Parameters"/>
      <sheetName val="FruitVeg"/>
      <sheetName val="Fibre"/>
      <sheetName val="Fibre ONLY"/>
      <sheetName val="Salt"/>
      <sheetName val="Salt ONLY"/>
      <sheetName val="Fats"/>
      <sheetName val="Fats ONLY"/>
      <sheetName val="BMI"/>
      <sheetName val="BMI ONLY"/>
      <sheetName val="PA"/>
      <sheetName val="PA ONLY"/>
      <sheetName val="BMI and PA ONLY"/>
      <sheetName val="Alcohol"/>
      <sheetName val="Alcohol ONLY"/>
      <sheetName val="Smoking"/>
      <sheetName val="Smoking ONLY"/>
      <sheetName val="Notes"/>
      <sheetName val="Names"/>
    </sheetNames>
    <sheetDataSet>
      <sheetData sheetId="0">
        <row r="4">
          <cell r="L4">
            <v>14.13677</v>
          </cell>
          <cell r="M4">
            <v>5.9901567796610173</v>
          </cell>
          <cell r="AA4">
            <v>5</v>
          </cell>
          <cell r="AB4">
            <v>2.1276595744680851</v>
          </cell>
        </row>
        <row r="5">
          <cell r="L5">
            <v>13.837299999999999</v>
          </cell>
          <cell r="M5">
            <v>5.8632627118644072</v>
          </cell>
          <cell r="AA5">
            <v>5</v>
          </cell>
          <cell r="AB5">
            <v>2.1276595744680851</v>
          </cell>
        </row>
        <row r="6">
          <cell r="L6">
            <v>14.099320000000001</v>
          </cell>
          <cell r="M6">
            <v>5.9742881355932207</v>
          </cell>
          <cell r="AA6">
            <v>5</v>
          </cell>
          <cell r="AB6">
            <v>2.1276595744680851</v>
          </cell>
        </row>
        <row r="7">
          <cell r="L7">
            <v>13.986610000000001</v>
          </cell>
          <cell r="M7">
            <v>5.9265296610169491</v>
          </cell>
          <cell r="AA7">
            <v>5</v>
          </cell>
          <cell r="AB7">
            <v>2.1276595744680851</v>
          </cell>
        </row>
        <row r="8">
          <cell r="L8">
            <v>14.17756</v>
          </cell>
          <cell r="M8">
            <v>6.0074406779661018</v>
          </cell>
          <cell r="AA8">
            <v>5</v>
          </cell>
          <cell r="AB8">
            <v>2.1276595744680851</v>
          </cell>
        </row>
        <row r="9">
          <cell r="L9">
            <v>13.678690000000001</v>
          </cell>
          <cell r="M9">
            <v>5.7960550847457624</v>
          </cell>
          <cell r="AA9">
            <v>5</v>
          </cell>
          <cell r="AB9">
            <v>2.1276595744680851</v>
          </cell>
        </row>
        <row r="10">
          <cell r="L10">
            <v>13.569610000000001</v>
          </cell>
          <cell r="M10">
            <v>5.7498347457627119</v>
          </cell>
          <cell r="AA10">
            <v>5</v>
          </cell>
          <cell r="AB10">
            <v>2.1276595744680851</v>
          </cell>
        </row>
        <row r="11">
          <cell r="L11">
            <v>13.24682</v>
          </cell>
          <cell r="M11">
            <v>5.6130593220338989</v>
          </cell>
          <cell r="AA11">
            <v>5</v>
          </cell>
          <cell r="AB11">
            <v>2.1276595744680851</v>
          </cell>
        </row>
        <row r="12">
          <cell r="L12">
            <v>12.910260000000001</v>
          </cell>
          <cell r="M12">
            <v>5.4704491525423729</v>
          </cell>
          <cell r="AA12">
            <v>5</v>
          </cell>
          <cell r="AB12">
            <v>2.1276595744680851</v>
          </cell>
        </row>
        <row r="13">
          <cell r="L13">
            <v>12.70365</v>
          </cell>
          <cell r="M13">
            <v>5.3829025423728813</v>
          </cell>
          <cell r="AA13">
            <v>5</v>
          </cell>
          <cell r="AB13">
            <v>2.1276595744680851</v>
          </cell>
        </row>
        <row r="14">
          <cell r="L14">
            <v>12.691370000000001</v>
          </cell>
          <cell r="M14">
            <v>5.3776991525423732</v>
          </cell>
          <cell r="AA14">
            <v>5</v>
          </cell>
          <cell r="AB14">
            <v>2.1276595744680851</v>
          </cell>
        </row>
        <row r="15">
          <cell r="L15">
            <v>12.047799999999999</v>
          </cell>
          <cell r="M15">
            <v>5.1050000000000004</v>
          </cell>
          <cell r="AA15">
            <v>5</v>
          </cell>
          <cell r="AB15">
            <v>2.1276595744680851</v>
          </cell>
        </row>
        <row r="16">
          <cell r="L16">
            <v>11.1136</v>
          </cell>
          <cell r="M16">
            <v>4.7091525423728813</v>
          </cell>
          <cell r="AA16">
            <v>5</v>
          </cell>
          <cell r="AB16">
            <v>2.1276595744680851</v>
          </cell>
        </row>
        <row r="17">
          <cell r="L17">
            <v>10.74291</v>
          </cell>
          <cell r="M17">
            <v>4.5520805084745763</v>
          </cell>
          <cell r="AA17">
            <v>5</v>
          </cell>
          <cell r="AB17">
            <v>2.1276595744680851</v>
          </cell>
        </row>
        <row r="18">
          <cell r="L18">
            <v>10.74291</v>
          </cell>
          <cell r="M18">
            <v>4.5520805084745763</v>
          </cell>
          <cell r="AA18">
            <v>5</v>
          </cell>
          <cell r="AB18">
            <v>2.1276595744680851</v>
          </cell>
        </row>
        <row r="20">
          <cell r="L20">
            <v>10.972100000000001</v>
          </cell>
          <cell r="M20">
            <v>4.6491949152542373</v>
          </cell>
          <cell r="AA20">
            <v>5</v>
          </cell>
          <cell r="AB20">
            <v>2.1276595744680851</v>
          </cell>
        </row>
        <row r="21">
          <cell r="L21">
            <v>11.074399999999999</v>
          </cell>
          <cell r="M21">
            <v>4.6925423728813556</v>
          </cell>
          <cell r="AA21">
            <v>5</v>
          </cell>
          <cell r="AB21">
            <v>2.1276595744680851</v>
          </cell>
        </row>
        <row r="22">
          <cell r="L22">
            <v>10.92656</v>
          </cell>
          <cell r="M22">
            <v>4.6298983050847458</v>
          </cell>
          <cell r="AA22">
            <v>5</v>
          </cell>
          <cell r="AB22">
            <v>2.1276595744680851</v>
          </cell>
        </row>
        <row r="23">
          <cell r="L23">
            <v>10.723090000000001</v>
          </cell>
          <cell r="M23">
            <v>4.5436822033898299</v>
          </cell>
          <cell r="AA23">
            <v>5</v>
          </cell>
          <cell r="AB23">
            <v>2.1276595744680851</v>
          </cell>
        </row>
        <row r="24">
          <cell r="L24">
            <v>10.726899999999999</v>
          </cell>
          <cell r="M24">
            <v>4.5452966101694914</v>
          </cell>
          <cell r="AA24">
            <v>5</v>
          </cell>
          <cell r="AB24">
            <v>2.1276595744680851</v>
          </cell>
        </row>
        <row r="25">
          <cell r="L25">
            <v>10.54102</v>
          </cell>
          <cell r="M25">
            <v>4.4665338983050855</v>
          </cell>
          <cell r="AA25">
            <v>5</v>
          </cell>
          <cell r="AB25">
            <v>2.1276595744680851</v>
          </cell>
        </row>
        <row r="26">
          <cell r="L26">
            <v>10.31681</v>
          </cell>
          <cell r="M26">
            <v>4.3715296610169485</v>
          </cell>
          <cell r="AA26">
            <v>5</v>
          </cell>
          <cell r="AB26">
            <v>2.1276595744680851</v>
          </cell>
        </row>
        <row r="27">
          <cell r="L27">
            <v>10.399709999999999</v>
          </cell>
          <cell r="M27">
            <v>4.4066567796610165</v>
          </cell>
          <cell r="AA27">
            <v>5</v>
          </cell>
          <cell r="AB27">
            <v>2.1276595744680851</v>
          </cell>
        </row>
        <row r="28">
          <cell r="L28">
            <v>10.293989999999999</v>
          </cell>
          <cell r="M28">
            <v>4.3618601694915249</v>
          </cell>
          <cell r="AA28">
            <v>5</v>
          </cell>
          <cell r="AB28">
            <v>2.1276595744680851</v>
          </cell>
        </row>
        <row r="29">
          <cell r="L29">
            <v>10.01491</v>
          </cell>
          <cell r="M29">
            <v>4.2436059322033897</v>
          </cell>
          <cell r="AA29">
            <v>5</v>
          </cell>
          <cell r="AB29">
            <v>2.1276595744680851</v>
          </cell>
        </row>
        <row r="30">
          <cell r="L30">
            <v>10.18478</v>
          </cell>
          <cell r="M30">
            <v>4.3155847457627123</v>
          </cell>
          <cell r="AA30">
            <v>5</v>
          </cell>
          <cell r="AB30">
            <v>2.1276595744680851</v>
          </cell>
        </row>
        <row r="31">
          <cell r="L31">
            <v>10.217229999999999</v>
          </cell>
          <cell r="M31">
            <v>4.3293347457627114</v>
          </cell>
          <cell r="AA31">
            <v>5</v>
          </cell>
          <cell r="AB31">
            <v>2.1276595744680851</v>
          </cell>
        </row>
        <row r="32">
          <cell r="L32">
            <v>9.7966740000000012</v>
          </cell>
          <cell r="M32">
            <v>4.1511330508474575</v>
          </cell>
          <cell r="AA32">
            <v>5</v>
          </cell>
          <cell r="AB32">
            <v>2.1276595744680851</v>
          </cell>
        </row>
        <row r="33">
          <cell r="L33">
            <v>9.8872769999999992</v>
          </cell>
          <cell r="M33">
            <v>4.189524152542373</v>
          </cell>
          <cell r="AA33">
            <v>5</v>
          </cell>
          <cell r="AB33">
            <v>2.1276595744680851</v>
          </cell>
        </row>
        <row r="34">
          <cell r="L34">
            <v>9.8872769999999992</v>
          </cell>
          <cell r="M34">
            <v>4.189524152542373</v>
          </cell>
          <cell r="AA34">
            <v>5</v>
          </cell>
          <cell r="AB34">
            <v>2.1276595744680851</v>
          </cell>
        </row>
      </sheetData>
      <sheetData sheetId="1">
        <row r="4">
          <cell r="B4">
            <v>8710079</v>
          </cell>
          <cell r="C4">
            <v>8430049</v>
          </cell>
        </row>
        <row r="5">
          <cell r="B5">
            <v>8621967</v>
          </cell>
          <cell r="C5">
            <v>8434408</v>
          </cell>
        </row>
        <row r="6">
          <cell r="B6">
            <v>8634062</v>
          </cell>
          <cell r="C6">
            <v>8542758</v>
          </cell>
        </row>
        <row r="7">
          <cell r="B7">
            <v>8816350</v>
          </cell>
          <cell r="C7">
            <v>8821067</v>
          </cell>
        </row>
        <row r="8">
          <cell r="B8">
            <v>7879629</v>
          </cell>
          <cell r="C8">
            <v>7976620</v>
          </cell>
        </row>
        <row r="9">
          <cell r="B9">
            <v>6882229</v>
          </cell>
          <cell r="C9">
            <v>7062001</v>
          </cell>
        </row>
        <row r="10">
          <cell r="B10">
            <v>6266088</v>
          </cell>
          <cell r="C10">
            <v>6536311</v>
          </cell>
        </row>
        <row r="11">
          <cell r="B11">
            <v>5659602</v>
          </cell>
          <cell r="C11">
            <v>6027703</v>
          </cell>
        </row>
        <row r="12">
          <cell r="B12">
            <v>4678702</v>
          </cell>
          <cell r="C12">
            <v>5120890</v>
          </cell>
        </row>
        <row r="13">
          <cell r="B13">
            <v>3655025</v>
          </cell>
          <cell r="C13">
            <v>4141984</v>
          </cell>
        </row>
        <row r="14">
          <cell r="B14">
            <v>2672043</v>
          </cell>
          <cell r="C14">
            <v>3172657</v>
          </cell>
        </row>
        <row r="15">
          <cell r="B15">
            <v>1793543</v>
          </cell>
          <cell r="C15">
            <v>2283021</v>
          </cell>
        </row>
        <row r="16">
          <cell r="B16">
            <v>1222286</v>
          </cell>
          <cell r="C16">
            <v>1691282</v>
          </cell>
        </row>
        <row r="17">
          <cell r="B17">
            <v>623387.5</v>
          </cell>
          <cell r="C17">
            <v>1031099</v>
          </cell>
        </row>
        <row r="18">
          <cell r="B18">
            <v>623387.5</v>
          </cell>
          <cell r="C18">
            <v>1031099</v>
          </cell>
        </row>
        <row r="22">
          <cell r="B22">
            <v>91</v>
          </cell>
          <cell r="C22">
            <v>75</v>
          </cell>
          <cell r="N22">
            <v>7</v>
          </cell>
          <cell r="U22">
            <v>23</v>
          </cell>
          <cell r="V22">
            <v>9</v>
          </cell>
          <cell r="W22">
            <v>7</v>
          </cell>
          <cell r="X22">
            <v>14</v>
          </cell>
        </row>
        <row r="23">
          <cell r="B23">
            <v>130</v>
          </cell>
          <cell r="C23">
            <v>197</v>
          </cell>
          <cell r="N23">
            <v>57</v>
          </cell>
          <cell r="U23">
            <v>38</v>
          </cell>
          <cell r="V23">
            <v>20</v>
          </cell>
          <cell r="W23">
            <v>25</v>
          </cell>
          <cell r="X23">
            <v>17</v>
          </cell>
        </row>
        <row r="24">
          <cell r="B24">
            <v>170</v>
          </cell>
          <cell r="C24">
            <v>280</v>
          </cell>
          <cell r="N24">
            <v>63</v>
          </cell>
          <cell r="U24">
            <v>45</v>
          </cell>
          <cell r="V24">
            <v>28</v>
          </cell>
          <cell r="W24">
            <v>42</v>
          </cell>
          <cell r="X24">
            <v>27</v>
          </cell>
        </row>
        <row r="25">
          <cell r="B25">
            <v>301</v>
          </cell>
          <cell r="C25">
            <v>517</v>
          </cell>
          <cell r="N25">
            <v>128</v>
          </cell>
          <cell r="U25">
            <v>64</v>
          </cell>
          <cell r="V25">
            <v>43</v>
          </cell>
          <cell r="W25">
            <v>59</v>
          </cell>
          <cell r="X25">
            <v>25</v>
          </cell>
        </row>
        <row r="26">
          <cell r="B26">
            <v>536</v>
          </cell>
          <cell r="C26">
            <v>955</v>
          </cell>
          <cell r="N26">
            <v>250</v>
          </cell>
          <cell r="U26">
            <v>128</v>
          </cell>
          <cell r="V26">
            <v>83</v>
          </cell>
          <cell r="W26">
            <v>99</v>
          </cell>
          <cell r="X26">
            <v>30</v>
          </cell>
        </row>
        <row r="27">
          <cell r="B27">
            <v>986</v>
          </cell>
          <cell r="C27">
            <v>1801</v>
          </cell>
          <cell r="N27">
            <v>369</v>
          </cell>
          <cell r="U27">
            <v>206</v>
          </cell>
          <cell r="V27">
            <v>115</v>
          </cell>
          <cell r="W27">
            <v>136</v>
          </cell>
          <cell r="X27">
            <v>31</v>
          </cell>
        </row>
        <row r="28">
          <cell r="B28">
            <v>1489</v>
          </cell>
          <cell r="C28">
            <v>2954</v>
          </cell>
          <cell r="N28">
            <v>749</v>
          </cell>
          <cell r="U28">
            <v>298</v>
          </cell>
          <cell r="V28">
            <v>191</v>
          </cell>
          <cell r="W28">
            <v>151</v>
          </cell>
          <cell r="X28">
            <v>37</v>
          </cell>
        </row>
        <row r="29">
          <cell r="B29">
            <v>2441</v>
          </cell>
          <cell r="C29">
            <v>4951</v>
          </cell>
          <cell r="N29">
            <v>1268</v>
          </cell>
          <cell r="U29">
            <v>463</v>
          </cell>
          <cell r="V29">
            <v>267</v>
          </cell>
          <cell r="W29">
            <v>173</v>
          </cell>
          <cell r="X29">
            <v>60</v>
          </cell>
        </row>
        <row r="30">
          <cell r="B30">
            <v>3393</v>
          </cell>
          <cell r="C30">
            <v>6712</v>
          </cell>
          <cell r="N30">
            <v>1702</v>
          </cell>
          <cell r="U30">
            <v>752</v>
          </cell>
          <cell r="V30">
            <v>361</v>
          </cell>
          <cell r="W30">
            <v>233</v>
          </cell>
          <cell r="X30">
            <v>62</v>
          </cell>
        </row>
        <row r="31">
          <cell r="B31">
            <v>4803</v>
          </cell>
          <cell r="C31">
            <v>8385</v>
          </cell>
          <cell r="N31">
            <v>2328</v>
          </cell>
          <cell r="U31">
            <v>1117</v>
          </cell>
          <cell r="V31">
            <v>519</v>
          </cell>
          <cell r="W31">
            <v>262</v>
          </cell>
          <cell r="X31">
            <v>67</v>
          </cell>
        </row>
        <row r="32">
          <cell r="B32">
            <v>5990</v>
          </cell>
          <cell r="C32">
            <v>8999</v>
          </cell>
          <cell r="N32">
            <v>2758</v>
          </cell>
          <cell r="U32">
            <v>1375</v>
          </cell>
          <cell r="V32">
            <v>697</v>
          </cell>
          <cell r="W32">
            <v>291</v>
          </cell>
          <cell r="X32">
            <v>81</v>
          </cell>
        </row>
        <row r="33">
          <cell r="B33">
            <v>6818</v>
          </cell>
          <cell r="C33">
            <v>8680</v>
          </cell>
          <cell r="N33">
            <v>3025</v>
          </cell>
          <cell r="U33">
            <v>1595</v>
          </cell>
          <cell r="V33">
            <v>649</v>
          </cell>
          <cell r="W33">
            <v>306</v>
          </cell>
          <cell r="X33">
            <v>67</v>
          </cell>
        </row>
        <row r="34">
          <cell r="B34">
            <v>7436</v>
          </cell>
          <cell r="C34">
            <v>7992</v>
          </cell>
          <cell r="N34">
            <v>3164</v>
          </cell>
          <cell r="U34">
            <v>1906</v>
          </cell>
          <cell r="V34">
            <v>655</v>
          </cell>
          <cell r="W34">
            <v>299</v>
          </cell>
          <cell r="X34">
            <v>64</v>
          </cell>
        </row>
        <row r="35">
          <cell r="B35">
            <v>8089</v>
          </cell>
          <cell r="C35">
            <v>7312</v>
          </cell>
          <cell r="N35">
            <v>4420</v>
          </cell>
          <cell r="U35">
            <v>2548</v>
          </cell>
          <cell r="V35">
            <v>450</v>
          </cell>
          <cell r="W35">
            <v>375</v>
          </cell>
          <cell r="X35">
            <v>54</v>
          </cell>
        </row>
        <row r="36">
          <cell r="B36">
            <v>8089</v>
          </cell>
          <cell r="C36">
            <v>7311</v>
          </cell>
          <cell r="N36">
            <v>4419</v>
          </cell>
          <cell r="U36">
            <v>2547</v>
          </cell>
          <cell r="V36">
            <v>450</v>
          </cell>
          <cell r="W36">
            <v>374</v>
          </cell>
          <cell r="X36">
            <v>53</v>
          </cell>
        </row>
        <row r="39">
          <cell r="B39">
            <v>62</v>
          </cell>
          <cell r="C39">
            <v>20</v>
          </cell>
          <cell r="N39">
            <v>12</v>
          </cell>
          <cell r="U39">
            <v>5</v>
          </cell>
          <cell r="V39">
            <v>3</v>
          </cell>
          <cell r="W39">
            <v>18</v>
          </cell>
          <cell r="X39">
            <v>10</v>
          </cell>
        </row>
        <row r="40">
          <cell r="B40">
            <v>101</v>
          </cell>
          <cell r="C40">
            <v>44</v>
          </cell>
          <cell r="N40">
            <v>23</v>
          </cell>
          <cell r="U40">
            <v>24</v>
          </cell>
          <cell r="V40">
            <v>8</v>
          </cell>
          <cell r="W40">
            <v>33</v>
          </cell>
          <cell r="X40">
            <v>16</v>
          </cell>
        </row>
        <row r="41">
          <cell r="B41">
            <v>161</v>
          </cell>
          <cell r="C41">
            <v>87</v>
          </cell>
          <cell r="N41">
            <v>38</v>
          </cell>
          <cell r="U41">
            <v>33</v>
          </cell>
          <cell r="V41">
            <v>11</v>
          </cell>
          <cell r="W41">
            <v>48</v>
          </cell>
          <cell r="X41">
            <v>28</v>
          </cell>
        </row>
        <row r="42">
          <cell r="B42">
            <v>292</v>
          </cell>
          <cell r="C42">
            <v>175</v>
          </cell>
          <cell r="N42">
            <v>81</v>
          </cell>
          <cell r="U42">
            <v>37</v>
          </cell>
          <cell r="V42">
            <v>9</v>
          </cell>
          <cell r="W42">
            <v>86</v>
          </cell>
          <cell r="X42">
            <v>42</v>
          </cell>
        </row>
        <row r="43">
          <cell r="B43">
            <v>555</v>
          </cell>
          <cell r="C43">
            <v>389</v>
          </cell>
          <cell r="N43">
            <v>174</v>
          </cell>
          <cell r="U43">
            <v>67</v>
          </cell>
          <cell r="V43">
            <v>43</v>
          </cell>
          <cell r="W43">
            <v>109</v>
          </cell>
          <cell r="X43">
            <v>56</v>
          </cell>
        </row>
        <row r="44">
          <cell r="B44">
            <v>918</v>
          </cell>
          <cell r="C44">
            <v>769</v>
          </cell>
          <cell r="N44">
            <v>344</v>
          </cell>
          <cell r="U44">
            <v>119</v>
          </cell>
          <cell r="V44">
            <v>61</v>
          </cell>
          <cell r="W44">
            <v>145</v>
          </cell>
          <cell r="X44">
            <v>54</v>
          </cell>
        </row>
        <row r="45">
          <cell r="B45">
            <v>1455</v>
          </cell>
          <cell r="C45">
            <v>1367</v>
          </cell>
          <cell r="N45">
            <v>580</v>
          </cell>
          <cell r="U45">
            <v>216</v>
          </cell>
          <cell r="V45">
            <v>85</v>
          </cell>
          <cell r="W45">
            <v>197</v>
          </cell>
          <cell r="X45">
            <v>86</v>
          </cell>
        </row>
        <row r="46">
          <cell r="B46">
            <v>2043</v>
          </cell>
          <cell r="C46">
            <v>2116</v>
          </cell>
          <cell r="N46">
            <v>852</v>
          </cell>
          <cell r="U46">
            <v>330</v>
          </cell>
          <cell r="V46">
            <v>133</v>
          </cell>
          <cell r="W46">
            <v>185</v>
          </cell>
          <cell r="X46">
            <v>115</v>
          </cell>
        </row>
        <row r="47">
          <cell r="B47">
            <v>2510</v>
          </cell>
          <cell r="C47">
            <v>2995</v>
          </cell>
          <cell r="N47">
            <v>1235</v>
          </cell>
          <cell r="U47">
            <v>492</v>
          </cell>
          <cell r="V47">
            <v>176</v>
          </cell>
          <cell r="W47">
            <v>211</v>
          </cell>
          <cell r="X47">
            <v>128</v>
          </cell>
        </row>
        <row r="48">
          <cell r="B48">
            <v>3365</v>
          </cell>
          <cell r="C48">
            <v>4321</v>
          </cell>
          <cell r="N48">
            <v>1759</v>
          </cell>
          <cell r="U48">
            <v>801</v>
          </cell>
          <cell r="V48">
            <v>293</v>
          </cell>
          <cell r="W48">
            <v>263</v>
          </cell>
          <cell r="X48">
            <v>125</v>
          </cell>
        </row>
        <row r="49">
          <cell r="B49">
            <v>4341</v>
          </cell>
          <cell r="C49">
            <v>5265</v>
          </cell>
          <cell r="N49">
            <v>2189</v>
          </cell>
          <cell r="U49">
            <v>1043</v>
          </cell>
          <cell r="V49">
            <v>386</v>
          </cell>
          <cell r="W49">
            <v>337</v>
          </cell>
          <cell r="X49">
            <v>131</v>
          </cell>
        </row>
        <row r="50">
          <cell r="B50">
            <v>5345</v>
          </cell>
          <cell r="C50">
            <v>5914</v>
          </cell>
          <cell r="N50">
            <v>2742</v>
          </cell>
          <cell r="U50">
            <v>1451</v>
          </cell>
          <cell r="V50">
            <v>447</v>
          </cell>
          <cell r="W50">
            <v>424</v>
          </cell>
          <cell r="X50">
            <v>116</v>
          </cell>
        </row>
        <row r="51">
          <cell r="B51">
            <v>6962</v>
          </cell>
          <cell r="C51">
            <v>6567</v>
          </cell>
          <cell r="N51">
            <v>3535</v>
          </cell>
          <cell r="U51">
            <v>1932</v>
          </cell>
          <cell r="V51">
            <v>489</v>
          </cell>
          <cell r="W51">
            <v>461</v>
          </cell>
          <cell r="X51">
            <v>105</v>
          </cell>
        </row>
        <row r="52">
          <cell r="B52">
            <v>11014</v>
          </cell>
          <cell r="C52">
            <v>8894</v>
          </cell>
          <cell r="N52">
            <v>7129</v>
          </cell>
          <cell r="U52">
            <v>3866</v>
          </cell>
          <cell r="V52">
            <v>450</v>
          </cell>
          <cell r="W52">
            <v>789</v>
          </cell>
          <cell r="X52">
            <v>101</v>
          </cell>
        </row>
        <row r="53">
          <cell r="B53">
            <v>11014</v>
          </cell>
          <cell r="C53">
            <v>47816</v>
          </cell>
          <cell r="N53">
            <v>7128</v>
          </cell>
          <cell r="U53">
            <v>3866</v>
          </cell>
          <cell r="V53">
            <v>450</v>
          </cell>
          <cell r="W53">
            <v>788</v>
          </cell>
          <cell r="X53">
            <v>100</v>
          </cell>
        </row>
      </sheetData>
      <sheetData sheetId="2"/>
      <sheetData sheetId="3"/>
      <sheetData sheetId="4">
        <row r="7">
          <cell r="E7">
            <v>5.8</v>
          </cell>
        </row>
        <row r="8">
          <cell r="E8">
            <v>0.49002444566972392</v>
          </cell>
        </row>
        <row r="10">
          <cell r="E10">
            <v>0.50002359083648273</v>
          </cell>
        </row>
        <row r="11">
          <cell r="E11">
            <v>0.53999251534073212</v>
          </cell>
        </row>
        <row r="12">
          <cell r="E12">
            <v>0.60001537445656927</v>
          </cell>
        </row>
        <row r="13">
          <cell r="E13">
            <v>0.66998496978866395</v>
          </cell>
        </row>
        <row r="15">
          <cell r="E15">
            <v>0.3599824495393309</v>
          </cell>
        </row>
        <row r="17">
          <cell r="E17">
            <v>0.37999393002792831</v>
          </cell>
        </row>
        <row r="18">
          <cell r="E18">
            <v>0.4299871304192398</v>
          </cell>
        </row>
        <row r="19">
          <cell r="E19">
            <v>0.50002359083648273</v>
          </cell>
        </row>
        <row r="20">
          <cell r="E20">
            <v>0.66998496978866395</v>
          </cell>
        </row>
        <row r="22">
          <cell r="E22">
            <v>0.52998848451616598</v>
          </cell>
        </row>
        <row r="23">
          <cell r="E23">
            <v>0.55002035079208622</v>
          </cell>
        </row>
        <row r="24">
          <cell r="E24">
            <v>0.22000610126315226</v>
          </cell>
        </row>
        <row r="25">
          <cell r="E25">
            <v>0.74000376866969853</v>
          </cell>
        </row>
        <row r="26">
          <cell r="E26">
            <v>0.72000292822582046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 "/>
      <sheetName val="MC Results"/>
      <sheetName val="Attributable burden UPF"/>
      <sheetName val="Stochastic inputs"/>
      <sheetName val="Stochastic outputs"/>
      <sheetName val="CodeStochastic"/>
      <sheetName val="Outputs for ersatz"/>
      <sheetName val="RR"/>
      <sheetName val="Consumo"/>
      <sheetName val="Distribuições"/>
      <sheetName val="Gráficos"/>
      <sheetName val="PAR"/>
      <sheetName val="Mortalidade"/>
      <sheetName val="DP POF7"/>
    </sheetNames>
    <sheetDataSet>
      <sheetData sheetId="0">
        <row r="36">
          <cell r="C36">
            <v>13318</v>
          </cell>
        </row>
        <row r="37">
          <cell r="C37">
            <v>20335</v>
          </cell>
        </row>
        <row r="38">
          <cell r="C38">
            <v>18620</v>
          </cell>
        </row>
        <row r="39">
          <cell r="C39">
            <v>19702</v>
          </cell>
        </row>
        <row r="40">
          <cell r="C40">
            <v>22644</v>
          </cell>
        </row>
        <row r="41">
          <cell r="C41">
            <v>25925</v>
          </cell>
        </row>
        <row r="42">
          <cell r="C42">
            <v>31381</v>
          </cell>
        </row>
        <row r="43">
          <cell r="C43">
            <v>42668</v>
          </cell>
        </row>
        <row r="44">
          <cell r="C44">
            <v>54522</v>
          </cell>
        </row>
        <row r="45">
          <cell r="C45">
            <v>66424</v>
          </cell>
        </row>
        <row r="46">
          <cell r="C46">
            <v>74116</v>
          </cell>
        </row>
        <row r="47">
          <cell r="C47">
            <v>76165</v>
          </cell>
        </row>
        <row r="48">
          <cell r="C48">
            <v>76965</v>
          </cell>
        </row>
        <row r="49">
          <cell r="C49">
            <v>173884</v>
          </cell>
        </row>
        <row r="51">
          <cell r="C51">
            <v>3381</v>
          </cell>
        </row>
        <row r="52">
          <cell r="C52">
            <v>4622</v>
          </cell>
        </row>
        <row r="53">
          <cell r="C53">
            <v>5281</v>
          </cell>
        </row>
        <row r="54">
          <cell r="C54">
            <v>7243</v>
          </cell>
        </row>
        <row r="55">
          <cell r="C55">
            <v>10385</v>
          </cell>
        </row>
        <row r="56">
          <cell r="C56">
            <v>13760</v>
          </cell>
        </row>
        <row r="57">
          <cell r="C57">
            <v>17882</v>
          </cell>
        </row>
        <row r="58">
          <cell r="C58">
            <v>24751</v>
          </cell>
        </row>
        <row r="59">
          <cell r="C59">
            <v>33486</v>
          </cell>
        </row>
        <row r="60">
          <cell r="C60">
            <v>43422</v>
          </cell>
        </row>
        <row r="61">
          <cell r="C61">
            <v>52849</v>
          </cell>
        </row>
        <row r="62">
          <cell r="C62">
            <v>59744</v>
          </cell>
        </row>
        <row r="63">
          <cell r="C63">
            <v>69156</v>
          </cell>
        </row>
        <row r="64">
          <cell r="C64">
            <v>236229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FF00"/>
  </sheetPr>
  <dimension ref="A1:N40"/>
  <sheetViews>
    <sheetView zoomScaleNormal="100" workbookViewId="0">
      <selection activeCell="G49" sqref="G49"/>
    </sheetView>
  </sheetViews>
  <sheetFormatPr defaultRowHeight="14.5" x14ac:dyDescent="0.35"/>
  <cols>
    <col min="1" max="1" width="8.7265625" style="82"/>
    <col min="2" max="2" width="11.81640625" style="82" customWidth="1"/>
    <col min="3" max="3" width="11.54296875" style="82" customWidth="1"/>
    <col min="4" max="4" width="8.7265625" style="82"/>
    <col min="5" max="5" width="11.26953125" style="82" customWidth="1"/>
    <col min="6" max="6" width="9.81640625" style="82" bestFit="1" customWidth="1"/>
    <col min="7" max="7" width="2.7265625" style="82" customWidth="1"/>
    <col min="8" max="10" width="8.7265625" style="82"/>
    <col min="11" max="11" width="31.453125" style="82" bestFit="1" customWidth="1"/>
    <col min="12" max="12" width="26" style="82" customWidth="1"/>
    <col min="13" max="13" width="15.26953125" style="82" bestFit="1" customWidth="1"/>
    <col min="14" max="14" width="16" style="82" customWidth="1"/>
    <col min="15" max="16384" width="8.7265625" style="82"/>
  </cols>
  <sheetData>
    <row r="1" spans="1:14" x14ac:dyDescent="0.35">
      <c r="A1" s="135"/>
      <c r="B1" s="216" t="s">
        <v>1</v>
      </c>
      <c r="C1" s="218" t="s">
        <v>143</v>
      </c>
      <c r="D1" s="219"/>
      <c r="E1" s="218" t="s">
        <v>144</v>
      </c>
      <c r="F1" s="219"/>
    </row>
    <row r="2" spans="1:14" ht="43.5" x14ac:dyDescent="0.35">
      <c r="A2" s="136"/>
      <c r="B2" s="217"/>
      <c r="C2" s="47" t="s">
        <v>142</v>
      </c>
      <c r="D2" s="99" t="s">
        <v>141</v>
      </c>
      <c r="E2" s="47" t="s">
        <v>142</v>
      </c>
      <c r="F2" s="99" t="s">
        <v>141</v>
      </c>
      <c r="G2" s="137"/>
      <c r="H2" s="47" t="s">
        <v>163</v>
      </c>
      <c r="I2" s="47" t="s">
        <v>164</v>
      </c>
    </row>
    <row r="3" spans="1:14" x14ac:dyDescent="0.35">
      <c r="A3" s="135" t="s">
        <v>45</v>
      </c>
      <c r="B3" s="138">
        <v>8710079</v>
      </c>
      <c r="C3" s="139">
        <f>0.67901</f>
        <v>0.67901</v>
      </c>
      <c r="D3" s="139">
        <f>C3*0.32</f>
        <v>0.21728320000000001</v>
      </c>
      <c r="E3" s="140">
        <v>9.9999999999999995E-7</v>
      </c>
      <c r="F3" s="140">
        <f>E3*0.32</f>
        <v>3.2000000000000001E-7</v>
      </c>
      <c r="G3" s="141"/>
      <c r="H3" s="142">
        <v>108</v>
      </c>
      <c r="I3" s="142">
        <v>80</v>
      </c>
      <c r="J3" s="143"/>
      <c r="K3" s="100" t="s">
        <v>249</v>
      </c>
      <c r="L3" s="144">
        <v>6583</v>
      </c>
    </row>
    <row r="4" spans="1:14" x14ac:dyDescent="0.35">
      <c r="A4" s="135" t="s">
        <v>46</v>
      </c>
      <c r="B4" s="145">
        <v>8621967</v>
      </c>
      <c r="C4" s="139">
        <f t="shared" ref="C4:C16" si="0">0.67901</f>
        <v>0.67901</v>
      </c>
      <c r="D4" s="139">
        <f t="shared" ref="D4:D16" si="1">C4*0.32</f>
        <v>0.21728320000000001</v>
      </c>
      <c r="E4" s="140">
        <v>9.9999999999999995E-7</v>
      </c>
      <c r="F4" s="140">
        <f>E4*0.32</f>
        <v>3.2000000000000001E-7</v>
      </c>
      <c r="G4" s="146"/>
      <c r="H4" s="142">
        <v>194</v>
      </c>
      <c r="I4" s="142">
        <v>134</v>
      </c>
      <c r="J4" s="143"/>
      <c r="K4" s="100" t="s">
        <v>145</v>
      </c>
      <c r="L4" s="147">
        <v>3.2050000000000001</v>
      </c>
    </row>
    <row r="5" spans="1:14" x14ac:dyDescent="0.35">
      <c r="A5" s="135" t="s">
        <v>47</v>
      </c>
      <c r="B5" s="145">
        <v>8634062</v>
      </c>
      <c r="C5" s="139">
        <f t="shared" si="0"/>
        <v>0.67901</v>
      </c>
      <c r="D5" s="139">
        <f t="shared" si="1"/>
        <v>0.21728320000000001</v>
      </c>
      <c r="E5" s="140">
        <v>9.9999999999999995E-7</v>
      </c>
      <c r="F5" s="140">
        <f>E5*0.32</f>
        <v>3.2000000000000001E-7</v>
      </c>
      <c r="G5" s="146"/>
      <c r="H5" s="142">
        <v>306</v>
      </c>
      <c r="I5" s="142">
        <v>192</v>
      </c>
      <c r="J5" s="143"/>
      <c r="K5" s="100" t="s">
        <v>250</v>
      </c>
      <c r="L5" s="144">
        <f>L3/L4</f>
        <v>2053.978159126365</v>
      </c>
    </row>
    <row r="6" spans="1:14" x14ac:dyDescent="0.35">
      <c r="A6" s="135" t="s">
        <v>48</v>
      </c>
      <c r="B6" s="145">
        <v>8816350</v>
      </c>
      <c r="C6" s="139">
        <f t="shared" si="0"/>
        <v>0.67901</v>
      </c>
      <c r="D6" s="139">
        <f t="shared" si="1"/>
        <v>0.21728320000000001</v>
      </c>
      <c r="E6" s="140">
        <v>9.9999999999999995E-7</v>
      </c>
      <c r="F6" s="140">
        <f>E6*0.32</f>
        <v>3.2000000000000001E-7</v>
      </c>
      <c r="G6" s="146"/>
      <c r="H6" s="142">
        <v>599</v>
      </c>
      <c r="I6" s="142">
        <v>322</v>
      </c>
      <c r="J6" s="143"/>
      <c r="K6" s="100" t="s">
        <v>155</v>
      </c>
      <c r="L6" s="147">
        <v>65</v>
      </c>
    </row>
    <row r="7" spans="1:14" x14ac:dyDescent="0.35">
      <c r="A7" s="135" t="s">
        <v>49</v>
      </c>
      <c r="B7" s="145">
        <v>7879629</v>
      </c>
      <c r="C7" s="139">
        <f t="shared" si="0"/>
        <v>0.67901</v>
      </c>
      <c r="D7" s="139">
        <f t="shared" si="1"/>
        <v>0.21728320000000001</v>
      </c>
      <c r="E7" s="140">
        <v>9.9999999999999995E-7</v>
      </c>
      <c r="F7" s="140">
        <f>E7*0.32</f>
        <v>3.2000000000000001E-7</v>
      </c>
      <c r="G7" s="146"/>
      <c r="H7" s="142">
        <v>961</v>
      </c>
      <c r="I7" s="142">
        <v>563</v>
      </c>
      <c r="J7" s="143"/>
      <c r="K7" s="100" t="s">
        <v>156</v>
      </c>
      <c r="L7" s="147">
        <v>60</v>
      </c>
    </row>
    <row r="8" spans="1:14" x14ac:dyDescent="0.35">
      <c r="A8" s="135" t="s">
        <v>50</v>
      </c>
      <c r="B8" s="145">
        <v>6882229</v>
      </c>
      <c r="C8" s="139">
        <f t="shared" si="0"/>
        <v>0.67901</v>
      </c>
      <c r="D8" s="139">
        <f t="shared" si="1"/>
        <v>0.21728320000000001</v>
      </c>
      <c r="E8" s="140">
        <v>9.9999999999999995E-7</v>
      </c>
      <c r="F8" s="140">
        <f t="shared" ref="F8:F16" si="2">E8*0.32</f>
        <v>3.2000000000000001E-7</v>
      </c>
      <c r="G8" s="146"/>
      <c r="H8" s="142">
        <v>1760</v>
      </c>
      <c r="I8" s="142">
        <v>990</v>
      </c>
      <c r="J8" s="143"/>
      <c r="K8" s="100" t="s">
        <v>146</v>
      </c>
      <c r="L8" s="147">
        <v>2112</v>
      </c>
    </row>
    <row r="9" spans="1:14" x14ac:dyDescent="0.35">
      <c r="A9" s="135" t="s">
        <v>51</v>
      </c>
      <c r="B9" s="145">
        <v>6266088</v>
      </c>
      <c r="C9" s="139">
        <f t="shared" si="0"/>
        <v>0.67901</v>
      </c>
      <c r="D9" s="139">
        <f t="shared" si="1"/>
        <v>0.21728320000000001</v>
      </c>
      <c r="E9" s="140">
        <v>9.9999999999999995E-7</v>
      </c>
      <c r="F9" s="140">
        <f t="shared" si="2"/>
        <v>3.2000000000000001E-7</v>
      </c>
      <c r="G9" s="146"/>
      <c r="H9" s="142">
        <v>3088</v>
      </c>
      <c r="I9" s="142">
        <v>1577</v>
      </c>
      <c r="J9" s="143"/>
      <c r="K9" s="100" t="s">
        <v>147</v>
      </c>
      <c r="L9" s="147">
        <v>54.6</v>
      </c>
    </row>
    <row r="10" spans="1:14" x14ac:dyDescent="0.35">
      <c r="A10" s="135" t="s">
        <v>52</v>
      </c>
      <c r="B10" s="145">
        <v>5659602</v>
      </c>
      <c r="C10" s="139">
        <f t="shared" si="0"/>
        <v>0.67901</v>
      </c>
      <c r="D10" s="139">
        <f t="shared" si="1"/>
        <v>0.21728320000000001</v>
      </c>
      <c r="E10" s="140">
        <v>9.9999999999999995E-7</v>
      </c>
      <c r="F10" s="140">
        <f t="shared" si="2"/>
        <v>3.2000000000000001E-7</v>
      </c>
      <c r="G10" s="146"/>
      <c r="H10" s="142">
        <v>4955</v>
      </c>
      <c r="I10" s="142">
        <v>2496</v>
      </c>
      <c r="J10" s="143"/>
      <c r="K10" s="100" t="s">
        <v>158</v>
      </c>
      <c r="L10" s="147">
        <v>72.5</v>
      </c>
    </row>
    <row r="11" spans="1:14" x14ac:dyDescent="0.35">
      <c r="A11" s="135" t="s">
        <v>53</v>
      </c>
      <c r="B11" s="145">
        <v>4678702</v>
      </c>
      <c r="C11" s="139">
        <f t="shared" si="0"/>
        <v>0.67901</v>
      </c>
      <c r="D11" s="139">
        <f t="shared" si="1"/>
        <v>0.21728320000000001</v>
      </c>
      <c r="E11" s="140">
        <v>9.9999999999999995E-7</v>
      </c>
      <c r="F11" s="140">
        <f t="shared" si="2"/>
        <v>3.2000000000000001E-7</v>
      </c>
      <c r="G11" s="146"/>
      <c r="H11" s="142">
        <v>6624</v>
      </c>
      <c r="I11" s="142">
        <v>3370</v>
      </c>
      <c r="J11" s="143"/>
      <c r="K11" s="100" t="s">
        <v>157</v>
      </c>
      <c r="L11" s="147">
        <v>79.400000000000006</v>
      </c>
    </row>
    <row r="12" spans="1:14" x14ac:dyDescent="0.35">
      <c r="A12" s="135" t="s">
        <v>54</v>
      </c>
      <c r="B12" s="145">
        <v>3655025</v>
      </c>
      <c r="C12" s="139">
        <f t="shared" si="0"/>
        <v>0.67901</v>
      </c>
      <c r="D12" s="139">
        <f t="shared" si="1"/>
        <v>0.21728320000000001</v>
      </c>
      <c r="E12" s="140">
        <v>9.9999999999999995E-7</v>
      </c>
      <c r="F12" s="140">
        <f t="shared" si="2"/>
        <v>3.2000000000000001E-7</v>
      </c>
      <c r="G12" s="146"/>
      <c r="H12" s="142">
        <v>7864</v>
      </c>
      <c r="I12" s="142">
        <v>4651</v>
      </c>
      <c r="J12" s="143"/>
      <c r="M12" s="1"/>
      <c r="N12" s="1"/>
    </row>
    <row r="13" spans="1:14" x14ac:dyDescent="0.35">
      <c r="A13" s="135" t="s">
        <v>55</v>
      </c>
      <c r="B13" s="145">
        <v>2672043</v>
      </c>
      <c r="C13" s="139">
        <f t="shared" si="0"/>
        <v>0.67901</v>
      </c>
      <c r="D13" s="139">
        <f t="shared" si="1"/>
        <v>0.21728320000000001</v>
      </c>
      <c r="E13" s="140">
        <v>9.9999999999999995E-7</v>
      </c>
      <c r="F13" s="140">
        <f t="shared" si="2"/>
        <v>3.2000000000000001E-7</v>
      </c>
      <c r="G13" s="146"/>
      <c r="H13" s="142">
        <v>8663</v>
      </c>
      <c r="I13" s="142">
        <v>5776</v>
      </c>
      <c r="J13" s="143"/>
      <c r="K13" s="1"/>
      <c r="L13" s="143"/>
      <c r="M13" s="143"/>
      <c r="N13" s="81"/>
    </row>
    <row r="14" spans="1:14" x14ac:dyDescent="0.35">
      <c r="A14" s="135" t="s">
        <v>56</v>
      </c>
      <c r="B14" s="145">
        <v>1793543</v>
      </c>
      <c r="C14" s="139">
        <f t="shared" si="0"/>
        <v>0.67901</v>
      </c>
      <c r="D14" s="139">
        <f t="shared" si="1"/>
        <v>0.21728320000000001</v>
      </c>
      <c r="E14" s="140">
        <v>9.9999999999999995E-7</v>
      </c>
      <c r="F14" s="140">
        <f t="shared" si="2"/>
        <v>3.2000000000000001E-7</v>
      </c>
      <c r="G14" s="146"/>
      <c r="H14" s="142">
        <v>8180</v>
      </c>
      <c r="I14" s="142">
        <v>6596</v>
      </c>
      <c r="J14" s="143"/>
      <c r="K14" s="1"/>
      <c r="L14" s="143"/>
      <c r="M14" s="143"/>
      <c r="N14" s="143"/>
    </row>
    <row r="15" spans="1:14" x14ac:dyDescent="0.35">
      <c r="A15" s="135" t="s">
        <v>57</v>
      </c>
      <c r="B15" s="145">
        <v>1222286</v>
      </c>
      <c r="C15" s="139">
        <f t="shared" si="0"/>
        <v>0.67901</v>
      </c>
      <c r="D15" s="139">
        <f t="shared" si="1"/>
        <v>0.21728320000000001</v>
      </c>
      <c r="E15" s="140">
        <v>9.9999999999999995E-7</v>
      </c>
      <c r="F15" s="140">
        <f t="shared" si="2"/>
        <v>3.2000000000000001E-7</v>
      </c>
      <c r="G15" s="146"/>
      <c r="H15" s="142">
        <v>8017</v>
      </c>
      <c r="I15" s="142">
        <v>7547</v>
      </c>
      <c r="J15" s="143"/>
      <c r="K15" s="1"/>
      <c r="L15" s="143"/>
      <c r="M15" s="143"/>
      <c r="N15" s="143"/>
    </row>
    <row r="16" spans="1:14" x14ac:dyDescent="0.35">
      <c r="A16" s="135" t="s">
        <v>77</v>
      </c>
      <c r="B16" s="148">
        <v>1246775</v>
      </c>
      <c r="C16" s="139">
        <f t="shared" si="0"/>
        <v>0.67901</v>
      </c>
      <c r="D16" s="139">
        <f t="shared" si="1"/>
        <v>0.21728320000000001</v>
      </c>
      <c r="E16" s="140">
        <v>9.9999999999999995E-7</v>
      </c>
      <c r="F16" s="140">
        <f t="shared" si="2"/>
        <v>3.2000000000000001E-7</v>
      </c>
      <c r="G16" s="149"/>
      <c r="H16" s="142">
        <v>13764</v>
      </c>
      <c r="I16" s="142">
        <v>15790</v>
      </c>
      <c r="J16" s="143"/>
    </row>
    <row r="17" spans="1:11" ht="15" thickBot="1" x14ac:dyDescent="0.4">
      <c r="A17" s="135"/>
      <c r="B17" s="150"/>
      <c r="C17" s="151"/>
      <c r="D17" s="151"/>
      <c r="E17" s="151"/>
      <c r="F17" s="151"/>
      <c r="J17" s="143"/>
      <c r="K17" s="1"/>
    </row>
    <row r="18" spans="1:11" x14ac:dyDescent="0.35">
      <c r="A18" s="152"/>
      <c r="B18" s="216" t="s">
        <v>1</v>
      </c>
      <c r="C18" s="218" t="s">
        <v>143</v>
      </c>
      <c r="D18" s="219"/>
      <c r="E18" s="218" t="s">
        <v>144</v>
      </c>
      <c r="F18" s="219"/>
      <c r="G18" s="153"/>
      <c r="H18" s="151"/>
      <c r="I18" s="151"/>
      <c r="J18" s="143"/>
    </row>
    <row r="19" spans="1:11" ht="43.5" x14ac:dyDescent="0.35">
      <c r="A19" s="154"/>
      <c r="B19" s="220"/>
      <c r="C19" s="47" t="s">
        <v>142</v>
      </c>
      <c r="D19" s="99" t="s">
        <v>141</v>
      </c>
      <c r="E19" s="47" t="s">
        <v>142</v>
      </c>
      <c r="F19" s="99" t="s">
        <v>141</v>
      </c>
      <c r="G19" s="137"/>
      <c r="H19" s="47" t="s">
        <v>130</v>
      </c>
      <c r="I19" s="47" t="s">
        <v>131</v>
      </c>
      <c r="J19" s="143"/>
    </row>
    <row r="20" spans="1:11" x14ac:dyDescent="0.35">
      <c r="A20" s="135" t="s">
        <v>60</v>
      </c>
      <c r="B20" s="138">
        <v>8430049</v>
      </c>
      <c r="C20" s="139">
        <f t="shared" ref="C20:C33" si="3">0.67901</f>
        <v>0.67901</v>
      </c>
      <c r="D20" s="139">
        <f t="shared" ref="D20:D33" si="4">C20*0.32</f>
        <v>0.21728320000000001</v>
      </c>
      <c r="E20" s="140">
        <v>9.9999999999999995E-7</v>
      </c>
      <c r="F20" s="140">
        <f>E20*0.32</f>
        <v>3.2000000000000001E-7</v>
      </c>
      <c r="G20" s="153"/>
      <c r="H20" s="142">
        <v>36</v>
      </c>
      <c r="I20" s="142">
        <v>65</v>
      </c>
      <c r="J20" s="143"/>
    </row>
    <row r="21" spans="1:11" x14ac:dyDescent="0.35">
      <c r="A21" s="135" t="s">
        <v>61</v>
      </c>
      <c r="B21" s="145">
        <v>8434408</v>
      </c>
      <c r="C21" s="139">
        <f t="shared" si="3"/>
        <v>0.67901</v>
      </c>
      <c r="D21" s="139">
        <f t="shared" si="4"/>
        <v>0.21728320000000001</v>
      </c>
      <c r="E21" s="140">
        <v>9.9999999999999995E-7</v>
      </c>
      <c r="F21" s="140">
        <f>E21*0.32</f>
        <v>3.2000000000000001E-7</v>
      </c>
      <c r="G21" s="155"/>
      <c r="H21" s="142">
        <v>60</v>
      </c>
      <c r="I21" s="142">
        <v>93</v>
      </c>
      <c r="J21" s="143"/>
    </row>
    <row r="22" spans="1:11" x14ac:dyDescent="0.35">
      <c r="A22" s="135" t="s">
        <v>62</v>
      </c>
      <c r="B22" s="145">
        <v>8542758</v>
      </c>
      <c r="C22" s="139">
        <f t="shared" si="3"/>
        <v>0.67901</v>
      </c>
      <c r="D22" s="139">
        <f t="shared" si="4"/>
        <v>0.21728320000000001</v>
      </c>
      <c r="E22" s="140">
        <v>9.9999999999999995E-7</v>
      </c>
      <c r="F22" s="140">
        <f>E22*0.32</f>
        <v>3.2000000000000001E-7</v>
      </c>
      <c r="G22" s="155"/>
      <c r="H22" s="142">
        <v>81</v>
      </c>
      <c r="I22" s="142">
        <v>149</v>
      </c>
      <c r="J22" s="143"/>
    </row>
    <row r="23" spans="1:11" x14ac:dyDescent="0.35">
      <c r="A23" s="135" t="s">
        <v>63</v>
      </c>
      <c r="B23" s="145">
        <v>8821067</v>
      </c>
      <c r="C23" s="139">
        <f t="shared" si="3"/>
        <v>0.67901</v>
      </c>
      <c r="D23" s="139">
        <f t="shared" si="4"/>
        <v>0.21728320000000001</v>
      </c>
      <c r="E23" s="140">
        <v>9.9999999999999995E-7</v>
      </c>
      <c r="F23" s="140">
        <f>E23*0.32</f>
        <v>3.2000000000000001E-7</v>
      </c>
      <c r="G23" s="155"/>
      <c r="H23" s="142">
        <v>199</v>
      </c>
      <c r="I23" s="142">
        <v>326</v>
      </c>
      <c r="J23" s="143"/>
    </row>
    <row r="24" spans="1:11" x14ac:dyDescent="0.35">
      <c r="A24" s="135" t="s">
        <v>64</v>
      </c>
      <c r="B24" s="145">
        <v>7976620</v>
      </c>
      <c r="C24" s="139">
        <f t="shared" si="3"/>
        <v>0.67901</v>
      </c>
      <c r="D24" s="139">
        <f t="shared" si="4"/>
        <v>0.21728320000000001</v>
      </c>
      <c r="E24" s="140">
        <v>9.9999999999999995E-7</v>
      </c>
      <c r="F24" s="140">
        <f>E24*0.32</f>
        <v>3.2000000000000001E-7</v>
      </c>
      <c r="G24" s="155"/>
      <c r="H24" s="142">
        <v>443</v>
      </c>
      <c r="I24" s="142">
        <v>573</v>
      </c>
      <c r="J24" s="143"/>
    </row>
    <row r="25" spans="1:11" x14ac:dyDescent="0.35">
      <c r="A25" s="135" t="s">
        <v>65</v>
      </c>
      <c r="B25" s="145">
        <v>7062001</v>
      </c>
      <c r="C25" s="139">
        <f t="shared" si="3"/>
        <v>0.67901</v>
      </c>
      <c r="D25" s="139">
        <f t="shared" si="4"/>
        <v>0.21728320000000001</v>
      </c>
      <c r="E25" s="140">
        <v>9.9999999999999995E-7</v>
      </c>
      <c r="F25" s="140">
        <f t="shared" ref="F25:F33" si="5">E25*0.32</f>
        <v>3.2000000000000001E-7</v>
      </c>
      <c r="G25" s="155"/>
      <c r="H25" s="142">
        <v>816</v>
      </c>
      <c r="I25" s="142">
        <v>899</v>
      </c>
      <c r="J25" s="143"/>
    </row>
    <row r="26" spans="1:11" x14ac:dyDescent="0.35">
      <c r="A26" s="135" t="s">
        <v>66</v>
      </c>
      <c r="B26" s="145">
        <v>6536311</v>
      </c>
      <c r="C26" s="139">
        <f t="shared" si="3"/>
        <v>0.67901</v>
      </c>
      <c r="D26" s="139">
        <f t="shared" si="4"/>
        <v>0.21728320000000001</v>
      </c>
      <c r="E26" s="140">
        <v>9.9999999999999995E-7</v>
      </c>
      <c r="F26" s="140">
        <f t="shared" si="5"/>
        <v>3.2000000000000001E-7</v>
      </c>
      <c r="G26" s="155"/>
      <c r="H26" s="142">
        <v>1360</v>
      </c>
      <c r="I26" s="142">
        <v>1522</v>
      </c>
      <c r="J26" s="143"/>
    </row>
    <row r="27" spans="1:11" x14ac:dyDescent="0.35">
      <c r="A27" s="135" t="s">
        <v>67</v>
      </c>
      <c r="B27" s="145">
        <v>6027703</v>
      </c>
      <c r="C27" s="139">
        <f t="shared" si="3"/>
        <v>0.67901</v>
      </c>
      <c r="D27" s="139">
        <f t="shared" si="4"/>
        <v>0.21728320000000001</v>
      </c>
      <c r="E27" s="140">
        <v>9.9999999999999995E-7</v>
      </c>
      <c r="F27" s="140">
        <f t="shared" si="5"/>
        <v>3.2000000000000001E-7</v>
      </c>
      <c r="G27" s="155"/>
      <c r="H27" s="142">
        <v>2107</v>
      </c>
      <c r="I27" s="142">
        <v>2061</v>
      </c>
      <c r="J27" s="143"/>
    </row>
    <row r="28" spans="1:11" x14ac:dyDescent="0.35">
      <c r="A28" s="135" t="s">
        <v>68</v>
      </c>
      <c r="B28" s="145">
        <v>5120890</v>
      </c>
      <c r="C28" s="139">
        <f t="shared" si="3"/>
        <v>0.67901</v>
      </c>
      <c r="D28" s="139">
        <f t="shared" si="4"/>
        <v>0.21728320000000001</v>
      </c>
      <c r="E28" s="140">
        <v>9.9999999999999995E-7</v>
      </c>
      <c r="F28" s="140">
        <f t="shared" si="5"/>
        <v>3.2000000000000001E-7</v>
      </c>
      <c r="G28" s="155"/>
      <c r="H28" s="142">
        <v>3089</v>
      </c>
      <c r="I28" s="142">
        <v>2578</v>
      </c>
      <c r="J28" s="143"/>
    </row>
    <row r="29" spans="1:11" x14ac:dyDescent="0.35">
      <c r="A29" s="135" t="s">
        <v>69</v>
      </c>
      <c r="B29" s="145">
        <v>4141984</v>
      </c>
      <c r="C29" s="139">
        <f t="shared" si="3"/>
        <v>0.67901</v>
      </c>
      <c r="D29" s="139">
        <f t="shared" si="4"/>
        <v>0.21728320000000001</v>
      </c>
      <c r="E29" s="140">
        <v>9.9999999999999995E-7</v>
      </c>
      <c r="F29" s="140">
        <f t="shared" si="5"/>
        <v>3.2000000000000001E-7</v>
      </c>
      <c r="G29" s="155"/>
      <c r="H29" s="142">
        <v>4051</v>
      </c>
      <c r="I29" s="142">
        <v>3283</v>
      </c>
      <c r="J29" s="143"/>
    </row>
    <row r="30" spans="1:11" x14ac:dyDescent="0.35">
      <c r="A30" s="135" t="s">
        <v>70</v>
      </c>
      <c r="B30" s="145">
        <v>3172657</v>
      </c>
      <c r="C30" s="139">
        <f t="shared" si="3"/>
        <v>0.67901</v>
      </c>
      <c r="D30" s="139">
        <f t="shared" si="4"/>
        <v>0.21728320000000001</v>
      </c>
      <c r="E30" s="140">
        <v>9.9999999999999995E-7</v>
      </c>
      <c r="F30" s="140">
        <f t="shared" si="5"/>
        <v>3.2000000000000001E-7</v>
      </c>
      <c r="G30" s="155"/>
      <c r="H30" s="142">
        <v>4983</v>
      </c>
      <c r="I30" s="142">
        <v>4243</v>
      </c>
      <c r="J30" s="143"/>
    </row>
    <row r="31" spans="1:11" x14ac:dyDescent="0.35">
      <c r="A31" s="135" t="s">
        <v>71</v>
      </c>
      <c r="B31" s="145">
        <v>2283021</v>
      </c>
      <c r="C31" s="139">
        <f t="shared" si="3"/>
        <v>0.67901</v>
      </c>
      <c r="D31" s="139">
        <f t="shared" si="4"/>
        <v>0.21728320000000001</v>
      </c>
      <c r="E31" s="140">
        <v>9.9999999999999995E-7</v>
      </c>
      <c r="F31" s="140">
        <f t="shared" si="5"/>
        <v>3.2000000000000001E-7</v>
      </c>
      <c r="G31" s="155"/>
      <c r="H31" s="142">
        <v>5635</v>
      </c>
      <c r="I31" s="142">
        <v>5350</v>
      </c>
      <c r="J31" s="143"/>
    </row>
    <row r="32" spans="1:11" x14ac:dyDescent="0.35">
      <c r="A32" s="135" t="s">
        <v>72</v>
      </c>
      <c r="B32" s="145">
        <v>1691282</v>
      </c>
      <c r="C32" s="139">
        <f t="shared" si="3"/>
        <v>0.67901</v>
      </c>
      <c r="D32" s="139">
        <f t="shared" si="4"/>
        <v>0.21728320000000001</v>
      </c>
      <c r="E32" s="140">
        <v>9.9999999999999995E-7</v>
      </c>
      <c r="F32" s="140">
        <f t="shared" si="5"/>
        <v>3.2000000000000001E-7</v>
      </c>
      <c r="G32" s="155"/>
      <c r="H32" s="142">
        <v>6636</v>
      </c>
      <c r="I32" s="142">
        <v>7116</v>
      </c>
      <c r="J32" s="143"/>
    </row>
    <row r="33" spans="1:10" x14ac:dyDescent="0.35">
      <c r="A33" s="135" t="s">
        <v>78</v>
      </c>
      <c r="B33" s="148">
        <v>2062198</v>
      </c>
      <c r="C33" s="139">
        <f t="shared" si="3"/>
        <v>0.67901</v>
      </c>
      <c r="D33" s="139">
        <f t="shared" si="4"/>
        <v>0.21728320000000001</v>
      </c>
      <c r="E33" s="140">
        <v>9.9999999999999995E-7</v>
      </c>
      <c r="F33" s="140">
        <f t="shared" si="5"/>
        <v>3.2000000000000001E-7</v>
      </c>
      <c r="G33" s="156"/>
      <c r="H33" s="142">
        <v>17104</v>
      </c>
      <c r="I33" s="142">
        <v>21898</v>
      </c>
      <c r="J33" s="143"/>
    </row>
    <row r="34" spans="1:10" x14ac:dyDescent="0.35">
      <c r="J34" s="143"/>
    </row>
    <row r="35" spans="1:10" x14ac:dyDescent="0.35">
      <c r="J35" s="143"/>
    </row>
    <row r="36" spans="1:10" x14ac:dyDescent="0.35">
      <c r="A36" s="158" t="s">
        <v>165</v>
      </c>
      <c r="B36" s="157" t="s">
        <v>159</v>
      </c>
    </row>
    <row r="37" spans="1:10" x14ac:dyDescent="0.35">
      <c r="A37" s="159"/>
      <c r="B37" s="157" t="s">
        <v>161</v>
      </c>
      <c r="C37" s="157" t="s">
        <v>160</v>
      </c>
    </row>
    <row r="38" spans="1:10" x14ac:dyDescent="0.35">
      <c r="A38" s="159"/>
    </row>
    <row r="39" spans="1:10" x14ac:dyDescent="0.35">
      <c r="A39" s="159" t="s">
        <v>166</v>
      </c>
      <c r="B39" s="82" t="s">
        <v>167</v>
      </c>
    </row>
    <row r="40" spans="1:10" x14ac:dyDescent="0.35">
      <c r="B40" s="82" t="s">
        <v>162</v>
      </c>
      <c r="C40" s="157" t="s">
        <v>160</v>
      </c>
    </row>
  </sheetData>
  <mergeCells count="6">
    <mergeCell ref="B1:B2"/>
    <mergeCell ref="C1:D1"/>
    <mergeCell ref="E1:F1"/>
    <mergeCell ref="B18:B19"/>
    <mergeCell ref="C18:D18"/>
    <mergeCell ref="E18:F18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9A465-4B7F-4302-B817-0CD6C1F49C57}">
  <sheetPr codeName="Planilha2">
    <tabColor rgb="FFC00000"/>
  </sheetPr>
  <dimension ref="A3:L35"/>
  <sheetViews>
    <sheetView workbookViewId="0">
      <selection activeCell="O48" sqref="O48"/>
    </sheetView>
  </sheetViews>
  <sheetFormatPr defaultRowHeight="14.5" x14ac:dyDescent="0.35"/>
  <sheetData>
    <row r="3" spans="1:12" ht="30.5" customHeight="1" x14ac:dyDescent="0.35">
      <c r="A3" s="116"/>
      <c r="B3" s="226" t="s">
        <v>139</v>
      </c>
      <c r="C3" s="227"/>
      <c r="D3" s="228"/>
      <c r="E3" s="16"/>
      <c r="F3" s="117"/>
      <c r="G3" s="223" t="s">
        <v>154</v>
      </c>
      <c r="H3" s="224"/>
      <c r="I3" s="224"/>
      <c r="J3" s="224"/>
      <c r="K3" s="224"/>
      <c r="L3" s="225"/>
    </row>
    <row r="4" spans="1:12" ht="15" thickBot="1" x14ac:dyDescent="0.4">
      <c r="A4" s="116"/>
      <c r="B4" s="119" t="s">
        <v>24</v>
      </c>
      <c r="C4" s="119" t="s">
        <v>82</v>
      </c>
      <c r="D4" s="119" t="s">
        <v>134</v>
      </c>
      <c r="E4" s="1"/>
      <c r="F4" s="85"/>
      <c r="G4" s="221" t="s">
        <v>24</v>
      </c>
      <c r="H4" s="222"/>
      <c r="I4" s="221" t="s">
        <v>82</v>
      </c>
      <c r="J4" s="222"/>
      <c r="K4" s="221" t="s">
        <v>134</v>
      </c>
      <c r="L4" s="222"/>
    </row>
    <row r="5" spans="1:12" ht="16" thickBot="1" x14ac:dyDescent="0.4">
      <c r="A5" s="118" t="s">
        <v>45</v>
      </c>
      <c r="B5" s="101">
        <f>'Baseline and counterfactual'!H3*'Stochastic outputs'!G2-'Stochastic outputs'!G30*'Baseline and counterfactual'!H3</f>
        <v>-5.2063837946186513E-10</v>
      </c>
      <c r="C5" s="101">
        <f>'Baseline and counterfactual'!I3*'Stochastic outputs'!G58-'Stochastic outputs'!G86*'Baseline and counterfactual'!I3</f>
        <v>0</v>
      </c>
      <c r="D5" s="101">
        <f>B5+C5</f>
        <v>-5.2063837946186513E-10</v>
      </c>
      <c r="F5" s="120" t="s">
        <v>45</v>
      </c>
      <c r="G5" s="121">
        <f>'Baseline and counterfactual'!H3*'Stochastic outputs'!K2-'Baseline and counterfactual'!H3*'Stochastic outputs'!K30</f>
        <v>-1.9383105040774705E-9</v>
      </c>
      <c r="H5" s="121">
        <f>'Baseline and counterfactual'!H3*'Stochastic outputs'!L2-'Baseline and counterfactual'!H3*'Stochastic outputs'!L30</f>
        <v>2.8688585185653911E-10</v>
      </c>
      <c r="I5" s="121">
        <f>'Baseline and counterfactual'!I3*'Stochastic outputs'!K58-'Baseline and counterfactual'!I3*'Stochastic outputs'!K86</f>
        <v>0</v>
      </c>
      <c r="J5" s="121">
        <f>'Baseline and counterfactual'!I3*'Stochastic outputs'!L58-'Baseline and counterfactual'!I3*'Stochastic outputs'!L86</f>
        <v>0</v>
      </c>
      <c r="K5" s="121">
        <f>G5+I5</f>
        <v>-1.9383105040774705E-9</v>
      </c>
      <c r="L5" s="122">
        <f>H5+J5</f>
        <v>2.8688585185653911E-10</v>
      </c>
    </row>
    <row r="6" spans="1:12" ht="16" thickBot="1" x14ac:dyDescent="0.4">
      <c r="A6" s="118" t="s">
        <v>46</v>
      </c>
      <c r="B6" s="101">
        <f>'Baseline and counterfactual'!H4*'Stochastic outputs'!G3-'Stochastic outputs'!G31*'Baseline and counterfactual'!H4</f>
        <v>-9.021069105463717E-10</v>
      </c>
      <c r="C6" s="101">
        <f>'Baseline and counterfactual'!I4*'Stochastic outputs'!G59-'Stochastic outputs'!G87*'Baseline and counterfactual'!I4</f>
        <v>0</v>
      </c>
      <c r="D6" s="101">
        <f t="shared" ref="D6:D18" si="0">B6+C6</f>
        <v>-9.021069105463717E-10</v>
      </c>
      <c r="F6" s="120" t="s">
        <v>46</v>
      </c>
      <c r="G6" s="121">
        <f>'Baseline and counterfactual'!H4*'Stochastic outputs'!K3-'Baseline and counterfactual'!H4*'Stochastic outputs'!K31</f>
        <v>-3.3879217932288196E-9</v>
      </c>
      <c r="H6" s="121">
        <f>'Baseline and counterfactual'!H4*'Stochastic outputs'!L3-'Baseline and counterfactual'!H4*'Stochastic outputs'!L31</f>
        <v>5.1772575210995547E-10</v>
      </c>
      <c r="I6" s="121">
        <f>'Baseline and counterfactual'!I4*'Stochastic outputs'!K59-'Baseline and counterfactual'!I4*'Stochastic outputs'!K87</f>
        <v>0</v>
      </c>
      <c r="J6" s="121">
        <f>'Baseline and counterfactual'!I4*'Stochastic outputs'!L59-'Baseline and counterfactual'!I4*'Stochastic outputs'!L87</f>
        <v>0</v>
      </c>
      <c r="K6" s="123">
        <f t="shared" ref="K6:K18" si="1">G6+I6</f>
        <v>-3.3879217932288196E-9</v>
      </c>
      <c r="L6" s="124">
        <f t="shared" ref="L6:L18" si="2">H6+J6</f>
        <v>5.1772575210995547E-10</v>
      </c>
    </row>
    <row r="7" spans="1:12" ht="16" thickBot="1" x14ac:dyDescent="0.4">
      <c r="A7" s="118" t="s">
        <v>47</v>
      </c>
      <c r="B7" s="101">
        <f>'Baseline and counterfactual'!H5*'Stochastic outputs'!G4-'Stochastic outputs'!G32*'Baseline and counterfactual'!H5</f>
        <v>39.833134764326246</v>
      </c>
      <c r="C7" s="101">
        <f>'Baseline and counterfactual'!I5*'Stochastic outputs'!G60-'Stochastic outputs'!G88*'Baseline and counterfactual'!I5</f>
        <v>12.576610788353278</v>
      </c>
      <c r="D7" s="101">
        <f t="shared" si="0"/>
        <v>52.409745552679524</v>
      </c>
      <c r="F7" s="120" t="s">
        <v>47</v>
      </c>
      <c r="G7" s="121">
        <f>'Baseline and counterfactual'!H5*'Stochastic outputs'!K4-'Baseline and counterfactual'!H5*'Stochastic outputs'!K32</f>
        <v>30.207446037867236</v>
      </c>
      <c r="H7" s="121">
        <f>'Baseline and counterfactual'!H5*'Stochastic outputs'!L4-'Baseline and counterfactual'!H5*'Stochastic outputs'!L32</f>
        <v>49.619783080187837</v>
      </c>
      <c r="I7" s="121">
        <f>'Baseline and counterfactual'!I5*'Stochastic outputs'!K60-'Baseline and counterfactual'!I5*'Stochastic outputs'!K88</f>
        <v>9.5259386563439232</v>
      </c>
      <c r="J7" s="121">
        <f>'Baseline and counterfactual'!I5*'Stochastic outputs'!L60-'Baseline and counterfactual'!I5*'Stochastic outputs'!L88</f>
        <v>15.651547185078913</v>
      </c>
      <c r="K7" s="123">
        <f t="shared" si="1"/>
        <v>39.733384694211161</v>
      </c>
      <c r="L7" s="124">
        <f t="shared" si="2"/>
        <v>65.271330265266755</v>
      </c>
    </row>
    <row r="8" spans="1:12" ht="16" thickBot="1" x14ac:dyDescent="0.4">
      <c r="A8" s="118" t="s">
        <v>48</v>
      </c>
      <c r="B8" s="101">
        <f>'Baseline and counterfactual'!H6*'Stochastic outputs'!G5-'Stochastic outputs'!G33*'Baseline and counterfactual'!H6</f>
        <v>77.798753651144878</v>
      </c>
      <c r="C8" s="101">
        <f>'Baseline and counterfactual'!I6*'Stochastic outputs'!G61-'Stochastic outputs'!G89*'Baseline and counterfactual'!I6</f>
        <v>21.304730263057241</v>
      </c>
      <c r="D8" s="101">
        <f t="shared" si="0"/>
        <v>99.103483914202116</v>
      </c>
      <c r="F8" s="120" t="s">
        <v>48</v>
      </c>
      <c r="G8" s="121">
        <f>'Baseline and counterfactual'!H6*'Stochastic outputs'!K5-'Baseline and counterfactual'!H6*'Stochastic outputs'!K33</f>
        <v>59.432647536885241</v>
      </c>
      <c r="H8" s="121">
        <f>'Baseline and counterfactual'!H6*'Stochastic outputs'!L5-'Baseline and counterfactual'!H6*'Stochastic outputs'!L33</f>
        <v>95.855612303863651</v>
      </c>
      <c r="I8" s="121">
        <f>'Baseline and counterfactual'!I6*'Stochastic outputs'!K61-'Baseline and counterfactual'!I6*'Stochastic outputs'!K89</f>
        <v>16.209907457728434</v>
      </c>
      <c r="J8" s="121">
        <f>'Baseline and counterfactual'!I6*'Stochastic outputs'!L61-'Baseline and counterfactual'!I6*'Stochastic outputs'!L89</f>
        <v>26.191245671941036</v>
      </c>
      <c r="K8" s="123">
        <f t="shared" si="1"/>
        <v>75.642554994613675</v>
      </c>
      <c r="L8" s="124">
        <f t="shared" si="2"/>
        <v>122.04685797580468</v>
      </c>
    </row>
    <row r="9" spans="1:12" ht="16" thickBot="1" x14ac:dyDescent="0.4">
      <c r="A9" s="118" t="s">
        <v>49</v>
      </c>
      <c r="B9" s="101">
        <f>'Baseline and counterfactual'!H7*'Stochastic outputs'!G6-'Stochastic outputs'!G34*'Baseline and counterfactual'!H7</f>
        <v>118.99253725559444</v>
      </c>
      <c r="C9" s="101">
        <f>'Baseline and counterfactual'!I7*'Stochastic outputs'!G62-'Stochastic outputs'!G90*'Baseline and counterfactual'!I7</f>
        <v>35.246785146310678</v>
      </c>
      <c r="D9" s="101">
        <f t="shared" si="0"/>
        <v>154.23932240190513</v>
      </c>
      <c r="F9" s="120" t="s">
        <v>49</v>
      </c>
      <c r="G9" s="121">
        <f>'Baseline and counterfactual'!H7*'Stochastic outputs'!K6-'Baseline and counterfactual'!H7*'Stochastic outputs'!K34</f>
        <v>91.198227354914806</v>
      </c>
      <c r="H9" s="121">
        <f>'Baseline and counterfactual'!H7*'Stochastic outputs'!L6-'Baseline and counterfactual'!H7*'Stochastic outputs'!L34</f>
        <v>148.59284563578785</v>
      </c>
      <c r="I9" s="121">
        <f>'Baseline and counterfactual'!I7*'Stochastic outputs'!K62-'Baseline and counterfactual'!I7*'Stochastic outputs'!K90</f>
        <v>27.165521377924318</v>
      </c>
      <c r="J9" s="121">
        <f>'Baseline and counterfactual'!I7*'Stochastic outputs'!L62-'Baseline and counterfactual'!I7*'Stochastic outputs'!L90</f>
        <v>43.129709599243576</v>
      </c>
      <c r="K9" s="123">
        <f t="shared" si="1"/>
        <v>118.36374873283913</v>
      </c>
      <c r="L9" s="124">
        <f t="shared" si="2"/>
        <v>191.72255523503142</v>
      </c>
    </row>
    <row r="10" spans="1:12" ht="16" thickBot="1" x14ac:dyDescent="0.4">
      <c r="A10" s="118" t="s">
        <v>50</v>
      </c>
      <c r="B10" s="101">
        <f>'Baseline and counterfactual'!H8*'Stochastic outputs'!G7-'Stochastic outputs'!G35*'Baseline and counterfactual'!H8</f>
        <v>217.7763522787512</v>
      </c>
      <c r="C10" s="101">
        <f>'Baseline and counterfactual'!I8*'Stochastic outputs'!G63-'Stochastic outputs'!G91*'Baseline and counterfactual'!I8</f>
        <v>61.962892081342765</v>
      </c>
      <c r="D10" s="101">
        <f t="shared" si="0"/>
        <v>279.73924436009395</v>
      </c>
      <c r="F10" s="120" t="s">
        <v>50</v>
      </c>
      <c r="G10" s="121">
        <f>'Baseline and counterfactual'!H8*'Stochastic outputs'!K7-'Baseline and counterfactual'!H8*'Stochastic outputs'!K35</f>
        <v>168.72545139676882</v>
      </c>
      <c r="H10" s="121">
        <f>'Baseline and counterfactual'!H8*'Stochastic outputs'!L7-'Baseline and counterfactual'!H8*'Stochastic outputs'!L35</f>
        <v>267.37700977212364</v>
      </c>
      <c r="I10" s="121">
        <f>'Baseline and counterfactual'!I8*'Stochastic outputs'!K63-'Baseline and counterfactual'!I8*'Stochastic outputs'!K91</f>
        <v>47.341043487924019</v>
      </c>
      <c r="J10" s="121">
        <f>'Baseline and counterfactual'!I8*'Stochastic outputs'!L63-'Baseline and counterfactual'!I8*'Stochastic outputs'!L91</f>
        <v>77.285381148511178</v>
      </c>
      <c r="K10" s="123">
        <f t="shared" si="1"/>
        <v>216.06649488469284</v>
      </c>
      <c r="L10" s="124">
        <f t="shared" si="2"/>
        <v>344.66239092063483</v>
      </c>
    </row>
    <row r="11" spans="1:12" ht="16" thickBot="1" x14ac:dyDescent="0.4">
      <c r="A11" s="118" t="s">
        <v>51</v>
      </c>
      <c r="B11" s="101">
        <f>'Baseline and counterfactual'!H9*'Stochastic outputs'!G8-'Stochastic outputs'!G36*'Baseline and counterfactual'!H9</f>
        <v>317.97251194047629</v>
      </c>
      <c r="C11" s="101">
        <f>'Baseline and counterfactual'!I9*'Stochastic outputs'!G64-'Stochastic outputs'!G92*'Baseline and counterfactual'!I9</f>
        <v>81.254428993917927</v>
      </c>
      <c r="D11" s="101">
        <f t="shared" si="0"/>
        <v>399.22694093439424</v>
      </c>
      <c r="F11" s="120" t="s">
        <v>51</v>
      </c>
      <c r="G11" s="121">
        <f>'Baseline and counterfactual'!H9*'Stochastic outputs'!K8-'Baseline and counterfactual'!H9*'Stochastic outputs'!K36</f>
        <v>240.57526233213841</v>
      </c>
      <c r="H11" s="121">
        <f>'Baseline and counterfactual'!H9*'Stochastic outputs'!L8-'Baseline and counterfactual'!H9*'Stochastic outputs'!L36</f>
        <v>393.15364537923205</v>
      </c>
      <c r="I11" s="121">
        <f>'Baseline and counterfactual'!I9*'Stochastic outputs'!K64-'Baseline and counterfactual'!I9*'Stochastic outputs'!K92</f>
        <v>61.949218430155703</v>
      </c>
      <c r="J11" s="121">
        <f>'Baseline and counterfactual'!I9*'Stochastic outputs'!L64-'Baseline and counterfactual'!I9*'Stochastic outputs'!L92</f>
        <v>101.02622264062229</v>
      </c>
      <c r="K11" s="123">
        <f t="shared" si="1"/>
        <v>302.5244807622941</v>
      </c>
      <c r="L11" s="124">
        <f t="shared" si="2"/>
        <v>494.17986801985433</v>
      </c>
    </row>
    <row r="12" spans="1:12" ht="16" thickBot="1" x14ac:dyDescent="0.4">
      <c r="A12" s="118" t="s">
        <v>52</v>
      </c>
      <c r="B12" s="101">
        <f>'Baseline and counterfactual'!H10*'Stochastic outputs'!G9-'Stochastic outputs'!G37*'Baseline and counterfactual'!H10</f>
        <v>507.13810216736567</v>
      </c>
      <c r="C12" s="101">
        <f>'Baseline and counterfactual'!I10*'Stochastic outputs'!G65-'Stochastic outputs'!G93*'Baseline and counterfactual'!I10</f>
        <v>128.85082957421326</v>
      </c>
      <c r="D12" s="101">
        <f t="shared" si="0"/>
        <v>635.98893174157888</v>
      </c>
      <c r="F12" s="120" t="s">
        <v>52</v>
      </c>
      <c r="G12" s="121">
        <f>'Baseline and counterfactual'!H10*'Stochastic outputs'!K9-'Baseline and counterfactual'!H10*'Stochastic outputs'!K37</f>
        <v>390.00982119424361</v>
      </c>
      <c r="H12" s="121">
        <f>'Baseline and counterfactual'!H10*'Stochastic outputs'!L9-'Baseline and counterfactual'!H10*'Stochastic outputs'!L37</f>
        <v>632.30146547249024</v>
      </c>
      <c r="I12" s="121">
        <f>'Baseline and counterfactual'!I10*'Stochastic outputs'!K65-'Baseline and counterfactual'!I10*'Stochastic outputs'!K93</f>
        <v>96.589398478759918</v>
      </c>
      <c r="J12" s="121">
        <f>'Baseline and counterfactual'!I10*'Stochastic outputs'!L65-'Baseline and counterfactual'!I10*'Stochastic outputs'!L93</f>
        <v>160.95559801610341</v>
      </c>
      <c r="K12" s="123">
        <f t="shared" si="1"/>
        <v>486.59921967300352</v>
      </c>
      <c r="L12" s="124">
        <f t="shared" si="2"/>
        <v>793.25706348859364</v>
      </c>
    </row>
    <row r="13" spans="1:12" ht="16" thickBot="1" x14ac:dyDescent="0.4">
      <c r="A13" s="118" t="s">
        <v>53</v>
      </c>
      <c r="B13" s="101">
        <f>'Baseline and counterfactual'!H11*'Stochastic outputs'!G10-'Stochastic outputs'!G38*'Baseline and counterfactual'!H11</f>
        <v>554.40179343220416</v>
      </c>
      <c r="C13" s="101">
        <f>'Baseline and counterfactual'!I11*'Stochastic outputs'!G66-'Stochastic outputs'!G94*'Baseline and counterfactual'!I11</f>
        <v>142.59675685055089</v>
      </c>
      <c r="D13" s="101">
        <f t="shared" si="0"/>
        <v>696.9985502827551</v>
      </c>
      <c r="F13" s="120" t="s">
        <v>53</v>
      </c>
      <c r="G13" s="121">
        <f>'Baseline and counterfactual'!H11*'Stochastic outputs'!K10-'Baseline and counterfactual'!H11*'Stochastic outputs'!K38</f>
        <v>424.44139694375428</v>
      </c>
      <c r="H13" s="121">
        <f>'Baseline and counterfactual'!H11*'Stochastic outputs'!L10-'Baseline and counterfactual'!H11*'Stochastic outputs'!L38</f>
        <v>688.96913341911784</v>
      </c>
      <c r="I13" s="121">
        <f>'Baseline and counterfactual'!I11*'Stochastic outputs'!K66-'Baseline and counterfactual'!I11*'Stochastic outputs'!K94</f>
        <v>106.65731636827448</v>
      </c>
      <c r="J13" s="121">
        <f>'Baseline and counterfactual'!I11*'Stochastic outputs'!L66-'Baseline and counterfactual'!I11*'Stochastic outputs'!L94</f>
        <v>175.84631731877818</v>
      </c>
      <c r="K13" s="123">
        <f t="shared" si="1"/>
        <v>531.09871331202874</v>
      </c>
      <c r="L13" s="124">
        <f t="shared" si="2"/>
        <v>864.81545073789607</v>
      </c>
    </row>
    <row r="14" spans="1:12" ht="16" thickBot="1" x14ac:dyDescent="0.4">
      <c r="A14" s="118" t="s">
        <v>54</v>
      </c>
      <c r="B14" s="101">
        <f>'Baseline and counterfactual'!H12*'Stochastic outputs'!G11-'Stochastic outputs'!G39*'Baseline and counterfactual'!H12</f>
        <v>660.00282650587565</v>
      </c>
      <c r="C14" s="101">
        <f>'Baseline and counterfactual'!I12*'Stochastic outputs'!G67-'Stochastic outputs'!G95*'Baseline and counterfactual'!I12</f>
        <v>197.10202543466252</v>
      </c>
      <c r="D14" s="101">
        <f t="shared" si="0"/>
        <v>857.1048519405382</v>
      </c>
      <c r="F14" s="120" t="s">
        <v>54</v>
      </c>
      <c r="G14" s="121">
        <f>'Baseline and counterfactual'!H12*'Stochastic outputs'!K11-'Baseline and counterfactual'!H12*'Stochastic outputs'!K39</f>
        <v>509.86974578124051</v>
      </c>
      <c r="H14" s="121">
        <f>'Baseline and counterfactual'!H12*'Stochastic outputs'!L11-'Baseline and counterfactual'!H12*'Stochastic outputs'!L39</f>
        <v>811.97176452378562</v>
      </c>
      <c r="I14" s="121">
        <f>'Baseline and counterfactual'!I12*'Stochastic outputs'!K67-'Baseline and counterfactual'!I12*'Stochastic outputs'!K95</f>
        <v>149.99944722417231</v>
      </c>
      <c r="J14" s="121">
        <f>'Baseline and counterfactual'!I12*'Stochastic outputs'!L67-'Baseline and counterfactual'!I12*'Stochastic outputs'!L95</f>
        <v>241.73422299084518</v>
      </c>
      <c r="K14" s="123">
        <f t="shared" si="1"/>
        <v>659.86919300541285</v>
      </c>
      <c r="L14" s="124">
        <f t="shared" si="2"/>
        <v>1053.7059875146308</v>
      </c>
    </row>
    <row r="15" spans="1:12" ht="16" thickBot="1" x14ac:dyDescent="0.4">
      <c r="A15" s="118" t="s">
        <v>55</v>
      </c>
      <c r="B15" s="101">
        <f>'Baseline and counterfactual'!H13*'Stochastic outputs'!G12-'Stochastic outputs'!G40*'Baseline and counterfactual'!H13</f>
        <v>592.32394146001047</v>
      </c>
      <c r="C15" s="101">
        <f>'Baseline and counterfactual'!I13*'Stochastic outputs'!G68-'Stochastic outputs'!G96*'Baseline and counterfactual'!I13</f>
        <v>198.07808065646108</v>
      </c>
      <c r="D15" s="101">
        <f t="shared" si="0"/>
        <v>790.40202211647158</v>
      </c>
      <c r="F15" s="120" t="s">
        <v>55</v>
      </c>
      <c r="G15" s="121">
        <f>'Baseline and counterfactual'!H13*'Stochastic outputs'!K12-'Baseline and counterfactual'!H13*'Stochastic outputs'!K40</f>
        <v>453.68881933063398</v>
      </c>
      <c r="H15" s="121">
        <f>'Baseline and counterfactual'!H13*'Stochastic outputs'!L12-'Baseline and counterfactual'!H13*'Stochastic outputs'!L40</f>
        <v>729.24586761638341</v>
      </c>
      <c r="I15" s="121">
        <f>'Baseline and counterfactual'!I13*'Stochastic outputs'!K68-'Baseline and counterfactual'!I13*'Stochastic outputs'!K96</f>
        <v>153.94533925020383</v>
      </c>
      <c r="J15" s="121">
        <f>'Baseline and counterfactual'!I13*'Stochastic outputs'!L68-'Baseline and counterfactual'!I13*'Stochastic outputs'!L96</f>
        <v>243.43160379396025</v>
      </c>
      <c r="K15" s="123">
        <f t="shared" si="1"/>
        <v>607.63415858083783</v>
      </c>
      <c r="L15" s="124">
        <f t="shared" si="2"/>
        <v>972.67747141034363</v>
      </c>
    </row>
    <row r="16" spans="1:12" ht="16" thickBot="1" x14ac:dyDescent="0.4">
      <c r="A16" s="118" t="s">
        <v>56</v>
      </c>
      <c r="B16" s="101">
        <f>'Baseline and counterfactual'!H14*'Stochastic outputs'!G13-'Stochastic outputs'!G41*'Baseline and counterfactual'!H14</f>
        <v>562.33374732766731</v>
      </c>
      <c r="C16" s="101">
        <f>'Baseline and counterfactual'!I14*'Stochastic outputs'!G69-'Stochastic outputs'!G97*'Baseline and counterfactual'!I14</f>
        <v>225.5912296776583</v>
      </c>
      <c r="D16" s="101">
        <f t="shared" si="0"/>
        <v>787.92497700532567</v>
      </c>
      <c r="F16" s="120" t="s">
        <v>56</v>
      </c>
      <c r="G16" s="121">
        <f>'Baseline and counterfactual'!H14*'Stochastic outputs'!K13-'Baseline and counterfactual'!H14*'Stochastic outputs'!K41</f>
        <v>439.69575046466389</v>
      </c>
      <c r="H16" s="121">
        <f>'Baseline and counterfactual'!H14*'Stochastic outputs'!L13-'Baseline and counterfactual'!H14*'Stochastic outputs'!L41</f>
        <v>689.93617806065799</v>
      </c>
      <c r="I16" s="121">
        <f>'Baseline and counterfactual'!I14*'Stochastic outputs'!K69-'Baseline and counterfactual'!I14*'Stochastic outputs'!K97</f>
        <v>175.75093156603003</v>
      </c>
      <c r="J16" s="121">
        <f>'Baseline and counterfactual'!I14*'Stochastic outputs'!L69-'Baseline and counterfactual'!I14*'Stochastic outputs'!L97</f>
        <v>279.77828973531462</v>
      </c>
      <c r="K16" s="123">
        <f t="shared" si="1"/>
        <v>615.44668203069386</v>
      </c>
      <c r="L16" s="124">
        <f t="shared" si="2"/>
        <v>969.71446779597261</v>
      </c>
    </row>
    <row r="17" spans="1:12" ht="16" thickBot="1" x14ac:dyDescent="0.4">
      <c r="A17" s="118" t="s">
        <v>57</v>
      </c>
      <c r="B17" s="101">
        <f>'Baseline and counterfactual'!H15*'Stochastic outputs'!G14-'Stochastic outputs'!G42*'Baseline and counterfactual'!H15</f>
        <v>398.77969329307575</v>
      </c>
      <c r="C17" s="101">
        <f>'Baseline and counterfactual'!I15*'Stochastic outputs'!G70-'Stochastic outputs'!G98*'Baseline and counterfactual'!I15</f>
        <v>189.92234066032441</v>
      </c>
      <c r="D17" s="101">
        <f t="shared" si="0"/>
        <v>588.70203395340013</v>
      </c>
      <c r="F17" s="120" t="s">
        <v>57</v>
      </c>
      <c r="G17" s="121">
        <f>'Baseline and counterfactual'!H15*'Stochastic outputs'!K14-'Baseline and counterfactual'!H15*'Stochastic outputs'!K42</f>
        <v>312.14245771485344</v>
      </c>
      <c r="H17" s="121">
        <f>'Baseline and counterfactual'!H15*'Stochastic outputs'!L14-'Baseline and counterfactual'!H15*'Stochastic outputs'!L42</f>
        <v>488.12177669106381</v>
      </c>
      <c r="I17" s="121">
        <f>'Baseline and counterfactual'!I15*'Stochastic outputs'!K70-'Baseline and counterfactual'!I15*'Stochastic outputs'!K98</f>
        <v>147.89635592647744</v>
      </c>
      <c r="J17" s="121">
        <f>'Baseline and counterfactual'!I15*'Stochastic outputs'!L70-'Baseline and counterfactual'!I15*'Stochastic outputs'!L98</f>
        <v>230.24329500266217</v>
      </c>
      <c r="K17" s="123">
        <f t="shared" si="1"/>
        <v>460.03881364133088</v>
      </c>
      <c r="L17" s="124">
        <f t="shared" si="2"/>
        <v>718.36507169372601</v>
      </c>
    </row>
    <row r="18" spans="1:12" ht="15.5" x14ac:dyDescent="0.35">
      <c r="A18" s="118" t="s">
        <v>77</v>
      </c>
      <c r="B18" s="101">
        <f>'Baseline and counterfactual'!H16*'Stochastic outputs'!G15-'Stochastic outputs'!G43*'Baseline and counterfactual'!H16</f>
        <v>687.05954684266533</v>
      </c>
      <c r="C18" s="101">
        <f>'Baseline and counterfactual'!I16*'Stochastic outputs'!G71-'Stochastic outputs'!G99*'Baseline and counterfactual'!I16</f>
        <v>393.54431889307568</v>
      </c>
      <c r="D18" s="101">
        <f t="shared" si="0"/>
        <v>1080.603865735741</v>
      </c>
      <c r="F18" s="120" t="s">
        <v>77</v>
      </c>
      <c r="G18" s="121">
        <f>'Baseline and counterfactual'!H16*'Stochastic outputs'!K15-'Baseline and counterfactual'!H16*'Stochastic outputs'!K43</f>
        <v>533.95698133333792</v>
      </c>
      <c r="H18" s="121">
        <f>'Baseline and counterfactual'!H16*'Stochastic outputs'!L15-'Baseline and counterfactual'!H16*'Stochastic outputs'!L43</f>
        <v>850.24734249216908</v>
      </c>
      <c r="I18" s="121">
        <f>'Baseline and counterfactual'!I16*'Stochastic outputs'!K71-'Baseline and counterfactual'!I16*'Stochastic outputs'!K99</f>
        <v>309.02765563136177</v>
      </c>
      <c r="J18" s="121">
        <f>'Baseline and counterfactual'!I16*'Stochastic outputs'!L71-'Baseline and counterfactual'!I16*'Stochastic outputs'!L99</f>
        <v>482.7171533921873</v>
      </c>
      <c r="K18" s="123">
        <f t="shared" si="1"/>
        <v>842.98463696469969</v>
      </c>
      <c r="L18" s="124">
        <f t="shared" si="2"/>
        <v>1332.9644958843564</v>
      </c>
    </row>
    <row r="19" spans="1:12" ht="15.5" x14ac:dyDescent="0.35">
      <c r="A19" s="43"/>
      <c r="C19" s="19"/>
      <c r="D19" s="19"/>
      <c r="G19" s="125"/>
      <c r="H19" s="126"/>
      <c r="I19" s="125"/>
      <c r="J19" s="126"/>
      <c r="K19" s="125"/>
      <c r="L19" s="126"/>
    </row>
    <row r="20" spans="1:12" ht="15.5" x14ac:dyDescent="0.35">
      <c r="A20" s="118" t="s">
        <v>60</v>
      </c>
      <c r="B20" s="101">
        <f>'Baseline and counterfactual'!H20*'Stochastic outputs'!G16-'Stochastic outputs'!G44*'Baseline and counterfactual'!H20</f>
        <v>-1.5913960720906715E-10</v>
      </c>
      <c r="C20" s="101">
        <f>'Baseline and counterfactual'!I20*'Stochastic outputs'!G72+'Baseline and counterfactual'!I20*'Stochastic outputs'!G100</f>
        <v>0</v>
      </c>
      <c r="D20" s="101">
        <f>B20+C20</f>
        <v>-1.5913960720906715E-10</v>
      </c>
      <c r="F20" s="120" t="s">
        <v>60</v>
      </c>
      <c r="G20" s="123">
        <f>'Baseline and counterfactual'!H20*'Stochastic outputs'!K16-'Baseline and counterfactual'!H20*'Stochastic outputs'!K44</f>
        <v>-6.1420423932455396E-10</v>
      </c>
      <c r="H20" s="123">
        <f>'Baseline and counterfactual'!H20*'Stochastic outputs'!L16-'Baseline and counterfactual'!H20*'Stochastic outputs'!L44</f>
        <v>9.5629950798952319E-11</v>
      </c>
      <c r="I20" s="123">
        <f>'Baseline and counterfactual'!I20*'Stochastic outputs'!K72-'Baseline and counterfactual'!I20*'Stochastic outputs'!K100</f>
        <v>0</v>
      </c>
      <c r="J20" s="123">
        <f>'Baseline and counterfactual'!I20*'Stochastic outputs'!L72-'Baseline and counterfactual'!I20*'Stochastic outputs'!L100</f>
        <v>0</v>
      </c>
      <c r="K20" s="123">
        <f>G20+I20</f>
        <v>-6.1420423932455396E-10</v>
      </c>
      <c r="L20" s="124">
        <f>H20+J20</f>
        <v>9.5629950798952319E-11</v>
      </c>
    </row>
    <row r="21" spans="1:12" ht="15.5" x14ac:dyDescent="0.35">
      <c r="A21" s="118" t="s">
        <v>61</v>
      </c>
      <c r="B21" s="101">
        <f>'Baseline and counterfactual'!H21*'Stochastic outputs'!G17-'Stochastic outputs'!G45*'Baseline and counterfactual'!H21</f>
        <v>-2.85319888550028E-10</v>
      </c>
      <c r="C21" s="101">
        <f>'Baseline and counterfactual'!I21*'Stochastic outputs'!G73+'Baseline and counterfactual'!I21*'Stochastic outputs'!G101</f>
        <v>0</v>
      </c>
      <c r="D21" s="101">
        <f t="shared" ref="D21:D33" si="3">B21+C21</f>
        <v>-2.85319888550028E-10</v>
      </c>
      <c r="F21" s="120" t="s">
        <v>61</v>
      </c>
      <c r="G21" s="123">
        <f>'Baseline and counterfactual'!H21*'Stochastic outputs'!K17-'Baseline and counterfactual'!H21*'Stochastic outputs'!K45</f>
        <v>-1.089385255689882E-9</v>
      </c>
      <c r="H21" s="123">
        <f>'Baseline and counterfactual'!H21*'Stochastic outputs'!L17-'Baseline and counterfactual'!H21*'Stochastic outputs'!L45</f>
        <v>1.5201689371257E-10</v>
      </c>
      <c r="I21" s="123">
        <f>'Baseline and counterfactual'!I21*'Stochastic outputs'!K73-'Baseline and counterfactual'!I21*'Stochastic outputs'!K101</f>
        <v>0</v>
      </c>
      <c r="J21" s="123">
        <f>'Baseline and counterfactual'!I21*'Stochastic outputs'!L73-'Baseline and counterfactual'!I21*'Stochastic outputs'!L101</f>
        <v>0</v>
      </c>
      <c r="K21" s="123">
        <f t="shared" ref="K21:K33" si="4">G21+I21</f>
        <v>-1.089385255689882E-9</v>
      </c>
      <c r="L21" s="124">
        <f t="shared" ref="L21:L33" si="5">H21+J21</f>
        <v>1.5201689371257E-10</v>
      </c>
    </row>
    <row r="22" spans="1:12" ht="15.5" x14ac:dyDescent="0.35">
      <c r="A22" s="118" t="s">
        <v>62</v>
      </c>
      <c r="B22" s="101">
        <f>'Baseline and counterfactual'!H22*'Stochastic outputs'!G18-'Stochastic outputs'!G46*'Baseline and counterfactual'!H22</f>
        <v>10.282031975879118</v>
      </c>
      <c r="C22" s="101">
        <f>'Baseline and counterfactual'!I22*'Stochastic outputs'!G74+'Baseline and counterfactual'!I22*'Stochastic outputs'!G102</f>
        <v>9.8099729538827045</v>
      </c>
      <c r="D22" s="101">
        <f t="shared" si="3"/>
        <v>20.092004929761821</v>
      </c>
      <c r="F22" s="120" t="s">
        <v>62</v>
      </c>
      <c r="G22" s="123">
        <f>'Baseline and counterfactual'!H22*'Stochastic outputs'!K18-'Baseline and counterfactual'!H22*'Stochastic outputs'!K46</f>
        <v>7.8380222624960103</v>
      </c>
      <c r="H22" s="123">
        <f>'Baseline and counterfactual'!H22*'Stochastic outputs'!L18-'Baseline and counterfactual'!H22*'Stochastic outputs'!L46</f>
        <v>12.72182100425181</v>
      </c>
      <c r="I22" s="123">
        <f>'Baseline and counterfactual'!I22*'Stochastic outputs'!K74-'Baseline and counterfactual'!I22*'Stochastic outputs'!K102</f>
        <v>7.3682026398328961</v>
      </c>
      <c r="J22" s="123">
        <f>'Baseline and counterfactual'!I22*'Stochastic outputs'!L74-'Baseline and counterfactual'!I22*'Stochastic outputs'!L102</f>
        <v>12.121343156879892</v>
      </c>
      <c r="K22" s="123">
        <f t="shared" si="4"/>
        <v>15.206224902328906</v>
      </c>
      <c r="L22" s="124">
        <f t="shared" si="5"/>
        <v>24.843164161131703</v>
      </c>
    </row>
    <row r="23" spans="1:12" ht="15.5" x14ac:dyDescent="0.35">
      <c r="A23" s="118" t="s">
        <v>63</v>
      </c>
      <c r="B23" s="101">
        <f>'Baseline and counterfactual'!H23*'Stochastic outputs'!G19-'Stochastic outputs'!G47*'Baseline and counterfactual'!H23</f>
        <v>25.842098601024656</v>
      </c>
      <c r="C23" s="101">
        <f>'Baseline and counterfactual'!I23*'Stochastic outputs'!G75+'Baseline and counterfactual'!I23*'Stochastic outputs'!G103</f>
        <v>21.364025991282997</v>
      </c>
      <c r="D23" s="101">
        <f t="shared" si="3"/>
        <v>47.206124592307653</v>
      </c>
      <c r="F23" s="120" t="s">
        <v>63</v>
      </c>
      <c r="G23" s="123">
        <f>'Baseline and counterfactual'!H23*'Stochastic outputs'!K19-'Baseline and counterfactual'!H23*'Stochastic outputs'!K47</f>
        <v>19.652855727970984</v>
      </c>
      <c r="H23" s="123">
        <f>'Baseline and counterfactual'!H23*'Stochastic outputs'!L19-'Baseline and counterfactual'!H23*'Stochastic outputs'!L47</f>
        <v>32.004150958364839</v>
      </c>
      <c r="I23" s="123">
        <f>'Baseline and counterfactual'!I23*'Stochastic outputs'!K75-'Baseline and counterfactual'!I23*'Stochastic outputs'!K103</f>
        <v>16.23401367988674</v>
      </c>
      <c r="J23" s="123">
        <f>'Baseline and counterfactual'!I23*'Stochastic outputs'!L75-'Baseline and counterfactual'!I23*'Stochastic outputs'!L103</f>
        <v>26.444692579938184</v>
      </c>
      <c r="K23" s="123">
        <f t="shared" si="4"/>
        <v>35.886869407857724</v>
      </c>
      <c r="L23" s="124">
        <f t="shared" si="5"/>
        <v>58.448843538303024</v>
      </c>
    </row>
    <row r="24" spans="1:12" ht="15.5" x14ac:dyDescent="0.35">
      <c r="A24" s="118" t="s">
        <v>64</v>
      </c>
      <c r="B24" s="101">
        <f>'Baseline and counterfactual'!H24*'Stochastic outputs'!G20-'Stochastic outputs'!G48*'Baseline and counterfactual'!H24</f>
        <v>55.246443430820086</v>
      </c>
      <c r="C24" s="101">
        <f>'Baseline and counterfactual'!I24*'Stochastic outputs'!G76+'Baseline and counterfactual'!I24*'Stochastic outputs'!G104</f>
        <v>36.050818062428007</v>
      </c>
      <c r="D24" s="101">
        <f t="shared" si="3"/>
        <v>91.297261493248101</v>
      </c>
      <c r="F24" s="120" t="s">
        <v>64</v>
      </c>
      <c r="G24" s="123">
        <f>'Baseline and counterfactual'!H24*'Stochastic outputs'!K20-'Baseline and counterfactual'!H24*'Stochastic outputs'!K48</f>
        <v>42.259289234763862</v>
      </c>
      <c r="H24" s="123">
        <f>'Baseline and counterfactual'!H24*'Stochastic outputs'!L20-'Baseline and counterfactual'!H24*'Stochastic outputs'!L48</f>
        <v>68.260920519602223</v>
      </c>
      <c r="I24" s="123">
        <f>'Baseline and counterfactual'!I24*'Stochastic outputs'!K76-'Baseline and counterfactual'!I24*'Stochastic outputs'!K104</f>
        <v>27.518795187755885</v>
      </c>
      <c r="J24" s="123">
        <f>'Baseline and counterfactual'!I24*'Stochastic outputs'!L76-'Baseline and counterfactual'!I24*'Stochastic outputs'!L104</f>
        <v>44.30738512359158</v>
      </c>
      <c r="K24" s="123">
        <f t="shared" si="4"/>
        <v>69.778084422519754</v>
      </c>
      <c r="L24" s="124">
        <f t="shared" si="5"/>
        <v>112.56830564319381</v>
      </c>
    </row>
    <row r="25" spans="1:12" ht="15.5" x14ac:dyDescent="0.35">
      <c r="A25" s="118" t="s">
        <v>65</v>
      </c>
      <c r="B25" s="101">
        <f>'Baseline and counterfactual'!H25*'Stochastic outputs'!G21-'Stochastic outputs'!G49*'Baseline and counterfactual'!H25</f>
        <v>101.67472094582919</v>
      </c>
      <c r="C25" s="101">
        <f>'Baseline and counterfactual'!I25*'Stochastic outputs'!G77+'Baseline and counterfactual'!I25*'Stochastic outputs'!G105</f>
        <v>55.952156719186206</v>
      </c>
      <c r="D25" s="101">
        <f t="shared" si="3"/>
        <v>157.6268776650154</v>
      </c>
      <c r="F25" s="120" t="s">
        <v>65</v>
      </c>
      <c r="G25" s="123">
        <f>'Baseline and counterfactual'!H25*'Stochastic outputs'!K21-'Baseline and counterfactual'!H25*'Stochastic outputs'!K49</f>
        <v>77.323746039283364</v>
      </c>
      <c r="H25" s="123">
        <f>'Baseline and counterfactual'!H25*'Stochastic outputs'!L21-'Baseline and counterfactual'!H25*'Stochastic outputs'!L49</f>
        <v>126.31757462214306</v>
      </c>
      <c r="I25" s="123">
        <f>'Baseline and counterfactual'!I25*'Stochastic outputs'!K77-'Baseline and counterfactual'!I25*'Stochastic outputs'!K105</f>
        <v>43.184754464624511</v>
      </c>
      <c r="J25" s="123">
        <f>'Baseline and counterfactual'!I25*'Stochastic outputs'!L77-'Baseline and counterfactual'!I25*'Stochastic outputs'!L105</f>
        <v>69.583796847302537</v>
      </c>
      <c r="K25" s="123">
        <f t="shared" si="4"/>
        <v>120.50850050390787</v>
      </c>
      <c r="L25" s="124">
        <f t="shared" si="5"/>
        <v>195.90137146944559</v>
      </c>
    </row>
    <row r="26" spans="1:12" ht="15.5" x14ac:dyDescent="0.35">
      <c r="A26" s="118" t="s">
        <v>66</v>
      </c>
      <c r="B26" s="101">
        <f>'Baseline and counterfactual'!H26*'Stochastic outputs'!G22-'Stochastic outputs'!G50*'Baseline and counterfactual'!H26</f>
        <v>139.83528552620712</v>
      </c>
      <c r="C26" s="101">
        <f>'Baseline and counterfactual'!I26*'Stochastic outputs'!G78+'Baseline and counterfactual'!I26*'Stochastic outputs'!G106</f>
        <v>78.548430911396807</v>
      </c>
      <c r="D26" s="101">
        <f t="shared" si="3"/>
        <v>218.38371643760394</v>
      </c>
      <c r="F26" s="120" t="s">
        <v>66</v>
      </c>
      <c r="G26" s="123">
        <f>'Baseline and counterfactual'!H26*'Stochastic outputs'!K22-'Baseline and counterfactual'!H26*'Stochastic outputs'!K50</f>
        <v>106.09775377621375</v>
      </c>
      <c r="H26" s="123">
        <f>'Baseline and counterfactual'!H26*'Stochastic outputs'!L22-'Baseline and counterfactual'!H26*'Stochastic outputs'!L50</f>
        <v>174.16463540722472</v>
      </c>
      <c r="I26" s="123">
        <f>'Baseline and counterfactual'!I26*'Stochastic outputs'!K78-'Baseline and counterfactual'!I26*'Stochastic outputs'!K106</f>
        <v>59.375927928492729</v>
      </c>
      <c r="J26" s="123">
        <f>'Baseline and counterfactual'!I26*'Stochastic outputs'!L78-'Baseline and counterfactual'!I26*'Stochastic outputs'!L106</f>
        <v>99.122781036629519</v>
      </c>
      <c r="K26" s="123">
        <f t="shared" si="4"/>
        <v>165.47368170470648</v>
      </c>
      <c r="L26" s="124">
        <f t="shared" si="5"/>
        <v>273.28741644385423</v>
      </c>
    </row>
    <row r="27" spans="1:12" ht="15.5" x14ac:dyDescent="0.35">
      <c r="A27" s="118" t="s">
        <v>67</v>
      </c>
      <c r="B27" s="101">
        <f>'Baseline and counterfactual'!H27*'Stochastic outputs'!G23-'Stochastic outputs'!G51*'Baseline and counterfactual'!H27</f>
        <v>216.81776892907766</v>
      </c>
      <c r="C27" s="101">
        <f>'Baseline and counterfactual'!I27*'Stochastic outputs'!G79+'Baseline and counterfactual'!I27*'Stochastic outputs'!G107</f>
        <v>106.28464837989301</v>
      </c>
      <c r="D27" s="101">
        <f t="shared" si="3"/>
        <v>323.10241730897064</v>
      </c>
      <c r="F27" s="120" t="s">
        <v>67</v>
      </c>
      <c r="G27" s="123">
        <f>'Baseline and counterfactual'!H27*'Stochastic outputs'!K23-'Baseline and counterfactual'!H27*'Stochastic outputs'!K51</f>
        <v>161.79106829745305</v>
      </c>
      <c r="H27" s="123">
        <f>'Baseline and counterfactual'!H27*'Stochastic outputs'!L23-'Baseline and counterfactual'!H27*'Stochastic outputs'!L51</f>
        <v>272.65352286440793</v>
      </c>
      <c r="I27" s="123">
        <f>'Baseline and counterfactual'!I27*'Stochastic outputs'!K79-'Baseline and counterfactual'!I27*'Stochastic outputs'!K107</f>
        <v>82.135485045035637</v>
      </c>
      <c r="J27" s="123">
        <f>'Baseline and counterfactual'!I27*'Stochastic outputs'!L79-'Baseline and counterfactual'!I27*'Stochastic outputs'!L107</f>
        <v>132.26261388567943</v>
      </c>
      <c r="K27" s="123">
        <f t="shared" si="4"/>
        <v>243.92655334248869</v>
      </c>
      <c r="L27" s="124">
        <f t="shared" si="5"/>
        <v>404.91613675008739</v>
      </c>
    </row>
    <row r="28" spans="1:12" ht="15.5" x14ac:dyDescent="0.35">
      <c r="A28" s="118" t="s">
        <v>68</v>
      </c>
      <c r="B28" s="101">
        <f>'Baseline and counterfactual'!H28*'Stochastic outputs'!G24-'Stochastic outputs'!G52*'Baseline and counterfactual'!H28</f>
        <v>259.30078451221755</v>
      </c>
      <c r="C28" s="101">
        <f>'Baseline and counterfactual'!I28*'Stochastic outputs'!G80+'Baseline and counterfactual'!I28*'Stochastic outputs'!G108</f>
        <v>108.55274733726034</v>
      </c>
      <c r="D28" s="101">
        <f t="shared" si="3"/>
        <v>367.85353184947792</v>
      </c>
      <c r="F28" s="120" t="s">
        <v>68</v>
      </c>
      <c r="G28" s="123">
        <f>'Baseline and counterfactual'!H28*'Stochastic outputs'!K24-'Baseline and counterfactual'!H28*'Stochastic outputs'!K52</f>
        <v>197.40632314060267</v>
      </c>
      <c r="H28" s="123">
        <f>'Baseline and counterfactual'!H28*'Stochastic outputs'!L24-'Baseline and counterfactual'!H28*'Stochastic outputs'!L52</f>
        <v>319.6727005355196</v>
      </c>
      <c r="I28" s="123">
        <f>'Baseline and counterfactual'!I28*'Stochastic outputs'!K80-'Baseline and counterfactual'!I28*'Stochastic outputs'!K108</f>
        <v>83.358290922129072</v>
      </c>
      <c r="J28" s="123">
        <f>'Baseline and counterfactual'!I28*'Stochastic outputs'!L80-'Baseline and counterfactual'!I28*'Stochastic outputs'!L108</f>
        <v>135.52414140313746</v>
      </c>
      <c r="K28" s="123">
        <f t="shared" si="4"/>
        <v>280.76461406273177</v>
      </c>
      <c r="L28" s="124">
        <f t="shared" si="5"/>
        <v>455.19684193865703</v>
      </c>
    </row>
    <row r="29" spans="1:12" ht="15.5" x14ac:dyDescent="0.35">
      <c r="A29" s="118" t="s">
        <v>69</v>
      </c>
      <c r="B29" s="101">
        <f>'Baseline and counterfactual'!H29*'Stochastic outputs'!G25-'Stochastic outputs'!G53*'Baseline and counterfactual'!H29</f>
        <v>341.82507901982751</v>
      </c>
      <c r="C29" s="101">
        <f>'Baseline and counterfactual'!I29*'Stochastic outputs'!G81+'Baseline and counterfactual'!I29*'Stochastic outputs'!G109</f>
        <v>139.72617883365146</v>
      </c>
      <c r="D29" s="101">
        <f t="shared" si="3"/>
        <v>481.551257853479</v>
      </c>
      <c r="F29" s="120" t="s">
        <v>69</v>
      </c>
      <c r="G29" s="123">
        <f>'Baseline and counterfactual'!H29*'Stochastic outputs'!K25-'Baseline and counterfactual'!H29*'Stochastic outputs'!K53</f>
        <v>261.73669965593854</v>
      </c>
      <c r="H29" s="123">
        <f>'Baseline and counterfactual'!H29*'Stochastic outputs'!L25-'Baseline and counterfactual'!H29*'Stochastic outputs'!L53</f>
        <v>418.32155133537526</v>
      </c>
      <c r="I29" s="123">
        <f>'Baseline and counterfactual'!I29*'Stochastic outputs'!K81-'Baseline and counterfactual'!I29*'Stochastic outputs'!K109</f>
        <v>106.98420781405048</v>
      </c>
      <c r="J29" s="123">
        <f>'Baseline and counterfactual'!I29*'Stochastic outputs'!L81-'Baseline and counterfactual'!I29*'Stochastic outputs'!L109</f>
        <v>170.47560325592454</v>
      </c>
      <c r="K29" s="123">
        <f t="shared" si="4"/>
        <v>368.72090746998902</v>
      </c>
      <c r="L29" s="124">
        <f t="shared" si="5"/>
        <v>588.79715459129977</v>
      </c>
    </row>
    <row r="30" spans="1:12" ht="15.5" x14ac:dyDescent="0.35">
      <c r="A30" s="118" t="s">
        <v>70</v>
      </c>
      <c r="B30" s="101">
        <f>'Baseline and counterfactual'!H30*'Stochastic outputs'!G26-'Stochastic outputs'!G54*'Baseline and counterfactual'!H30</f>
        <v>342.1140721581956</v>
      </c>
      <c r="C30" s="101">
        <f>'Baseline and counterfactual'!I30*'Stochastic outputs'!G82+'Baseline and counterfactual'!I30*'Stochastic outputs'!G110</f>
        <v>145.79870118964772</v>
      </c>
      <c r="D30" s="101">
        <f t="shared" si="3"/>
        <v>487.91277334784331</v>
      </c>
      <c r="F30" s="120" t="s">
        <v>70</v>
      </c>
      <c r="G30" s="123">
        <f>'Baseline and counterfactual'!H30*'Stochastic outputs'!K26-'Baseline and counterfactual'!H30*'Stochastic outputs'!K54</f>
        <v>263.83785347429085</v>
      </c>
      <c r="H30" s="123">
        <f>'Baseline and counterfactual'!H30*'Stochastic outputs'!L26-'Baseline and counterfactual'!H30*'Stochastic outputs'!L54</f>
        <v>418.89406736982806</v>
      </c>
      <c r="I30" s="123">
        <f>'Baseline and counterfactual'!I30*'Stochastic outputs'!K82-'Baseline and counterfactual'!I30*'Stochastic outputs'!K110</f>
        <v>111.85095583350629</v>
      </c>
      <c r="J30" s="123">
        <f>'Baseline and counterfactual'!I30*'Stochastic outputs'!L82-'Baseline and counterfactual'!I30*'Stochastic outputs'!L110</f>
        <v>178.59372842091909</v>
      </c>
      <c r="K30" s="123">
        <f t="shared" si="4"/>
        <v>375.68880930779716</v>
      </c>
      <c r="L30" s="124">
        <f t="shared" si="5"/>
        <v>597.48779579074721</v>
      </c>
    </row>
    <row r="31" spans="1:12" ht="15.5" x14ac:dyDescent="0.35">
      <c r="A31" s="118" t="s">
        <v>71</v>
      </c>
      <c r="B31" s="101">
        <f>'Baseline and counterfactual'!H31*'Stochastic outputs'!G27-'Stochastic outputs'!G55*'Baseline and counterfactual'!H31</f>
        <v>387.76629038604801</v>
      </c>
      <c r="C31" s="101">
        <f>'Baseline and counterfactual'!I31*'Stochastic outputs'!G83+'Baseline and counterfactual'!I31*'Stochastic outputs'!G111</f>
        <v>183.61342098215542</v>
      </c>
      <c r="D31" s="101">
        <f t="shared" si="3"/>
        <v>571.3797113682034</v>
      </c>
      <c r="F31" s="120" t="s">
        <v>71</v>
      </c>
      <c r="G31" s="123">
        <f>'Baseline and counterfactual'!H31*'Stochastic outputs'!K27-'Baseline and counterfactual'!H31*'Stochastic outputs'!K55</f>
        <v>302.51192117852531</v>
      </c>
      <c r="H31" s="123">
        <f>'Baseline and counterfactual'!H31*'Stochastic outputs'!L27-'Baseline and counterfactual'!H31*'Stochastic outputs'!L55</f>
        <v>473.16634458928945</v>
      </c>
      <c r="I31" s="123">
        <f>'Baseline and counterfactual'!I31*'Stochastic outputs'!K83-'Baseline and counterfactual'!I31*'Stochastic outputs'!K111</f>
        <v>143.39260031881764</v>
      </c>
      <c r="J31" s="123">
        <f>'Baseline and counterfactual'!I31*'Stochastic outputs'!L83-'Baseline and counterfactual'!I31*'Stochastic outputs'!L111</f>
        <v>223.52891487803853</v>
      </c>
      <c r="K31" s="123">
        <f t="shared" si="4"/>
        <v>445.90452149734296</v>
      </c>
      <c r="L31" s="124">
        <f t="shared" si="5"/>
        <v>696.69525946732801</v>
      </c>
    </row>
    <row r="32" spans="1:12" ht="15.5" x14ac:dyDescent="0.35">
      <c r="A32" s="118" t="s">
        <v>72</v>
      </c>
      <c r="B32" s="101">
        <f>'Baseline and counterfactual'!H32*'Stochastic outputs'!G28-'Stochastic outputs'!G56*'Baseline and counterfactual'!H32</f>
        <v>330.94053529553651</v>
      </c>
      <c r="C32" s="101">
        <f>'Baseline and counterfactual'!I32*'Stochastic outputs'!G84+'Baseline and counterfactual'!I32*'Stochastic outputs'!G112</f>
        <v>179.16166295777344</v>
      </c>
      <c r="D32" s="101">
        <f t="shared" si="3"/>
        <v>510.10219825330995</v>
      </c>
      <c r="F32" s="120" t="s">
        <v>72</v>
      </c>
      <c r="G32" s="123">
        <f>'Baseline and counterfactual'!H32*'Stochastic outputs'!K28-'Baseline and counterfactual'!H32*'Stochastic outputs'!K56</f>
        <v>254.2780194026798</v>
      </c>
      <c r="H32" s="123">
        <f>'Baseline and counterfactual'!H32*'Stochastic outputs'!L28-'Baseline and counterfactual'!H32*'Stochastic outputs'!L56</f>
        <v>401.73892357597902</v>
      </c>
      <c r="I32" s="123">
        <f>'Baseline and counterfactual'!I32*'Stochastic outputs'!K84-'Baseline and counterfactual'!I32*'Stochastic outputs'!K112</f>
        <v>140.85281646704237</v>
      </c>
      <c r="J32" s="123">
        <f>'Baseline and counterfactual'!I32*'Stochastic outputs'!L84-'Baseline and counterfactual'!I32*'Stochastic outputs'!L112</f>
        <v>219.69041090126879</v>
      </c>
      <c r="K32" s="123">
        <f t="shared" si="4"/>
        <v>395.1308358697222</v>
      </c>
      <c r="L32" s="124">
        <f t="shared" si="5"/>
        <v>621.42933447724783</v>
      </c>
    </row>
    <row r="33" spans="1:12" ht="15.5" x14ac:dyDescent="0.35">
      <c r="A33" s="118" t="s">
        <v>78</v>
      </c>
      <c r="B33" s="101">
        <f>'Baseline and counterfactual'!H33*'Stochastic outputs'!G29-'Stochastic outputs'!G57*'Baseline and counterfactual'!H33</f>
        <v>857.6301774194992</v>
      </c>
      <c r="C33" s="101">
        <f>'Baseline and counterfactual'!I33*'Stochastic outputs'!G85+'Baseline and counterfactual'!I33*'Stochastic outputs'!G113</f>
        <v>547.16637847201184</v>
      </c>
      <c r="D33" s="101">
        <f t="shared" si="3"/>
        <v>1404.7965558915112</v>
      </c>
      <c r="F33" s="120" t="s">
        <v>78</v>
      </c>
      <c r="G33" s="123">
        <f>'Baseline and counterfactual'!H33*'Stochastic outputs'!K29-'Baseline and counterfactual'!H33*'Stochastic outputs'!K57</f>
        <v>667.92750732624995</v>
      </c>
      <c r="H33" s="123">
        <f>'Baseline and counterfactual'!H33*'Stochastic outputs'!L29-'Baseline and counterfactual'!H33*'Stochastic outputs'!L57</f>
        <v>1051.8356702494118</v>
      </c>
      <c r="I33" s="123">
        <f>'Baseline and counterfactual'!I33*'Stochastic outputs'!K85-'Baseline and counterfactual'!I33*'Stochastic outputs'!K113</f>
        <v>422.88195701038256</v>
      </c>
      <c r="J33" s="123">
        <f>'Baseline and counterfactual'!I33*'Stochastic outputs'!L85-'Baseline and counterfactual'!I33*'Stochastic outputs'!L113</f>
        <v>668.77338602478039</v>
      </c>
      <c r="K33" s="123">
        <f t="shared" si="4"/>
        <v>1090.8094643366326</v>
      </c>
      <c r="L33" s="124">
        <f t="shared" si="5"/>
        <v>1720.6090562741922</v>
      </c>
    </row>
    <row r="34" spans="1:12" x14ac:dyDescent="0.35">
      <c r="G34" s="127"/>
      <c r="H34" s="128"/>
      <c r="I34" s="129"/>
      <c r="J34" s="130"/>
      <c r="K34" s="129"/>
      <c r="L34" s="130"/>
    </row>
    <row r="35" spans="1:12" ht="16" thickBot="1" x14ac:dyDescent="0.4">
      <c r="A35" s="131" t="s">
        <v>22</v>
      </c>
      <c r="B35" s="132">
        <f>SUM(B5:B33)</f>
        <v>7803.6882291174534</v>
      </c>
      <c r="C35" s="132">
        <f>SUM(C5:C33)</f>
        <v>3300.0601718104972</v>
      </c>
      <c r="D35" s="132">
        <f>SUM(D5:D33)</f>
        <v>11103.748400927949</v>
      </c>
      <c r="E35" s="1"/>
      <c r="F35" s="1"/>
      <c r="G35" s="133">
        <f t="shared" ref="G35:L35" si="6">SUM(G5:G33)</f>
        <v>6016.6050669307397</v>
      </c>
      <c r="H35" s="134">
        <f t="shared" si="6"/>
        <v>9615.1443074793115</v>
      </c>
      <c r="I35" s="133">
        <f t="shared" si="6"/>
        <v>2547.1960811669128</v>
      </c>
      <c r="J35" s="134">
        <f t="shared" si="6"/>
        <v>4058.4193840093376</v>
      </c>
      <c r="K35" s="133">
        <f t="shared" si="6"/>
        <v>8563.8011480976547</v>
      </c>
      <c r="L35" s="134">
        <f t="shared" si="6"/>
        <v>13673.563691488651</v>
      </c>
    </row>
  </sheetData>
  <mergeCells count="5">
    <mergeCell ref="G4:H4"/>
    <mergeCell ref="I4:J4"/>
    <mergeCell ref="K4:L4"/>
    <mergeCell ref="G3:L3"/>
    <mergeCell ref="B3:D3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C244E-3277-4278-B9AF-85D0A82C8552}">
  <dimension ref="A1:K57"/>
  <sheetViews>
    <sheetView topLeftCell="A3" workbookViewId="0">
      <selection activeCell="E38" sqref="E38"/>
    </sheetView>
  </sheetViews>
  <sheetFormatPr defaultRowHeight="14.5" x14ac:dyDescent="0.35"/>
  <sheetData>
    <row r="1" spans="1:7" x14ac:dyDescent="0.35">
      <c r="A1" t="s">
        <v>273</v>
      </c>
      <c r="C1" s="167"/>
      <c r="D1" s="167"/>
    </row>
    <row r="2" spans="1:7" ht="15" thickBot="1" x14ac:dyDescent="0.4">
      <c r="C2" s="167"/>
      <c r="D2" s="167"/>
    </row>
    <row r="3" spans="1:7" x14ac:dyDescent="0.35">
      <c r="A3" s="168"/>
      <c r="B3" s="169" t="s">
        <v>274</v>
      </c>
      <c r="C3" s="170"/>
      <c r="D3" s="171"/>
      <c r="E3" s="168"/>
      <c r="F3" s="169" t="s">
        <v>275</v>
      </c>
      <c r="G3" s="172" t="s">
        <v>276</v>
      </c>
    </row>
    <row r="4" spans="1:7" x14ac:dyDescent="0.35">
      <c r="A4" s="129"/>
      <c r="B4" s="173" t="s">
        <v>24</v>
      </c>
      <c r="C4" s="167"/>
      <c r="D4" s="167"/>
      <c r="E4" s="129"/>
      <c r="F4" s="173" t="s">
        <v>24</v>
      </c>
      <c r="G4" s="130"/>
    </row>
    <row r="5" spans="1:7" ht="15" thickBot="1" x14ac:dyDescent="0.4">
      <c r="A5" s="129"/>
      <c r="B5" s="174" t="s">
        <v>277</v>
      </c>
      <c r="C5" s="175" t="s">
        <v>278</v>
      </c>
      <c r="D5" s="167"/>
      <c r="E5" s="176"/>
      <c r="F5" s="174" t="s">
        <v>277</v>
      </c>
      <c r="G5" s="177" t="s">
        <v>278</v>
      </c>
    </row>
    <row r="6" spans="1:7" x14ac:dyDescent="0.35">
      <c r="A6" s="178" t="s">
        <v>8</v>
      </c>
      <c r="B6" s="179">
        <f>'[2]Inputs '!C36</f>
        <v>13318</v>
      </c>
      <c r="C6" s="171">
        <f>'[2]Inputs '!C51</f>
        <v>3381</v>
      </c>
      <c r="D6" s="180"/>
      <c r="E6" s="181"/>
      <c r="F6" s="182">
        <f ca="1">_xll.ErPoisson(B6)</f>
        <v>13318</v>
      </c>
      <c r="G6" s="183">
        <f ca="1">_xll.ErPoisson(C6)</f>
        <v>3381</v>
      </c>
    </row>
    <row r="7" spans="1:7" x14ac:dyDescent="0.35">
      <c r="A7" s="125" t="s">
        <v>9</v>
      </c>
      <c r="B7" s="184">
        <f>'[2]Inputs '!C37</f>
        <v>20335</v>
      </c>
      <c r="C7" s="167">
        <f>'[2]Inputs '!C52</f>
        <v>4622</v>
      </c>
      <c r="D7" s="185"/>
      <c r="E7" s="176"/>
      <c r="F7" s="186">
        <f ca="1">_xll.ErPoisson(B7)</f>
        <v>20335</v>
      </c>
      <c r="G7" s="187">
        <f ca="1">_xll.ErPoisson(C7)</f>
        <v>4622</v>
      </c>
    </row>
    <row r="8" spans="1:7" x14ac:dyDescent="0.35">
      <c r="A8" s="125" t="s">
        <v>10</v>
      </c>
      <c r="B8" s="184">
        <f>'[2]Inputs '!C38</f>
        <v>18620</v>
      </c>
      <c r="C8" s="167">
        <f>'[2]Inputs '!C53</f>
        <v>5281</v>
      </c>
      <c r="D8" s="185"/>
      <c r="E8" s="176"/>
      <c r="F8" s="186">
        <f ca="1">_xll.ErPoisson(B8)</f>
        <v>18620</v>
      </c>
      <c r="G8" s="187">
        <f ca="1">_xll.ErPoisson(C8)</f>
        <v>5281</v>
      </c>
    </row>
    <row r="9" spans="1:7" x14ac:dyDescent="0.35">
      <c r="A9" s="125" t="s">
        <v>11</v>
      </c>
      <c r="B9" s="184">
        <f>'[2]Inputs '!C39</f>
        <v>19702</v>
      </c>
      <c r="C9" s="167">
        <f>'[2]Inputs '!C54</f>
        <v>7243</v>
      </c>
      <c r="D9" s="185"/>
      <c r="E9" s="176"/>
      <c r="F9" s="186">
        <f ca="1">_xll.ErPoisson(B9)</f>
        <v>19702</v>
      </c>
      <c r="G9" s="187">
        <f ca="1">_xll.ErPoisson(C9)</f>
        <v>7243</v>
      </c>
    </row>
    <row r="10" spans="1:7" x14ac:dyDescent="0.35">
      <c r="A10" s="125" t="s">
        <v>12</v>
      </c>
      <c r="B10" s="184">
        <f>'[2]Inputs '!C40</f>
        <v>22644</v>
      </c>
      <c r="C10" s="167">
        <f>'[2]Inputs '!C55</f>
        <v>10385</v>
      </c>
      <c r="D10" s="185"/>
      <c r="E10" s="176"/>
      <c r="F10" s="186">
        <f ca="1">_xll.ErPoisson(B10)</f>
        <v>22644</v>
      </c>
      <c r="G10" s="187">
        <f ca="1">_xll.ErPoisson(C10)</f>
        <v>10385</v>
      </c>
    </row>
    <row r="11" spans="1:7" x14ac:dyDescent="0.35">
      <c r="A11" s="125" t="s">
        <v>13</v>
      </c>
      <c r="B11" s="184">
        <f>'[2]Inputs '!C41</f>
        <v>25925</v>
      </c>
      <c r="C11" s="167">
        <f>'[2]Inputs '!C56</f>
        <v>13760</v>
      </c>
      <c r="D11" s="185"/>
      <c r="E11" s="176"/>
      <c r="F11" s="186">
        <f ca="1">_xll.ErPoisson(B11)</f>
        <v>25925</v>
      </c>
      <c r="G11" s="187">
        <f ca="1">_xll.ErPoisson(C11)</f>
        <v>13760</v>
      </c>
    </row>
    <row r="12" spans="1:7" x14ac:dyDescent="0.35">
      <c r="A12" s="125" t="s">
        <v>14</v>
      </c>
      <c r="B12" s="184">
        <f>'[2]Inputs '!C42</f>
        <v>31381</v>
      </c>
      <c r="C12" s="167">
        <f>'[2]Inputs '!C57</f>
        <v>17882</v>
      </c>
      <c r="D12" s="185"/>
      <c r="E12" s="176"/>
      <c r="F12" s="186">
        <f ca="1">_xll.ErPoisson(B12)</f>
        <v>31381</v>
      </c>
      <c r="G12" s="187">
        <f ca="1">_xll.ErPoisson(C12)</f>
        <v>17882</v>
      </c>
    </row>
    <row r="13" spans="1:7" x14ac:dyDescent="0.35">
      <c r="A13" s="125" t="s">
        <v>15</v>
      </c>
      <c r="B13" s="184">
        <f>'[2]Inputs '!C43</f>
        <v>42668</v>
      </c>
      <c r="C13" s="167">
        <f>'[2]Inputs '!C58</f>
        <v>24751</v>
      </c>
      <c r="D13" s="185"/>
      <c r="E13" s="176"/>
      <c r="F13" s="186">
        <f ca="1">_xll.ErPoisson(B13)</f>
        <v>42668</v>
      </c>
      <c r="G13" s="187">
        <f ca="1">_xll.ErPoisson(C13)</f>
        <v>24751</v>
      </c>
    </row>
    <row r="14" spans="1:7" x14ac:dyDescent="0.35">
      <c r="A14" s="125" t="s">
        <v>16</v>
      </c>
      <c r="B14" s="184">
        <f>'[2]Inputs '!C44</f>
        <v>54522</v>
      </c>
      <c r="C14" s="167">
        <f>'[2]Inputs '!C59</f>
        <v>33486</v>
      </c>
      <c r="D14" s="185"/>
      <c r="E14" s="176"/>
      <c r="F14" s="186">
        <f ca="1">_xll.ErPoisson(B14)</f>
        <v>54522</v>
      </c>
      <c r="G14" s="187">
        <f ca="1">_xll.ErPoisson(C14)</f>
        <v>33486</v>
      </c>
    </row>
    <row r="15" spans="1:7" x14ac:dyDescent="0.35">
      <c r="A15" s="125" t="s">
        <v>17</v>
      </c>
      <c r="B15" s="184">
        <f>'[2]Inputs '!C45</f>
        <v>66424</v>
      </c>
      <c r="C15" s="167">
        <f>'[2]Inputs '!C60</f>
        <v>43422</v>
      </c>
      <c r="D15" s="185"/>
      <c r="E15" s="176"/>
      <c r="F15" s="186">
        <f ca="1">_xll.ErPoisson(B15)</f>
        <v>66424</v>
      </c>
      <c r="G15" s="187">
        <f ca="1">_xll.ErPoisson(C15)</f>
        <v>43422</v>
      </c>
    </row>
    <row r="16" spans="1:7" x14ac:dyDescent="0.35">
      <c r="A16" s="125" t="s">
        <v>18</v>
      </c>
      <c r="B16" s="184">
        <f>'[2]Inputs '!C46</f>
        <v>74116</v>
      </c>
      <c r="C16" s="167">
        <f>'[2]Inputs '!C61</f>
        <v>52849</v>
      </c>
      <c r="D16" s="185"/>
      <c r="E16" s="176"/>
      <c r="F16" s="186">
        <f ca="1">_xll.ErPoisson(B16)</f>
        <v>74116</v>
      </c>
      <c r="G16" s="187">
        <f ca="1">_xll.ErPoisson(C16)</f>
        <v>52849</v>
      </c>
    </row>
    <row r="17" spans="1:11" x14ac:dyDescent="0.35">
      <c r="A17" s="125" t="s">
        <v>19</v>
      </c>
      <c r="B17" s="184">
        <f>'[2]Inputs '!C47</f>
        <v>76165</v>
      </c>
      <c r="C17" s="167">
        <f>'[2]Inputs '!C62</f>
        <v>59744</v>
      </c>
      <c r="D17" s="185"/>
      <c r="E17" s="176"/>
      <c r="F17" s="186">
        <f ca="1">_xll.ErPoisson(B17)</f>
        <v>76165</v>
      </c>
      <c r="G17" s="187">
        <f ca="1">_xll.ErPoisson(C17)</f>
        <v>59744</v>
      </c>
    </row>
    <row r="18" spans="1:11" x14ac:dyDescent="0.35">
      <c r="A18" s="125" t="s">
        <v>20</v>
      </c>
      <c r="B18" s="184">
        <f>'[2]Inputs '!C48</f>
        <v>76965</v>
      </c>
      <c r="C18" s="167">
        <f>'[2]Inputs '!C63</f>
        <v>69156</v>
      </c>
      <c r="D18" s="185"/>
      <c r="E18" s="176"/>
      <c r="F18" s="186">
        <f ca="1">_xll.ErPoisson(B18)</f>
        <v>76965</v>
      </c>
      <c r="G18" s="187">
        <f ca="1">_xll.ErPoisson(C18)</f>
        <v>69156</v>
      </c>
    </row>
    <row r="19" spans="1:11" x14ac:dyDescent="0.35">
      <c r="A19" s="125" t="s">
        <v>279</v>
      </c>
      <c r="B19" s="184">
        <f>'[2]Inputs '!C49</f>
        <v>173884</v>
      </c>
      <c r="C19" s="167">
        <f>'[2]Inputs '!C64</f>
        <v>236229</v>
      </c>
      <c r="D19" s="185"/>
      <c r="E19" s="176"/>
      <c r="F19" s="186">
        <f ca="1">_xll.ErPoisson(B19)</f>
        <v>173884</v>
      </c>
      <c r="G19" s="187">
        <f ca="1">_xll.ErPoisson(C19)</f>
        <v>236229</v>
      </c>
    </row>
    <row r="20" spans="1:11" ht="15" thickBot="1" x14ac:dyDescent="0.4">
      <c r="A20" s="188"/>
      <c r="B20" s="189"/>
      <c r="C20" s="190"/>
      <c r="D20" s="191"/>
      <c r="E20" s="192"/>
      <c r="F20" s="193"/>
      <c r="G20" s="194"/>
    </row>
    <row r="21" spans="1:11" x14ac:dyDescent="0.35">
      <c r="A21" s="1"/>
      <c r="B21" s="167"/>
      <c r="C21" s="167"/>
      <c r="D21" s="167"/>
      <c r="E21" s="167"/>
      <c r="F21" s="186"/>
      <c r="G21" s="186"/>
    </row>
    <row r="22" spans="1:11" x14ac:dyDescent="0.35">
      <c r="A22" s="1"/>
      <c r="B22" s="167"/>
      <c r="C22" s="167"/>
      <c r="D22" s="167"/>
      <c r="E22" s="167"/>
      <c r="F22" s="186"/>
      <c r="G22" s="186"/>
    </row>
    <row r="24" spans="1:11" ht="15" thickBot="1" x14ac:dyDescent="0.4"/>
    <row r="25" spans="1:11" ht="15" thickBot="1" x14ac:dyDescent="0.4">
      <c r="A25" s="195" t="s">
        <v>280</v>
      </c>
      <c r="B25" s="196"/>
      <c r="C25" s="197" t="s">
        <v>283</v>
      </c>
      <c r="D25" s="197"/>
      <c r="E25" s="198"/>
      <c r="G25" s="195" t="s">
        <v>280</v>
      </c>
      <c r="H25" s="196"/>
      <c r="I25" s="197" t="s">
        <v>284</v>
      </c>
      <c r="J25" s="197"/>
      <c r="K25" s="198"/>
    </row>
    <row r="26" spans="1:11" ht="15" thickBot="1" x14ac:dyDescent="0.4">
      <c r="A26" s="199"/>
      <c r="B26" s="200"/>
      <c r="C26" s="200"/>
      <c r="D26" s="200"/>
      <c r="E26" s="201"/>
      <c r="G26" s="199"/>
      <c r="H26" s="200"/>
      <c r="I26" s="200"/>
      <c r="J26" s="200"/>
      <c r="K26" s="201"/>
    </row>
    <row r="27" spans="1:11" ht="15" thickBot="1" x14ac:dyDescent="0.4">
      <c r="A27" s="176"/>
      <c r="B27" s="207" t="s">
        <v>281</v>
      </c>
      <c r="C27" s="208" t="s">
        <v>148</v>
      </c>
      <c r="D27" s="208" t="s">
        <v>149</v>
      </c>
      <c r="E27" s="202" t="s">
        <v>282</v>
      </c>
      <c r="G27" s="176"/>
      <c r="H27" s="207" t="s">
        <v>281</v>
      </c>
      <c r="I27" s="208" t="s">
        <v>148</v>
      </c>
      <c r="J27" s="208" t="s">
        <v>149</v>
      </c>
      <c r="K27" s="202" t="s">
        <v>282</v>
      </c>
    </row>
    <row r="28" spans="1:11" ht="15" thickBot="1" x14ac:dyDescent="0.4">
      <c r="A28" s="100" t="s">
        <v>45</v>
      </c>
      <c r="B28" s="203">
        <v>1</v>
      </c>
      <c r="C28" s="204">
        <v>0.99999999989999999</v>
      </c>
      <c r="D28" s="180">
        <v>1.00000000001</v>
      </c>
      <c r="E28" s="209">
        <f ca="1">_xll.ErPert(C28,B28,D28)</f>
        <v>0.999999999985</v>
      </c>
      <c r="G28" s="100" t="s">
        <v>45</v>
      </c>
      <c r="H28" s="203">
        <v>1</v>
      </c>
      <c r="I28" s="204">
        <v>0.99999999989999999</v>
      </c>
      <c r="J28" s="180">
        <v>1.00000000001</v>
      </c>
      <c r="K28" s="209">
        <f ca="1">_xll.ErPert(I28,H28,J28)</f>
        <v>0.999999999985</v>
      </c>
    </row>
    <row r="29" spans="1:11" ht="15" thickBot="1" x14ac:dyDescent="0.4">
      <c r="A29" s="100" t="s">
        <v>46</v>
      </c>
      <c r="B29" s="205">
        <v>1</v>
      </c>
      <c r="C29" s="204">
        <v>0.99999999989999999</v>
      </c>
      <c r="D29" s="180">
        <v>1.00000000001</v>
      </c>
      <c r="E29" s="209">
        <f ca="1">_xll.ErPert(C29,B29,D29)</f>
        <v>0.999999999985</v>
      </c>
      <c r="G29" s="100" t="s">
        <v>46</v>
      </c>
      <c r="H29" s="205">
        <v>1</v>
      </c>
      <c r="I29" s="204">
        <v>0.99999999989999999</v>
      </c>
      <c r="J29" s="180">
        <v>1.00000000001</v>
      </c>
      <c r="K29" s="210">
        <f ca="1">_xll.ErPert(I29,H29,J29)</f>
        <v>0.999999999985</v>
      </c>
    </row>
    <row r="30" spans="1:11" ht="15" thickBot="1" x14ac:dyDescent="0.4">
      <c r="A30" s="100" t="s">
        <v>47</v>
      </c>
      <c r="B30" s="205">
        <v>1.42</v>
      </c>
      <c r="C30" s="206">
        <v>1.28</v>
      </c>
      <c r="D30" s="185">
        <v>1.57</v>
      </c>
      <c r="E30" s="209">
        <f ca="1">_xll.ErPert(C30,B30,D30)</f>
        <v>1.4216666666666666</v>
      </c>
      <c r="G30" s="100" t="s">
        <v>47</v>
      </c>
      <c r="H30" s="205">
        <f>1+((B30-1)/2)</f>
        <v>1.21</v>
      </c>
      <c r="I30" s="205">
        <f t="shared" ref="I30:J30" si="0">1+((C30-1)/2)</f>
        <v>1.1400000000000001</v>
      </c>
      <c r="J30" s="205">
        <f t="shared" si="0"/>
        <v>1.2850000000000001</v>
      </c>
      <c r="K30" s="210">
        <f ca="1">_xll.ErPert(I30,H30,J30)</f>
        <v>1.2108333333333334</v>
      </c>
    </row>
    <row r="31" spans="1:11" ht="15" thickBot="1" x14ac:dyDescent="0.4">
      <c r="A31" s="100" t="s">
        <v>48</v>
      </c>
      <c r="B31" s="205">
        <v>1.42</v>
      </c>
      <c r="C31" s="206">
        <v>1.28</v>
      </c>
      <c r="D31" s="185">
        <v>1.57</v>
      </c>
      <c r="E31" s="209">
        <f ca="1">_xll.ErPert(C31,B31,D31)</f>
        <v>1.4216666666666666</v>
      </c>
      <c r="G31" s="100" t="s">
        <v>48</v>
      </c>
      <c r="H31" s="205">
        <f t="shared" ref="H31:H41" si="1">1+((B31-1)/2)</f>
        <v>1.21</v>
      </c>
      <c r="I31" s="205">
        <f t="shared" ref="I31:I41" si="2">1+((C31-1)/2)</f>
        <v>1.1400000000000001</v>
      </c>
      <c r="J31" s="205">
        <f t="shared" ref="J31:J41" si="3">1+((D31-1)/2)</f>
        <v>1.2850000000000001</v>
      </c>
      <c r="K31" s="210">
        <f ca="1">_xll.ErPert(I31,H31,J31)</f>
        <v>1.2108333333333334</v>
      </c>
    </row>
    <row r="32" spans="1:11" ht="15" thickBot="1" x14ac:dyDescent="0.4">
      <c r="A32" s="100" t="s">
        <v>49</v>
      </c>
      <c r="B32" s="205">
        <v>1.4</v>
      </c>
      <c r="C32" s="206">
        <v>1.27</v>
      </c>
      <c r="D32" s="185">
        <v>1.54</v>
      </c>
      <c r="E32" s="209">
        <f ca="1">_xll.ErPert(C32,B32,D32)</f>
        <v>1.4016666666666666</v>
      </c>
      <c r="G32" s="100" t="s">
        <v>49</v>
      </c>
      <c r="H32" s="205">
        <f t="shared" si="1"/>
        <v>1.2</v>
      </c>
      <c r="I32" s="205">
        <f t="shared" si="2"/>
        <v>1.135</v>
      </c>
      <c r="J32" s="205">
        <f t="shared" si="3"/>
        <v>1.27</v>
      </c>
      <c r="K32" s="210">
        <f ca="1">_xll.ErPert(I32,H32,J32)</f>
        <v>1.2008333333333334</v>
      </c>
    </row>
    <row r="33" spans="1:11" ht="15" thickBot="1" x14ac:dyDescent="0.4">
      <c r="A33" s="100" t="s">
        <v>50</v>
      </c>
      <c r="B33" s="205">
        <v>1.4</v>
      </c>
      <c r="C33" s="206">
        <v>1.27</v>
      </c>
      <c r="D33" s="185">
        <v>1.54</v>
      </c>
      <c r="E33" s="209">
        <f ca="1">_xll.ErPert(C33,B33,D33)</f>
        <v>1.4016666666666666</v>
      </c>
      <c r="G33" s="100" t="s">
        <v>50</v>
      </c>
      <c r="H33" s="205">
        <f t="shared" si="1"/>
        <v>1.2</v>
      </c>
      <c r="I33" s="205">
        <f t="shared" si="2"/>
        <v>1.135</v>
      </c>
      <c r="J33" s="205">
        <f t="shared" si="3"/>
        <v>1.27</v>
      </c>
      <c r="K33" s="210">
        <f ca="1">_xll.ErPert(I33,H33,J33)</f>
        <v>1.2008333333333334</v>
      </c>
    </row>
    <row r="34" spans="1:11" ht="15" thickBot="1" x14ac:dyDescent="0.4">
      <c r="A34" s="100" t="s">
        <v>51</v>
      </c>
      <c r="B34" s="205">
        <v>1.33</v>
      </c>
      <c r="C34" s="206">
        <v>1.22</v>
      </c>
      <c r="D34" s="185">
        <v>1.45</v>
      </c>
      <c r="E34" s="209">
        <f ca="1">_xll.ErPert(C34,B34,D34)</f>
        <v>1.3316666666666668</v>
      </c>
      <c r="G34" s="100" t="s">
        <v>51</v>
      </c>
      <c r="H34" s="205">
        <f t="shared" si="1"/>
        <v>1.165</v>
      </c>
      <c r="I34" s="205">
        <f t="shared" si="2"/>
        <v>1.1099999999999999</v>
      </c>
      <c r="J34" s="205">
        <f t="shared" si="3"/>
        <v>1.2250000000000001</v>
      </c>
      <c r="K34" s="210">
        <f ca="1">_xll.ErPert(I34,H34,J34)</f>
        <v>1.1658333333333333</v>
      </c>
    </row>
    <row r="35" spans="1:11" ht="15" thickBot="1" x14ac:dyDescent="0.4">
      <c r="A35" s="100" t="s">
        <v>52</v>
      </c>
      <c r="B35" s="205">
        <v>1.33</v>
      </c>
      <c r="C35" s="206">
        <v>1.22</v>
      </c>
      <c r="D35" s="185">
        <v>1.45</v>
      </c>
      <c r="E35" s="209">
        <f ca="1">_xll.ErPert(C35,B35,D35)</f>
        <v>1.3316666666666668</v>
      </c>
      <c r="G35" s="100" t="s">
        <v>52</v>
      </c>
      <c r="H35" s="205">
        <f t="shared" si="1"/>
        <v>1.165</v>
      </c>
      <c r="I35" s="205">
        <f t="shared" si="2"/>
        <v>1.1099999999999999</v>
      </c>
      <c r="J35" s="205">
        <f t="shared" si="3"/>
        <v>1.2250000000000001</v>
      </c>
      <c r="K35" s="210">
        <f ca="1">_xll.ErPert(I35,H35,J35)</f>
        <v>1.1658333333333333</v>
      </c>
    </row>
    <row r="36" spans="1:11" ht="15" thickBot="1" x14ac:dyDescent="0.4">
      <c r="A36" s="100" t="s">
        <v>53</v>
      </c>
      <c r="B36" s="205">
        <v>1.27</v>
      </c>
      <c r="C36" s="206">
        <v>1.18</v>
      </c>
      <c r="D36" s="185">
        <v>1.36</v>
      </c>
      <c r="E36" s="209">
        <f ca="1">_xll.ErPert(C36,B36,D36)</f>
        <v>1.27</v>
      </c>
      <c r="G36" s="100" t="s">
        <v>53</v>
      </c>
      <c r="H36" s="205">
        <f t="shared" si="1"/>
        <v>1.135</v>
      </c>
      <c r="I36" s="205">
        <f t="shared" si="2"/>
        <v>1.0899999999999999</v>
      </c>
      <c r="J36" s="205">
        <f t="shared" si="3"/>
        <v>1.1800000000000002</v>
      </c>
      <c r="K36" s="210">
        <f ca="1">_xll.ErPert(I36,H36,J36)</f>
        <v>1.135</v>
      </c>
    </row>
    <row r="37" spans="1:11" ht="15" thickBot="1" x14ac:dyDescent="0.4">
      <c r="A37" s="100" t="s">
        <v>54</v>
      </c>
      <c r="B37" s="205">
        <v>1.27</v>
      </c>
      <c r="C37" s="206">
        <v>1.18</v>
      </c>
      <c r="D37" s="185">
        <v>1.36</v>
      </c>
      <c r="E37" s="209">
        <f ca="1">_xll.ErPert(C37,B37,D37)</f>
        <v>1.27</v>
      </c>
      <c r="G37" s="100" t="s">
        <v>54</v>
      </c>
      <c r="H37" s="205">
        <f t="shared" si="1"/>
        <v>1.135</v>
      </c>
      <c r="I37" s="205">
        <f t="shared" si="2"/>
        <v>1.0899999999999999</v>
      </c>
      <c r="J37" s="205">
        <f t="shared" si="3"/>
        <v>1.1800000000000002</v>
      </c>
      <c r="K37" s="210">
        <f ca="1">_xll.ErPert(I37,H37,J37)</f>
        <v>1.135</v>
      </c>
    </row>
    <row r="38" spans="1:11" ht="15" thickBot="1" x14ac:dyDescent="0.4">
      <c r="A38" s="100" t="s">
        <v>55</v>
      </c>
      <c r="B38" s="205">
        <v>1.22</v>
      </c>
      <c r="C38" s="206">
        <v>1.1499999999999999</v>
      </c>
      <c r="D38" s="185">
        <v>1.29</v>
      </c>
      <c r="E38" s="209">
        <f ca="1">_xll.ErPert(C38,B38,D38)</f>
        <v>1.22</v>
      </c>
      <c r="G38" s="100" t="s">
        <v>55</v>
      </c>
      <c r="H38" s="205">
        <f t="shared" si="1"/>
        <v>1.1099999999999999</v>
      </c>
      <c r="I38" s="205">
        <f t="shared" si="2"/>
        <v>1.075</v>
      </c>
      <c r="J38" s="205">
        <f t="shared" si="3"/>
        <v>1.145</v>
      </c>
      <c r="K38" s="210">
        <f ca="1">_xll.ErPert(I38,H38,J38)</f>
        <v>1.1099999999999999</v>
      </c>
    </row>
    <row r="39" spans="1:11" ht="15" thickBot="1" x14ac:dyDescent="0.4">
      <c r="A39" s="100" t="s">
        <v>56</v>
      </c>
      <c r="B39" s="205">
        <v>1.22</v>
      </c>
      <c r="C39" s="206">
        <v>1.1499999999999999</v>
      </c>
      <c r="D39" s="185">
        <v>1.29</v>
      </c>
      <c r="E39" s="209">
        <f ca="1">_xll.ErPert(C39,B39,D39)</f>
        <v>1.22</v>
      </c>
      <c r="G39" s="100" t="s">
        <v>56</v>
      </c>
      <c r="H39" s="205">
        <f t="shared" si="1"/>
        <v>1.1099999999999999</v>
      </c>
      <c r="I39" s="205">
        <f t="shared" si="2"/>
        <v>1.075</v>
      </c>
      <c r="J39" s="205">
        <f t="shared" si="3"/>
        <v>1.145</v>
      </c>
      <c r="K39" s="210">
        <f ca="1">_xll.ErPert(I39,H39,J39)</f>
        <v>1.1099999999999999</v>
      </c>
    </row>
    <row r="40" spans="1:11" ht="15" thickBot="1" x14ac:dyDescent="0.4">
      <c r="A40" s="100" t="s">
        <v>57</v>
      </c>
      <c r="B40" s="205">
        <v>1.1599999999999999</v>
      </c>
      <c r="C40" s="206">
        <v>1.1100000000000001</v>
      </c>
      <c r="D40" s="185">
        <v>1.21</v>
      </c>
      <c r="E40" s="209">
        <f ca="1">_xll.ErPert(C40,B40,D40)</f>
        <v>1.1599999999999999</v>
      </c>
      <c r="G40" s="100" t="s">
        <v>57</v>
      </c>
      <c r="H40" s="205">
        <f t="shared" si="1"/>
        <v>1.08</v>
      </c>
      <c r="I40" s="205">
        <f t="shared" si="2"/>
        <v>1.0550000000000002</v>
      </c>
      <c r="J40" s="205">
        <f t="shared" si="3"/>
        <v>1.105</v>
      </c>
      <c r="K40" s="210">
        <f ca="1">_xll.ErPert(I40,H40,J40)</f>
        <v>1.08</v>
      </c>
    </row>
    <row r="41" spans="1:11" ht="15" thickBot="1" x14ac:dyDescent="0.4">
      <c r="A41" s="100" t="s">
        <v>77</v>
      </c>
      <c r="B41" s="205">
        <v>1.1599999999999999</v>
      </c>
      <c r="C41" s="206">
        <v>1.1100000000000001</v>
      </c>
      <c r="D41" s="185">
        <v>1.21</v>
      </c>
      <c r="E41" s="209">
        <f ca="1">_xll.ErPert(C41,B41,D41)</f>
        <v>1.1599999999999999</v>
      </c>
      <c r="G41" s="100" t="s">
        <v>77</v>
      </c>
      <c r="H41" s="205">
        <f t="shared" si="1"/>
        <v>1.08</v>
      </c>
      <c r="I41" s="205">
        <f t="shared" si="2"/>
        <v>1.0550000000000002</v>
      </c>
      <c r="J41" s="205">
        <f t="shared" si="3"/>
        <v>1.105</v>
      </c>
      <c r="K41" s="211">
        <f ca="1">_xll.ErPert(I41,H41,J41)</f>
        <v>1.08</v>
      </c>
    </row>
    <row r="42" spans="1:11" ht="15" thickBot="1" x14ac:dyDescent="0.4">
      <c r="A42" s="100" t="s">
        <v>77</v>
      </c>
      <c r="B42" s="205">
        <v>1.1599999999999999</v>
      </c>
      <c r="C42" s="206">
        <v>1.1100000000000001</v>
      </c>
      <c r="D42" s="185">
        <v>1.21</v>
      </c>
      <c r="E42" s="209">
        <f ca="1">_xll.ErPert(C42,B42,D42)</f>
        <v>1.1599999999999999</v>
      </c>
      <c r="G42" s="100" t="s">
        <v>77</v>
      </c>
      <c r="H42" s="205">
        <f t="shared" ref="H42" si="4">1+((B42-1)/2)</f>
        <v>1.08</v>
      </c>
      <c r="I42" s="205">
        <f t="shared" ref="I42" si="5">1+((C42-1)/2)</f>
        <v>1.0550000000000002</v>
      </c>
      <c r="J42" s="205">
        <f t="shared" ref="J42" si="6">1+((D42-1)/2)</f>
        <v>1.105</v>
      </c>
      <c r="K42" s="211">
        <f ca="1">_xll.ErPert(I42,H42,J42)</f>
        <v>1.08</v>
      </c>
    </row>
    <row r="43" spans="1:11" ht="15" thickBot="1" x14ac:dyDescent="0.4">
      <c r="A43" s="100" t="s">
        <v>60</v>
      </c>
      <c r="B43" s="203">
        <v>1</v>
      </c>
      <c r="C43" s="204">
        <v>0.99999999989999999</v>
      </c>
      <c r="D43" s="180">
        <v>1.00000000001</v>
      </c>
      <c r="E43" s="209">
        <f ca="1">_xll.ErPert(C43,B43,D43)</f>
        <v>0.999999999985</v>
      </c>
      <c r="G43" s="100" t="s">
        <v>60</v>
      </c>
      <c r="H43" s="203">
        <v>1</v>
      </c>
      <c r="I43" s="204">
        <v>0.99999999989999999</v>
      </c>
      <c r="J43" s="180">
        <v>1.00000000001</v>
      </c>
      <c r="K43" s="209">
        <f ca="1">_xll.ErPert(I43,H43,J43)</f>
        <v>0.999999999985</v>
      </c>
    </row>
    <row r="44" spans="1:11" ht="15" thickBot="1" x14ac:dyDescent="0.4">
      <c r="A44" s="100" t="s">
        <v>61</v>
      </c>
      <c r="B44" s="205">
        <v>1</v>
      </c>
      <c r="C44" s="204">
        <v>0.99999999989999999</v>
      </c>
      <c r="D44" s="180">
        <v>1.00000000001</v>
      </c>
      <c r="E44" s="209">
        <f ca="1">_xll.ErPert(C44,B44,D44)</f>
        <v>0.999999999985</v>
      </c>
      <c r="G44" s="100" t="s">
        <v>61</v>
      </c>
      <c r="H44" s="205">
        <v>1</v>
      </c>
      <c r="I44" s="204">
        <v>0.99999999989999999</v>
      </c>
      <c r="J44" s="180">
        <v>1.00000000001</v>
      </c>
      <c r="K44" s="210">
        <f ca="1">_xll.ErPert(I44,H44,J44)</f>
        <v>0.999999999985</v>
      </c>
    </row>
    <row r="45" spans="1:11" ht="15" thickBot="1" x14ac:dyDescent="0.4">
      <c r="A45" s="100" t="s">
        <v>62</v>
      </c>
      <c r="B45" s="205">
        <v>1.42</v>
      </c>
      <c r="C45" s="206">
        <v>1.28</v>
      </c>
      <c r="D45" s="185">
        <v>1.57</v>
      </c>
      <c r="E45" s="209">
        <f ca="1">_xll.ErPert(C45,B45,D45)</f>
        <v>1.4216666666666666</v>
      </c>
      <c r="G45" s="100" t="s">
        <v>62</v>
      </c>
      <c r="H45" s="205">
        <f>1+((B45-1)/2)</f>
        <v>1.21</v>
      </c>
      <c r="I45" s="205">
        <f t="shared" ref="I45" si="7">1+((C45-1)/2)</f>
        <v>1.1400000000000001</v>
      </c>
      <c r="J45" s="205">
        <f t="shared" ref="J45" si="8">1+((D45-1)/2)</f>
        <v>1.2850000000000001</v>
      </c>
      <c r="K45" s="210">
        <f ca="1">_xll.ErPert(I45,H45,J45)</f>
        <v>1.2108333333333334</v>
      </c>
    </row>
    <row r="46" spans="1:11" ht="15" thickBot="1" x14ac:dyDescent="0.4">
      <c r="A46" s="100" t="s">
        <v>63</v>
      </c>
      <c r="B46" s="205">
        <v>1.42</v>
      </c>
      <c r="C46" s="206">
        <v>1.28</v>
      </c>
      <c r="D46" s="185">
        <v>1.57</v>
      </c>
      <c r="E46" s="209">
        <f ca="1">_xll.ErPert(C46,B46,D46)</f>
        <v>1.4216666666666666</v>
      </c>
      <c r="G46" s="100" t="s">
        <v>63</v>
      </c>
      <c r="H46" s="205">
        <f t="shared" ref="H46:H56" si="9">1+((B46-1)/2)</f>
        <v>1.21</v>
      </c>
      <c r="I46" s="205">
        <f t="shared" ref="I46:I57" si="10">1+((C46-1)/2)</f>
        <v>1.1400000000000001</v>
      </c>
      <c r="J46" s="205">
        <f t="shared" ref="J46:J57" si="11">1+((D46-1)/2)</f>
        <v>1.2850000000000001</v>
      </c>
      <c r="K46" s="210">
        <f ca="1">_xll.ErPert(I46,H46,J46)</f>
        <v>1.2108333333333334</v>
      </c>
    </row>
    <row r="47" spans="1:11" ht="15" thickBot="1" x14ac:dyDescent="0.4">
      <c r="A47" s="100" t="s">
        <v>64</v>
      </c>
      <c r="B47" s="205">
        <v>1.4</v>
      </c>
      <c r="C47" s="206">
        <v>1.27</v>
      </c>
      <c r="D47" s="185">
        <v>1.54</v>
      </c>
      <c r="E47" s="209">
        <f ca="1">_xll.ErPert(C47,B47,D47)</f>
        <v>1.4016666666666666</v>
      </c>
      <c r="G47" s="100" t="s">
        <v>64</v>
      </c>
      <c r="H47" s="205">
        <f t="shared" si="9"/>
        <v>1.2</v>
      </c>
      <c r="I47" s="205">
        <f t="shared" si="10"/>
        <v>1.135</v>
      </c>
      <c r="J47" s="205">
        <f t="shared" si="11"/>
        <v>1.27</v>
      </c>
      <c r="K47" s="210">
        <f ca="1">_xll.ErPert(I47,H47,J47)</f>
        <v>1.2008333333333334</v>
      </c>
    </row>
    <row r="48" spans="1:11" ht="15" thickBot="1" x14ac:dyDescent="0.4">
      <c r="A48" s="100" t="s">
        <v>65</v>
      </c>
      <c r="B48" s="205">
        <v>1.4</v>
      </c>
      <c r="C48" s="206">
        <v>1.27</v>
      </c>
      <c r="D48" s="185">
        <v>1.54</v>
      </c>
      <c r="E48" s="209">
        <f ca="1">_xll.ErPert(C48,B48,D48)</f>
        <v>1.4016666666666666</v>
      </c>
      <c r="G48" s="100" t="s">
        <v>65</v>
      </c>
      <c r="H48" s="205">
        <f t="shared" si="9"/>
        <v>1.2</v>
      </c>
      <c r="I48" s="205">
        <f t="shared" si="10"/>
        <v>1.135</v>
      </c>
      <c r="J48" s="205">
        <f t="shared" si="11"/>
        <v>1.27</v>
      </c>
      <c r="K48" s="210">
        <f ca="1">_xll.ErPert(I48,H48,J48)</f>
        <v>1.2008333333333334</v>
      </c>
    </row>
    <row r="49" spans="1:11" ht="15" thickBot="1" x14ac:dyDescent="0.4">
      <c r="A49" s="100" t="s">
        <v>66</v>
      </c>
      <c r="B49" s="205">
        <v>1.33</v>
      </c>
      <c r="C49" s="206">
        <v>1.22</v>
      </c>
      <c r="D49" s="185">
        <v>1.45</v>
      </c>
      <c r="E49" s="209">
        <f ca="1">_xll.ErPert(C49,B49,D49)</f>
        <v>1.3316666666666668</v>
      </c>
      <c r="G49" s="100" t="s">
        <v>66</v>
      </c>
      <c r="H49" s="205">
        <f t="shared" si="9"/>
        <v>1.165</v>
      </c>
      <c r="I49" s="205">
        <f t="shared" si="10"/>
        <v>1.1099999999999999</v>
      </c>
      <c r="J49" s="205">
        <f t="shared" si="11"/>
        <v>1.2250000000000001</v>
      </c>
      <c r="K49" s="210">
        <f ca="1">_xll.ErPert(I49,H49,J49)</f>
        <v>1.1658333333333333</v>
      </c>
    </row>
    <row r="50" spans="1:11" ht="15" thickBot="1" x14ac:dyDescent="0.4">
      <c r="A50" s="100" t="s">
        <v>67</v>
      </c>
      <c r="B50" s="205">
        <v>1.33</v>
      </c>
      <c r="C50" s="206">
        <v>1.22</v>
      </c>
      <c r="D50" s="185">
        <v>1.45</v>
      </c>
      <c r="E50" s="209">
        <f ca="1">_xll.ErPert(C50,B50,D50)</f>
        <v>1.3316666666666668</v>
      </c>
      <c r="G50" s="100" t="s">
        <v>67</v>
      </c>
      <c r="H50" s="205">
        <f t="shared" si="9"/>
        <v>1.165</v>
      </c>
      <c r="I50" s="205">
        <f t="shared" si="10"/>
        <v>1.1099999999999999</v>
      </c>
      <c r="J50" s="205">
        <f t="shared" si="11"/>
        <v>1.2250000000000001</v>
      </c>
      <c r="K50" s="210">
        <f ca="1">_xll.ErPert(I50,H50,J50)</f>
        <v>1.1658333333333333</v>
      </c>
    </row>
    <row r="51" spans="1:11" ht="15" thickBot="1" x14ac:dyDescent="0.4">
      <c r="A51" s="100" t="s">
        <v>68</v>
      </c>
      <c r="B51" s="205">
        <v>1.27</v>
      </c>
      <c r="C51" s="206">
        <v>1.18</v>
      </c>
      <c r="D51" s="185">
        <v>1.36</v>
      </c>
      <c r="E51" s="209">
        <f ca="1">_xll.ErPert(C51,B51,D51)</f>
        <v>1.27</v>
      </c>
      <c r="G51" s="100" t="s">
        <v>68</v>
      </c>
      <c r="H51" s="205">
        <f t="shared" si="9"/>
        <v>1.135</v>
      </c>
      <c r="I51" s="205">
        <f t="shared" si="10"/>
        <v>1.0899999999999999</v>
      </c>
      <c r="J51" s="205">
        <f t="shared" si="11"/>
        <v>1.1800000000000002</v>
      </c>
      <c r="K51" s="210">
        <f ca="1">_xll.ErPert(I51,H51,J51)</f>
        <v>1.135</v>
      </c>
    </row>
    <row r="52" spans="1:11" ht="15" thickBot="1" x14ac:dyDescent="0.4">
      <c r="A52" s="100" t="s">
        <v>69</v>
      </c>
      <c r="B52" s="205">
        <v>1.27</v>
      </c>
      <c r="C52" s="206">
        <v>1.18</v>
      </c>
      <c r="D52" s="185">
        <v>1.36</v>
      </c>
      <c r="E52" s="209">
        <f ca="1">_xll.ErPert(C52,B52,D52)</f>
        <v>1.27</v>
      </c>
      <c r="G52" s="100" t="s">
        <v>69</v>
      </c>
      <c r="H52" s="205">
        <f t="shared" si="9"/>
        <v>1.135</v>
      </c>
      <c r="I52" s="205">
        <f t="shared" si="10"/>
        <v>1.0899999999999999</v>
      </c>
      <c r="J52" s="205">
        <f t="shared" si="11"/>
        <v>1.1800000000000002</v>
      </c>
      <c r="K52" s="210">
        <f ca="1">_xll.ErPert(I52,H52,J52)</f>
        <v>1.135</v>
      </c>
    </row>
    <row r="53" spans="1:11" ht="15" thickBot="1" x14ac:dyDescent="0.4">
      <c r="A53" s="100" t="s">
        <v>70</v>
      </c>
      <c r="B53" s="205">
        <v>1.22</v>
      </c>
      <c r="C53" s="206">
        <v>1.1499999999999999</v>
      </c>
      <c r="D53" s="185">
        <v>1.29</v>
      </c>
      <c r="E53" s="209">
        <f ca="1">_xll.ErPert(C53,B53,D53)</f>
        <v>1.22</v>
      </c>
      <c r="G53" s="100" t="s">
        <v>70</v>
      </c>
      <c r="H53" s="205">
        <f t="shared" si="9"/>
        <v>1.1099999999999999</v>
      </c>
      <c r="I53" s="205">
        <f t="shared" si="10"/>
        <v>1.075</v>
      </c>
      <c r="J53" s="205">
        <f t="shared" si="11"/>
        <v>1.145</v>
      </c>
      <c r="K53" s="210">
        <f ca="1">_xll.ErPert(I53,H53,J53)</f>
        <v>1.1099999999999999</v>
      </c>
    </row>
    <row r="54" spans="1:11" ht="15" thickBot="1" x14ac:dyDescent="0.4">
      <c r="A54" s="33" t="s">
        <v>71</v>
      </c>
      <c r="B54" s="205">
        <v>1.22</v>
      </c>
      <c r="C54" s="206">
        <v>1.1499999999999999</v>
      </c>
      <c r="D54" s="185">
        <v>1.29</v>
      </c>
      <c r="E54" s="209">
        <f ca="1">_xll.ErPert(C54,B54,D54)</f>
        <v>1.22</v>
      </c>
      <c r="G54" s="33" t="s">
        <v>71</v>
      </c>
      <c r="H54" s="205">
        <f t="shared" si="9"/>
        <v>1.1099999999999999</v>
      </c>
      <c r="I54" s="205">
        <f t="shared" si="10"/>
        <v>1.075</v>
      </c>
      <c r="J54" s="205">
        <f t="shared" si="11"/>
        <v>1.145</v>
      </c>
      <c r="K54" s="210">
        <f ca="1">_xll.ErPert(I54,H54,J54)</f>
        <v>1.1099999999999999</v>
      </c>
    </row>
    <row r="55" spans="1:11" ht="15" thickBot="1" x14ac:dyDescent="0.4">
      <c r="A55" s="33" t="s">
        <v>72</v>
      </c>
      <c r="B55" s="205">
        <v>1.1599999999999999</v>
      </c>
      <c r="C55" s="206">
        <v>1.1100000000000001</v>
      </c>
      <c r="D55" s="185">
        <v>1.21</v>
      </c>
      <c r="E55" s="209">
        <f ca="1">_xll.ErPert(C55,B55,D55)</f>
        <v>1.1599999999999999</v>
      </c>
      <c r="G55" s="33" t="s">
        <v>72</v>
      </c>
      <c r="H55" s="205">
        <f t="shared" si="9"/>
        <v>1.08</v>
      </c>
      <c r="I55" s="205">
        <f t="shared" si="10"/>
        <v>1.0550000000000002</v>
      </c>
      <c r="J55" s="205">
        <f t="shared" si="11"/>
        <v>1.105</v>
      </c>
      <c r="K55" s="210">
        <f ca="1">_xll.ErPert(I55,H55,J55)</f>
        <v>1.08</v>
      </c>
    </row>
    <row r="56" spans="1:11" ht="15" thickBot="1" x14ac:dyDescent="0.4">
      <c r="A56" s="33" t="s">
        <v>78</v>
      </c>
      <c r="B56" s="205">
        <v>1.1599999999999999</v>
      </c>
      <c r="C56" s="206">
        <v>1.1100000000000001</v>
      </c>
      <c r="D56" s="185">
        <v>1.21</v>
      </c>
      <c r="E56" s="209">
        <f ca="1">_xll.ErPert(C56,B56,D56)</f>
        <v>1.1599999999999999</v>
      </c>
      <c r="G56" s="33" t="s">
        <v>78</v>
      </c>
      <c r="H56" s="205">
        <f t="shared" si="9"/>
        <v>1.08</v>
      </c>
      <c r="I56" s="205">
        <f t="shared" si="10"/>
        <v>1.0550000000000002</v>
      </c>
      <c r="J56" s="205">
        <f t="shared" si="11"/>
        <v>1.105</v>
      </c>
      <c r="K56" s="211">
        <f ca="1">_xll.ErPert(I56,H56,J56)</f>
        <v>1.08</v>
      </c>
    </row>
    <row r="57" spans="1:11" ht="15" thickBot="1" x14ac:dyDescent="0.4">
      <c r="A57" s="33" t="s">
        <v>78</v>
      </c>
      <c r="B57" s="205">
        <v>1.1599999999999999</v>
      </c>
      <c r="C57" s="206">
        <v>1.1100000000000001</v>
      </c>
      <c r="D57" s="185">
        <v>1.21</v>
      </c>
      <c r="E57" s="209">
        <f ca="1">_xll.ErPert(C57,B57,D57)</f>
        <v>1.1599999999999999</v>
      </c>
      <c r="G57" s="33" t="s">
        <v>78</v>
      </c>
      <c r="H57" s="205">
        <f>1+((B57-1)/2)</f>
        <v>1.08</v>
      </c>
      <c r="I57" s="205">
        <f t="shared" si="10"/>
        <v>1.0550000000000002</v>
      </c>
      <c r="J57" s="205">
        <f t="shared" si="11"/>
        <v>1.105</v>
      </c>
      <c r="K57" s="211">
        <f ca="1">_xll.ErPert(I57,H57,J57)</f>
        <v>1.08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57BDE-F348-4F23-8F5A-7866B43D2AFE}">
  <dimension ref="A1:L113"/>
  <sheetViews>
    <sheetView topLeftCell="A38" workbookViewId="0">
      <selection activeCell="K30" sqref="K30"/>
    </sheetView>
  </sheetViews>
  <sheetFormatPr defaultRowHeight="14.5" x14ac:dyDescent="0.35"/>
  <cols>
    <col min="1" max="1" width="8.7265625" customWidth="1"/>
  </cols>
  <sheetData>
    <row r="1" spans="1:12" ht="15" thickBot="1" x14ac:dyDescent="0.4">
      <c r="A1" s="77"/>
      <c r="B1" s="77"/>
      <c r="C1" s="77" t="s">
        <v>285</v>
      </c>
      <c r="D1" s="77" t="s">
        <v>286</v>
      </c>
      <c r="E1" s="77" t="s">
        <v>287</v>
      </c>
      <c r="F1" t="s">
        <v>288</v>
      </c>
      <c r="G1" t="s">
        <v>153</v>
      </c>
      <c r="H1" t="s">
        <v>289</v>
      </c>
      <c r="I1" t="s">
        <v>290</v>
      </c>
      <c r="J1" t="s">
        <v>291</v>
      </c>
      <c r="K1" t="s">
        <v>292</v>
      </c>
      <c r="L1" t="s">
        <v>293</v>
      </c>
    </row>
    <row r="2" spans="1:12" x14ac:dyDescent="0.35">
      <c r="A2" s="214" t="s">
        <v>143</v>
      </c>
      <c r="B2" s="214" t="s">
        <v>24</v>
      </c>
      <c r="C2" s="167">
        <v>1</v>
      </c>
      <c r="D2" s="167" t="s">
        <v>257</v>
      </c>
      <c r="E2" s="178" t="s">
        <v>8</v>
      </c>
      <c r="F2">
        <f>CodeStochastic!G2</f>
        <v>-3.7950922852838501E-12</v>
      </c>
      <c r="G2">
        <f>CodeStochastic!H2</f>
        <v>-4.8207257357580103E-12</v>
      </c>
      <c r="H2">
        <f>CodeStochastic!I2</f>
        <v>5.4893934307634204E-12</v>
      </c>
      <c r="I2">
        <f>CodeStochastic!J2</f>
        <v>-2.52190448613224E-11</v>
      </c>
      <c r="J2">
        <f>CodeStochastic!K2</f>
        <v>3.06153011328696E-12</v>
      </c>
      <c r="K2">
        <f>CodeStochastic!L2</f>
        <v>-1.7947319482198799E-11</v>
      </c>
      <c r="L2">
        <f>CodeStochastic!M2</f>
        <v>2.6563504801531401E-12</v>
      </c>
    </row>
    <row r="3" spans="1:12" x14ac:dyDescent="0.35">
      <c r="A3" s="214" t="s">
        <v>143</v>
      </c>
      <c r="B3" s="214" t="s">
        <v>24</v>
      </c>
      <c r="C3" s="167">
        <v>2</v>
      </c>
      <c r="D3" s="167" t="s">
        <v>257</v>
      </c>
      <c r="E3" s="125" t="s">
        <v>9</v>
      </c>
      <c r="F3">
        <f>CodeStochastic!G3</f>
        <v>-3.7124390651402003E-12</v>
      </c>
      <c r="G3">
        <f>CodeStochastic!H3</f>
        <v>-4.6500356213730498E-12</v>
      </c>
      <c r="H3">
        <f>CodeStochastic!I3</f>
        <v>5.3912108288007403E-12</v>
      </c>
      <c r="I3">
        <f>CodeStochastic!J3</f>
        <v>-2.50954139583596E-11</v>
      </c>
      <c r="J3">
        <f>CodeStochastic!K3</f>
        <v>3.0946040208563898E-12</v>
      </c>
      <c r="K3">
        <f>CodeStochastic!L3</f>
        <v>-1.7463514398086699E-11</v>
      </c>
      <c r="L3">
        <f>CodeStochastic!M3</f>
        <v>2.6686894438657498E-12</v>
      </c>
    </row>
    <row r="4" spans="1:12" x14ac:dyDescent="0.35">
      <c r="A4" s="214" t="s">
        <v>143</v>
      </c>
      <c r="B4" s="214" t="s">
        <v>24</v>
      </c>
      <c r="C4" s="167">
        <v>3</v>
      </c>
      <c r="D4" s="167" t="s">
        <v>257</v>
      </c>
      <c r="E4" s="125" t="s">
        <v>10</v>
      </c>
      <c r="F4">
        <f>CodeStochastic!G4</f>
        <v>0.12962083573448199</v>
      </c>
      <c r="G4">
        <f>CodeStochastic!H4</f>
        <v>0.130173643020674</v>
      </c>
      <c r="H4">
        <f>CodeStochastic!I4</f>
        <v>1.6837497898027701E-2</v>
      </c>
      <c r="I4">
        <f>CodeStochastic!J4</f>
        <v>8.9754023992019594E-2</v>
      </c>
      <c r="J4">
        <f>CodeStochastic!K4</f>
        <v>0.17372123036145201</v>
      </c>
      <c r="K4">
        <f>CodeStochastic!L4</f>
        <v>9.8717143914598807E-2</v>
      </c>
      <c r="L4">
        <f>CodeStochastic!M4</f>
        <v>0.162156153856823</v>
      </c>
    </row>
    <row r="5" spans="1:12" x14ac:dyDescent="0.35">
      <c r="A5" s="214" t="s">
        <v>143</v>
      </c>
      <c r="B5" s="214" t="s">
        <v>24</v>
      </c>
      <c r="C5" s="167">
        <v>4</v>
      </c>
      <c r="D5" s="167" t="s">
        <v>257</v>
      </c>
      <c r="E5" s="125" t="s">
        <v>11</v>
      </c>
      <c r="F5">
        <f>CodeStochastic!G5</f>
        <v>0.12985902718133699</v>
      </c>
      <c r="G5">
        <f>CodeStochastic!H5</f>
        <v>0.12988105784832199</v>
      </c>
      <c r="H5">
        <f>CodeStochastic!I5</f>
        <v>1.6246615997962101E-2</v>
      </c>
      <c r="I5">
        <f>CodeStochastic!J5</f>
        <v>9.2116246129396506E-2</v>
      </c>
      <c r="J5">
        <f>CodeStochastic!K5</f>
        <v>0.17011253521968001</v>
      </c>
      <c r="K5">
        <f>CodeStochastic!L5</f>
        <v>9.9219778859574698E-2</v>
      </c>
      <c r="L5">
        <f>CodeStochastic!M5</f>
        <v>0.16002606394634999</v>
      </c>
    </row>
    <row r="6" spans="1:12" x14ac:dyDescent="0.35">
      <c r="A6" s="214" t="s">
        <v>143</v>
      </c>
      <c r="B6" s="214" t="s">
        <v>24</v>
      </c>
      <c r="C6" s="167">
        <v>5</v>
      </c>
      <c r="D6" s="167" t="s">
        <v>257</v>
      </c>
      <c r="E6" s="125" t="s">
        <v>12</v>
      </c>
      <c r="F6">
        <f>CodeStochastic!G6</f>
        <v>0.12397475140379401</v>
      </c>
      <c r="G6">
        <f>CodeStochastic!H6</f>
        <v>0.123821578829963</v>
      </c>
      <c r="H6">
        <f>CodeStochastic!I6</f>
        <v>1.5960051104112701E-2</v>
      </c>
      <c r="I6">
        <f>CodeStochastic!J6</f>
        <v>8.5576027402315805E-2</v>
      </c>
      <c r="J6">
        <f>CodeStochastic!K6</f>
        <v>0.16279412508160099</v>
      </c>
      <c r="K6">
        <f>CodeStochastic!L6</f>
        <v>9.4899300057143393E-2</v>
      </c>
      <c r="L6">
        <f>CodeStochastic!M6</f>
        <v>0.154623148424337</v>
      </c>
    </row>
    <row r="7" spans="1:12" x14ac:dyDescent="0.35">
      <c r="A7" s="214" t="s">
        <v>143</v>
      </c>
      <c r="B7" s="214" t="s">
        <v>24</v>
      </c>
      <c r="C7" s="167">
        <v>6</v>
      </c>
      <c r="D7" s="167" t="s">
        <v>257</v>
      </c>
      <c r="E7" s="125" t="s">
        <v>13</v>
      </c>
      <c r="F7">
        <f>CodeStochastic!G7</f>
        <v>0.123981534257548</v>
      </c>
      <c r="G7">
        <f>CodeStochastic!H7</f>
        <v>0.123736563794745</v>
      </c>
      <c r="H7">
        <f>CodeStochastic!I7</f>
        <v>1.49165158753872E-2</v>
      </c>
      <c r="I7">
        <f>CodeStochastic!J7</f>
        <v>8.8020244645985304E-2</v>
      </c>
      <c r="J7">
        <f>CodeStochastic!K7</f>
        <v>0.162832545241125</v>
      </c>
      <c r="K7">
        <f>CodeStochastic!L7</f>
        <v>9.5866733748164096E-2</v>
      </c>
      <c r="L7">
        <f>CodeStochastic!M7</f>
        <v>0.15191875555234299</v>
      </c>
    </row>
    <row r="8" spans="1:12" x14ac:dyDescent="0.35">
      <c r="A8" s="214" t="s">
        <v>143</v>
      </c>
      <c r="B8" s="214" t="s">
        <v>24</v>
      </c>
      <c r="C8" s="167">
        <v>7</v>
      </c>
      <c r="D8" s="167" t="s">
        <v>257</v>
      </c>
      <c r="E8" s="125" t="s">
        <v>14</v>
      </c>
      <c r="F8">
        <f>CodeStochastic!G8</f>
        <v>0.102640172574732</v>
      </c>
      <c r="G8">
        <f>CodeStochastic!H8</f>
        <v>0.102970373037719</v>
      </c>
      <c r="H8">
        <f>CodeStochastic!I8</f>
        <v>1.29723033443346E-2</v>
      </c>
      <c r="I8">
        <f>CodeStochastic!J8</f>
        <v>7.1558039160622602E-2</v>
      </c>
      <c r="J8">
        <f>CodeStochastic!K8</f>
        <v>0.13621086471128899</v>
      </c>
      <c r="K8">
        <f>CodeStochastic!L8</f>
        <v>7.7906496869215802E-2</v>
      </c>
      <c r="L8">
        <f>CodeStochastic!M8</f>
        <v>0.12731659500622799</v>
      </c>
    </row>
    <row r="9" spans="1:12" x14ac:dyDescent="0.35">
      <c r="A9" s="214" t="s">
        <v>143</v>
      </c>
      <c r="B9" s="214" t="s">
        <v>24</v>
      </c>
      <c r="C9" s="167">
        <v>8</v>
      </c>
      <c r="D9" s="167" t="s">
        <v>257</v>
      </c>
      <c r="E9" s="125" t="s">
        <v>15</v>
      </c>
      <c r="F9">
        <f>CodeStochastic!G9</f>
        <v>0.101965683934249</v>
      </c>
      <c r="G9">
        <f>CodeStochastic!H9</f>
        <v>0.10234875926687501</v>
      </c>
      <c r="H9">
        <f>CodeStochastic!I9</f>
        <v>1.32244359727172E-2</v>
      </c>
      <c r="I9">
        <f>CodeStochastic!J9</f>
        <v>7.1461999779069196E-2</v>
      </c>
      <c r="J9">
        <f>CodeStochastic!K9</f>
        <v>0.13737737338110201</v>
      </c>
      <c r="K9">
        <f>CodeStochastic!L9</f>
        <v>7.8710357455952298E-2</v>
      </c>
      <c r="L9">
        <f>CodeStochastic!M9</f>
        <v>0.12760877204288401</v>
      </c>
    </row>
    <row r="10" spans="1:12" x14ac:dyDescent="0.35">
      <c r="A10" s="214" t="s">
        <v>143</v>
      </c>
      <c r="B10" s="214" t="s">
        <v>24</v>
      </c>
      <c r="C10" s="167">
        <v>9</v>
      </c>
      <c r="D10" s="167" t="s">
        <v>257</v>
      </c>
      <c r="E10" s="125" t="s">
        <v>16</v>
      </c>
      <c r="F10">
        <f>CodeStochastic!G10</f>
        <v>8.4108705084028304E-2</v>
      </c>
      <c r="G10">
        <f>CodeStochastic!H10</f>
        <v>8.3695922921528401E-2</v>
      </c>
      <c r="H10">
        <f>CodeStochastic!I10</f>
        <v>1.0791843093966001E-2</v>
      </c>
      <c r="I10">
        <f>CodeStochastic!J10</f>
        <v>5.7907798875419803E-2</v>
      </c>
      <c r="J10">
        <f>CodeStochastic!K10</f>
        <v>0.108754490690169</v>
      </c>
      <c r="K10">
        <f>CodeStochastic!L10</f>
        <v>6.4076297847788996E-2</v>
      </c>
      <c r="L10">
        <f>CodeStochastic!M10</f>
        <v>0.104011040673176</v>
      </c>
    </row>
    <row r="11" spans="1:12" x14ac:dyDescent="0.35">
      <c r="A11" s="214" t="s">
        <v>143</v>
      </c>
      <c r="B11" s="214" t="s">
        <v>24</v>
      </c>
      <c r="C11" s="167">
        <v>10</v>
      </c>
      <c r="D11" s="167" t="s">
        <v>257</v>
      </c>
      <c r="E11" s="125" t="s">
        <v>17</v>
      </c>
      <c r="F11">
        <f>CodeStochastic!G11</f>
        <v>8.3850019040115895E-2</v>
      </c>
      <c r="G11">
        <f>CodeStochastic!H11</f>
        <v>8.3927114255579305E-2</v>
      </c>
      <c r="H11">
        <f>CodeStochastic!I11</f>
        <v>1.02999192743363E-2</v>
      </c>
      <c r="I11">
        <f>CodeStochastic!J11</f>
        <v>5.7810430466681502E-2</v>
      </c>
      <c r="J11">
        <f>CodeStochastic!K11</f>
        <v>0.110023587010142</v>
      </c>
      <c r="K11">
        <f>CodeStochastic!L11</f>
        <v>6.4835929015925803E-2</v>
      </c>
      <c r="L11">
        <f>CodeStochastic!M11</f>
        <v>0.10325175032092899</v>
      </c>
    </row>
    <row r="12" spans="1:12" x14ac:dyDescent="0.35">
      <c r="A12" s="214" t="s">
        <v>143</v>
      </c>
      <c r="B12" s="214" t="s">
        <v>24</v>
      </c>
      <c r="C12" s="167">
        <v>11</v>
      </c>
      <c r="D12" s="167" t="s">
        <v>257</v>
      </c>
      <c r="E12" s="125" t="s">
        <v>18</v>
      </c>
      <c r="F12">
        <f>CodeStochastic!G12</f>
        <v>6.8381285912036099E-2</v>
      </c>
      <c r="G12">
        <f>CodeStochastic!H12</f>
        <v>6.8373997628998096E-2</v>
      </c>
      <c r="H12">
        <f>CodeStochastic!I12</f>
        <v>8.1977824176667699E-3</v>
      </c>
      <c r="I12">
        <f>CodeStochastic!J12</f>
        <v>4.8239671488552599E-2</v>
      </c>
      <c r="J12">
        <f>CodeStochastic!K12</f>
        <v>8.9304629151048698E-2</v>
      </c>
      <c r="K12">
        <f>CodeStochastic!L12</f>
        <v>5.2370866827961902E-2</v>
      </c>
      <c r="L12">
        <f>CodeStochastic!M12</f>
        <v>8.4179368303865104E-2</v>
      </c>
    </row>
    <row r="13" spans="1:12" x14ac:dyDescent="0.35">
      <c r="A13" s="214" t="s">
        <v>143</v>
      </c>
      <c r="B13" s="214" t="s">
        <v>24</v>
      </c>
      <c r="C13" s="167">
        <v>12</v>
      </c>
      <c r="D13" s="167" t="s">
        <v>257</v>
      </c>
      <c r="E13" s="125" t="s">
        <v>19</v>
      </c>
      <c r="F13">
        <f>CodeStochastic!G13</f>
        <v>6.8410420897908594E-2</v>
      </c>
      <c r="G13">
        <f>CodeStochastic!H13</f>
        <v>6.8744956886022904E-2</v>
      </c>
      <c r="H13">
        <f>CodeStochastic!I13</f>
        <v>8.0528668708861693E-3</v>
      </c>
      <c r="I13">
        <f>CodeStochastic!J13</f>
        <v>4.9143635988517002E-2</v>
      </c>
      <c r="J13">
        <f>CodeStochastic!K13</f>
        <v>8.6820385722484406E-2</v>
      </c>
      <c r="K13">
        <f>CodeStochastic!L13</f>
        <v>5.3752536731621503E-2</v>
      </c>
      <c r="L13">
        <f>CodeStochastic!M13</f>
        <v>8.4344276046535202E-2</v>
      </c>
    </row>
    <row r="14" spans="1:12" x14ac:dyDescent="0.35">
      <c r="A14" s="214" t="s">
        <v>143</v>
      </c>
      <c r="B14" s="214" t="s">
        <v>24</v>
      </c>
      <c r="C14" s="167">
        <v>13</v>
      </c>
      <c r="D14" s="167" t="s">
        <v>257</v>
      </c>
      <c r="E14" s="125" t="s">
        <v>20</v>
      </c>
      <c r="F14">
        <f>CodeStochastic!G14</f>
        <v>4.9701307979956498E-2</v>
      </c>
      <c r="G14">
        <f>CodeStochastic!H14</f>
        <v>4.9741760420740397E-2</v>
      </c>
      <c r="H14">
        <f>CodeStochastic!I14</f>
        <v>5.7770746206708204E-3</v>
      </c>
      <c r="I14">
        <f>CodeStochastic!J14</f>
        <v>3.5866983891433002E-2</v>
      </c>
      <c r="J14">
        <f>CodeStochastic!K14</f>
        <v>6.4145305397956404E-2</v>
      </c>
      <c r="K14">
        <f>CodeStochastic!L14</f>
        <v>3.8935070190202502E-2</v>
      </c>
      <c r="L14">
        <f>CodeStochastic!M14</f>
        <v>6.0885839677069203E-2</v>
      </c>
    </row>
    <row r="15" spans="1:12" ht="15" thickBot="1" x14ac:dyDescent="0.4">
      <c r="A15" s="214" t="s">
        <v>143</v>
      </c>
      <c r="B15" s="214" t="s">
        <v>24</v>
      </c>
      <c r="C15" s="167">
        <v>14</v>
      </c>
      <c r="D15" s="167" t="s">
        <v>257</v>
      </c>
      <c r="E15" s="125" t="s">
        <v>279</v>
      </c>
      <c r="F15">
        <f>CodeStochastic!G15</f>
        <v>4.9622417892598802E-2</v>
      </c>
      <c r="G15">
        <f>CodeStochastic!H15</f>
        <v>4.9917142316380801E-2</v>
      </c>
      <c r="H15">
        <f>CodeStochastic!I15</f>
        <v>6.0652276737017596E-3</v>
      </c>
      <c r="I15">
        <f>CodeStochastic!J15</f>
        <v>3.61476722176289E-2</v>
      </c>
      <c r="J15">
        <f>CodeStochastic!K15</f>
        <v>6.4574489793305503E-2</v>
      </c>
      <c r="K15">
        <f>CodeStochastic!L15</f>
        <v>3.8793735929478199E-2</v>
      </c>
      <c r="L15">
        <f>CodeStochastic!M15</f>
        <v>6.1773273938692898E-2</v>
      </c>
    </row>
    <row r="16" spans="1:12" x14ac:dyDescent="0.35">
      <c r="A16" s="214" t="s">
        <v>143</v>
      </c>
      <c r="B16" s="214" t="s">
        <v>24</v>
      </c>
      <c r="C16" s="167">
        <v>15</v>
      </c>
      <c r="D16" s="167" t="s">
        <v>256</v>
      </c>
      <c r="E16" s="178" t="s">
        <v>8</v>
      </c>
      <c r="F16">
        <f>CodeStochastic!G16</f>
        <v>-3.3966075915860499E-12</v>
      </c>
      <c r="G16">
        <f>CodeStochastic!H16</f>
        <v>-4.4205446446963097E-12</v>
      </c>
      <c r="H16">
        <f>CodeStochastic!I16</f>
        <v>5.2960679189771296E-12</v>
      </c>
      <c r="I16">
        <f>CodeStochastic!J16</f>
        <v>-2.2612271634805898E-11</v>
      </c>
      <c r="J16">
        <f>CodeStochastic!K16</f>
        <v>3.0413012851841802E-12</v>
      </c>
      <c r="K16">
        <f>CodeStochastic!L16</f>
        <v>-1.70612288701265E-11</v>
      </c>
      <c r="L16">
        <f>CodeStochastic!M16</f>
        <v>2.65638752219312E-12</v>
      </c>
    </row>
    <row r="17" spans="1:12" x14ac:dyDescent="0.35">
      <c r="A17" s="214" t="s">
        <v>143</v>
      </c>
      <c r="B17" s="214" t="s">
        <v>24</v>
      </c>
      <c r="C17" s="167">
        <v>16</v>
      </c>
      <c r="D17" s="167" t="s">
        <v>256</v>
      </c>
      <c r="E17" s="125" t="s">
        <v>9</v>
      </c>
      <c r="F17">
        <f>CodeStochastic!G17</f>
        <v>-3.5793652822781902E-12</v>
      </c>
      <c r="G17">
        <f>CodeStochastic!H17</f>
        <v>-4.7553314758338002E-12</v>
      </c>
      <c r="H17">
        <f>CodeStochastic!I17</f>
        <v>5.4051045702239499E-12</v>
      </c>
      <c r="I17">
        <f>CodeStochastic!J17</f>
        <v>-2.55481916240112E-11</v>
      </c>
      <c r="J17">
        <f>CodeStochastic!K17</f>
        <v>3.0592999750653599E-12</v>
      </c>
      <c r="K17">
        <f>CodeStochastic!L17</f>
        <v>-1.8156420928164699E-11</v>
      </c>
      <c r="L17">
        <f>CodeStochastic!M17</f>
        <v>2.5336148952095E-12</v>
      </c>
    </row>
    <row r="18" spans="1:12" x14ac:dyDescent="0.35">
      <c r="A18" s="214" t="s">
        <v>143</v>
      </c>
      <c r="B18" s="214" t="s">
        <v>24</v>
      </c>
      <c r="C18" s="167">
        <v>17</v>
      </c>
      <c r="D18" s="167" t="s">
        <v>256</v>
      </c>
      <c r="E18" s="125" t="s">
        <v>10</v>
      </c>
      <c r="F18">
        <f>CodeStochastic!G18</f>
        <v>0.12651114805695901</v>
      </c>
      <c r="G18">
        <f>CodeStochastic!H18</f>
        <v>0.12693866636887799</v>
      </c>
      <c r="H18">
        <f>CodeStochastic!I18</f>
        <v>1.6253714691624298E-2</v>
      </c>
      <c r="I18">
        <f>CodeStochastic!J18</f>
        <v>8.75288754549612E-2</v>
      </c>
      <c r="J18">
        <f>CodeStochastic!K18</f>
        <v>0.16526255656811001</v>
      </c>
      <c r="K18">
        <f>CodeStochastic!L18</f>
        <v>9.6765706944395194E-2</v>
      </c>
      <c r="L18">
        <f>CodeStochastic!M18</f>
        <v>0.15705951857101</v>
      </c>
    </row>
    <row r="19" spans="1:12" x14ac:dyDescent="0.35">
      <c r="A19" s="214" t="s">
        <v>143</v>
      </c>
      <c r="B19" s="214" t="s">
        <v>24</v>
      </c>
      <c r="C19" s="167">
        <v>18</v>
      </c>
      <c r="D19" s="167" t="s">
        <v>256</v>
      </c>
      <c r="E19" s="125" t="s">
        <v>11</v>
      </c>
      <c r="F19">
        <f>CodeStochastic!G19</f>
        <v>0.129919335276618</v>
      </c>
      <c r="G19">
        <f>CodeStochastic!H19</f>
        <v>0.12985979196494801</v>
      </c>
      <c r="H19">
        <f>CodeStochastic!I19</f>
        <v>1.6762763648469702E-2</v>
      </c>
      <c r="I19">
        <f>CodeStochastic!J19</f>
        <v>9.1446070277831401E-2</v>
      </c>
      <c r="J19">
        <f>CodeStochastic!K19</f>
        <v>0.17245631900462</v>
      </c>
      <c r="K19">
        <f>CodeStochastic!L19</f>
        <v>9.8758068984778805E-2</v>
      </c>
      <c r="L19">
        <f>CodeStochastic!M19</f>
        <v>0.160824879187763</v>
      </c>
    </row>
    <row r="20" spans="1:12" x14ac:dyDescent="0.35">
      <c r="A20" s="214" t="s">
        <v>143</v>
      </c>
      <c r="B20" s="214" t="s">
        <v>24</v>
      </c>
      <c r="C20" s="167">
        <v>19</v>
      </c>
      <c r="D20" s="167" t="s">
        <v>256</v>
      </c>
      <c r="E20" s="125" t="s">
        <v>12</v>
      </c>
      <c r="F20">
        <f>CodeStochastic!G20</f>
        <v>0.124400839877331</v>
      </c>
      <c r="G20">
        <f>CodeStochastic!H20</f>
        <v>0.12470980458424399</v>
      </c>
      <c r="H20">
        <f>CodeStochastic!I20</f>
        <v>1.5269901399164501E-2</v>
      </c>
      <c r="I20">
        <f>CodeStochastic!J20</f>
        <v>8.8342127077812596E-2</v>
      </c>
      <c r="J20">
        <f>CodeStochastic!K20</f>
        <v>0.16408661209393999</v>
      </c>
      <c r="K20">
        <f>CodeStochastic!L20</f>
        <v>9.5393429423846196E-2</v>
      </c>
      <c r="L20">
        <f>CodeStochastic!M20</f>
        <v>0.15408785670339101</v>
      </c>
    </row>
    <row r="21" spans="1:12" x14ac:dyDescent="0.35">
      <c r="A21" s="214" t="s">
        <v>143</v>
      </c>
      <c r="B21" s="214" t="s">
        <v>24</v>
      </c>
      <c r="C21" s="167">
        <v>20</v>
      </c>
      <c r="D21" s="167" t="s">
        <v>256</v>
      </c>
      <c r="E21" s="125" t="s">
        <v>13</v>
      </c>
      <c r="F21">
        <f>CodeStochastic!G21</f>
        <v>0.125053703702109</v>
      </c>
      <c r="G21">
        <f>CodeStochastic!H21</f>
        <v>0.12460137370812401</v>
      </c>
      <c r="H21">
        <f>CodeStochastic!I21</f>
        <v>1.5680637936985101E-2</v>
      </c>
      <c r="I21">
        <f>CodeStochastic!J21</f>
        <v>8.6674193044756404E-2</v>
      </c>
      <c r="J21">
        <f>CodeStochastic!K21</f>
        <v>0.16340842590457499</v>
      </c>
      <c r="K21">
        <f>CodeStochastic!L21</f>
        <v>9.4759492695200204E-2</v>
      </c>
      <c r="L21">
        <f>CodeStochastic!M21</f>
        <v>0.15480094929184199</v>
      </c>
    </row>
    <row r="22" spans="1:12" x14ac:dyDescent="0.35">
      <c r="A22" s="214" t="s">
        <v>143</v>
      </c>
      <c r="B22" s="214" t="s">
        <v>24</v>
      </c>
      <c r="C22" s="167">
        <v>21</v>
      </c>
      <c r="D22" s="167" t="s">
        <v>256</v>
      </c>
      <c r="E22" s="125" t="s">
        <v>14</v>
      </c>
      <c r="F22">
        <f>CodeStochastic!G22</f>
        <v>0.102228685388447</v>
      </c>
      <c r="G22">
        <f>CodeStochastic!H22</f>
        <v>0.102820062886917</v>
      </c>
      <c r="H22">
        <f>CodeStochastic!I22</f>
        <v>1.3508766924568E-2</v>
      </c>
      <c r="I22">
        <f>CodeStochastic!J22</f>
        <v>7.1375573474571394E-2</v>
      </c>
      <c r="J22">
        <f>CodeStochastic!K22</f>
        <v>0.13523881562802501</v>
      </c>
      <c r="K22">
        <f>CodeStochastic!L22</f>
        <v>7.8013054247215996E-2</v>
      </c>
      <c r="L22">
        <f>CodeStochastic!M22</f>
        <v>0.128062231917077</v>
      </c>
    </row>
    <row r="23" spans="1:12" x14ac:dyDescent="0.35">
      <c r="A23" s="214" t="s">
        <v>143</v>
      </c>
      <c r="B23" s="214" t="s">
        <v>24</v>
      </c>
      <c r="C23" s="167">
        <v>22</v>
      </c>
      <c r="D23" s="167" t="s">
        <v>256</v>
      </c>
      <c r="E23" s="125" t="s">
        <v>15</v>
      </c>
      <c r="F23">
        <f>CodeStochastic!G23</f>
        <v>0.102602481891488</v>
      </c>
      <c r="G23">
        <f>CodeStochastic!H23</f>
        <v>0.102903544816838</v>
      </c>
      <c r="H23">
        <f>CodeStochastic!I23</f>
        <v>1.3612251211876401E-2</v>
      </c>
      <c r="I23">
        <f>CodeStochastic!J23</f>
        <v>7.2709952693453095E-2</v>
      </c>
      <c r="J23">
        <f>CodeStochastic!K23</f>
        <v>0.13393698516420899</v>
      </c>
      <c r="K23">
        <f>CodeStochastic!L23</f>
        <v>7.6787407829830595E-2</v>
      </c>
      <c r="L23">
        <f>CodeStochastic!M23</f>
        <v>0.12940366533669101</v>
      </c>
    </row>
    <row r="24" spans="1:12" x14ac:dyDescent="0.35">
      <c r="A24" s="214" t="s">
        <v>143</v>
      </c>
      <c r="B24" s="214" t="s">
        <v>24</v>
      </c>
      <c r="C24" s="167">
        <v>23</v>
      </c>
      <c r="D24" s="167" t="s">
        <v>256</v>
      </c>
      <c r="E24" s="125" t="s">
        <v>16</v>
      </c>
      <c r="F24">
        <f>CodeStochastic!G24</f>
        <v>8.3996928962218401E-2</v>
      </c>
      <c r="G24">
        <f>CodeStochastic!H24</f>
        <v>8.3943277601883304E-2</v>
      </c>
      <c r="H24">
        <f>CodeStochastic!I24</f>
        <v>1.0636173823442899E-2</v>
      </c>
      <c r="I24">
        <f>CodeStochastic!J24</f>
        <v>5.7525785190114399E-2</v>
      </c>
      <c r="J24">
        <f>CodeStochastic!K24</f>
        <v>0.110319553971003</v>
      </c>
      <c r="K24">
        <f>CodeStochastic!L24</f>
        <v>6.3906223095047801E-2</v>
      </c>
      <c r="L24">
        <f>CodeStochastic!M24</f>
        <v>0.103487439474108</v>
      </c>
    </row>
    <row r="25" spans="1:12" x14ac:dyDescent="0.35">
      <c r="A25" s="214" t="s">
        <v>143</v>
      </c>
      <c r="B25" s="214" t="s">
        <v>24</v>
      </c>
      <c r="C25" s="167">
        <v>24</v>
      </c>
      <c r="D25" s="167" t="s">
        <v>256</v>
      </c>
      <c r="E25" s="125" t="s">
        <v>17</v>
      </c>
      <c r="F25">
        <f>CodeStochastic!G25</f>
        <v>8.4831018352121895E-2</v>
      </c>
      <c r="G25">
        <f>CodeStochastic!H25</f>
        <v>8.4380419407511106E-2</v>
      </c>
      <c r="H25">
        <f>CodeStochastic!I25</f>
        <v>1.0266416261386401E-2</v>
      </c>
      <c r="I25">
        <f>CodeStochastic!J25</f>
        <v>5.8301534011148501E-2</v>
      </c>
      <c r="J25">
        <f>CodeStochastic!K25</f>
        <v>0.110979333660723</v>
      </c>
      <c r="K25">
        <f>CodeStochastic!L25</f>
        <v>6.4610392410747605E-2</v>
      </c>
      <c r="L25">
        <f>CodeStochastic!M25</f>
        <v>0.103263774706338</v>
      </c>
    </row>
    <row r="26" spans="1:12" x14ac:dyDescent="0.35">
      <c r="A26" s="214" t="s">
        <v>143</v>
      </c>
      <c r="B26" s="214" t="s">
        <v>24</v>
      </c>
      <c r="C26" s="167">
        <v>25</v>
      </c>
      <c r="D26" s="167" t="s">
        <v>256</v>
      </c>
      <c r="E26" s="125" t="s">
        <v>18</v>
      </c>
      <c r="F26">
        <f>CodeStochastic!G26</f>
        <v>6.8611142240989506E-2</v>
      </c>
      <c r="G26">
        <f>CodeStochastic!H26</f>
        <v>6.8656245666906604E-2</v>
      </c>
      <c r="H26">
        <f>CodeStochastic!I26</f>
        <v>8.3712793649599205E-3</v>
      </c>
      <c r="I26">
        <f>CodeStochastic!J26</f>
        <v>4.9267896528170999E-2</v>
      </c>
      <c r="J26">
        <f>CodeStochastic!K26</f>
        <v>8.7370236495558404E-2</v>
      </c>
      <c r="K26">
        <f>CodeStochastic!L26</f>
        <v>5.2947592509390101E-2</v>
      </c>
      <c r="L26">
        <f>CodeStochastic!M26</f>
        <v>8.4064633226937205E-2</v>
      </c>
    </row>
    <row r="27" spans="1:12" x14ac:dyDescent="0.35">
      <c r="A27" s="214" t="s">
        <v>143</v>
      </c>
      <c r="B27" s="214" t="s">
        <v>24</v>
      </c>
      <c r="C27" s="167">
        <v>26</v>
      </c>
      <c r="D27" s="167" t="s">
        <v>256</v>
      </c>
      <c r="E27" s="125" t="s">
        <v>19</v>
      </c>
      <c r="F27">
        <f>CodeStochastic!G27</f>
        <v>6.8597771069832794E-2</v>
      </c>
      <c r="G27">
        <f>CodeStochastic!H27</f>
        <v>6.8813893591135405E-2</v>
      </c>
      <c r="H27">
        <f>CodeStochastic!I27</f>
        <v>8.0648631034860602E-3</v>
      </c>
      <c r="I27">
        <f>CodeStochastic!J27</f>
        <v>4.7983982916826699E-2</v>
      </c>
      <c r="J27">
        <f>CodeStochastic!K27</f>
        <v>8.7563341049749097E-2</v>
      </c>
      <c r="K27">
        <f>CodeStochastic!L27</f>
        <v>5.3684458061850099E-2</v>
      </c>
      <c r="L27">
        <f>CodeStochastic!M27</f>
        <v>8.3969182713272306E-2</v>
      </c>
    </row>
    <row r="28" spans="1:12" x14ac:dyDescent="0.35">
      <c r="A28" s="214" t="s">
        <v>143</v>
      </c>
      <c r="B28" s="214" t="s">
        <v>24</v>
      </c>
      <c r="C28" s="167">
        <v>27</v>
      </c>
      <c r="D28" s="167" t="s">
        <v>256</v>
      </c>
      <c r="E28" s="125" t="s">
        <v>20</v>
      </c>
      <c r="F28">
        <f>CodeStochastic!G28</f>
        <v>4.9812063452878398E-2</v>
      </c>
      <c r="G28">
        <f>CodeStochastic!H28</f>
        <v>4.9870484523136902E-2</v>
      </c>
      <c r="H28">
        <f>CodeStochastic!I28</f>
        <v>5.8639702861832104E-3</v>
      </c>
      <c r="I28">
        <f>CodeStochastic!J28</f>
        <v>3.5637673654084198E-2</v>
      </c>
      <c r="J28">
        <f>CodeStochastic!K28</f>
        <v>6.4099064168643805E-2</v>
      </c>
      <c r="K28">
        <f>CodeStochastic!L28</f>
        <v>3.8317965551940898E-2</v>
      </c>
      <c r="L28">
        <f>CodeStochastic!M28</f>
        <v>6.05393194056629E-2</v>
      </c>
    </row>
    <row r="29" spans="1:12" ht="15" thickBot="1" x14ac:dyDescent="0.4">
      <c r="A29" s="214" t="s">
        <v>143</v>
      </c>
      <c r="B29" s="214" t="s">
        <v>24</v>
      </c>
      <c r="C29" s="167">
        <v>28</v>
      </c>
      <c r="D29" s="167" t="s">
        <v>256</v>
      </c>
      <c r="E29" s="125" t="s">
        <v>279</v>
      </c>
      <c r="F29">
        <f>CodeStochastic!G29</f>
        <v>4.9918524589079701E-2</v>
      </c>
      <c r="G29">
        <f>CodeStochastic!H29</f>
        <v>5.0142082402917398E-2</v>
      </c>
      <c r="H29">
        <f>CodeStochastic!I29</f>
        <v>5.9481314477598498E-3</v>
      </c>
      <c r="I29">
        <f>CodeStochastic!J29</f>
        <v>3.6282547376360601E-2</v>
      </c>
      <c r="J29">
        <f>CodeStochastic!K29</f>
        <v>6.4027392573629299E-2</v>
      </c>
      <c r="K29">
        <f>CodeStochastic!L29</f>
        <v>3.9050953421787299E-2</v>
      </c>
      <c r="L29">
        <f>CodeStochastic!M29</f>
        <v>6.1496472769493202E-2</v>
      </c>
    </row>
    <row r="30" spans="1:12" x14ac:dyDescent="0.35">
      <c r="A30" s="212" t="s">
        <v>144</v>
      </c>
      <c r="B30" s="212" t="s">
        <v>24</v>
      </c>
      <c r="C30" s="167">
        <v>29</v>
      </c>
      <c r="D30" s="167" t="s">
        <v>257</v>
      </c>
      <c r="E30" s="178" t="s">
        <v>8</v>
      </c>
      <c r="F30">
        <f>CodeStochastic!G30</f>
        <v>0</v>
      </c>
      <c r="G30">
        <f>CodeStochastic!H30</f>
        <v>0</v>
      </c>
      <c r="H30">
        <f>CodeStochastic!I30</f>
        <v>0</v>
      </c>
      <c r="I30">
        <f>CodeStochastic!J30</f>
        <v>0</v>
      </c>
      <c r="J30">
        <f>CodeStochastic!K30</f>
        <v>0</v>
      </c>
      <c r="K30">
        <f>CodeStochastic!L30</f>
        <v>0</v>
      </c>
      <c r="L30">
        <f>CodeStochastic!M30</f>
        <v>0</v>
      </c>
    </row>
    <row r="31" spans="1:12" x14ac:dyDescent="0.35">
      <c r="A31" s="212" t="s">
        <v>144</v>
      </c>
      <c r="B31" s="212" t="s">
        <v>24</v>
      </c>
      <c r="C31" s="167">
        <v>30</v>
      </c>
      <c r="D31" s="167" t="s">
        <v>257</v>
      </c>
      <c r="E31" s="125" t="s">
        <v>9</v>
      </c>
      <c r="F31">
        <f>CodeStochastic!G31</f>
        <v>0</v>
      </c>
      <c r="G31">
        <f>CodeStochastic!H31</f>
        <v>0</v>
      </c>
      <c r="H31">
        <f>CodeStochastic!I31</f>
        <v>0</v>
      </c>
      <c r="I31">
        <f>CodeStochastic!J31</f>
        <v>0</v>
      </c>
      <c r="J31">
        <f>CodeStochastic!K31</f>
        <v>0</v>
      </c>
      <c r="K31">
        <f>CodeStochastic!L31</f>
        <v>0</v>
      </c>
      <c r="L31">
        <f>CodeStochastic!M31</f>
        <v>0</v>
      </c>
    </row>
    <row r="32" spans="1:12" x14ac:dyDescent="0.35">
      <c r="A32" s="212" t="s">
        <v>144</v>
      </c>
      <c r="B32" s="212" t="s">
        <v>24</v>
      </c>
      <c r="C32" s="167">
        <v>31</v>
      </c>
      <c r="D32" s="167" t="s">
        <v>257</v>
      </c>
      <c r="E32" s="125" t="s">
        <v>10</v>
      </c>
      <c r="F32">
        <f>CodeStochastic!G32</f>
        <v>0</v>
      </c>
      <c r="G32">
        <f>CodeStochastic!H32</f>
        <v>0</v>
      </c>
      <c r="H32">
        <f>CodeStochastic!I32</f>
        <v>0</v>
      </c>
      <c r="I32">
        <f>CodeStochastic!J32</f>
        <v>0</v>
      </c>
      <c r="J32">
        <f>CodeStochastic!K32</f>
        <v>0</v>
      </c>
      <c r="K32">
        <f>CodeStochastic!L32</f>
        <v>0</v>
      </c>
      <c r="L32">
        <f>CodeStochastic!M32</f>
        <v>0</v>
      </c>
    </row>
    <row r="33" spans="1:12" x14ac:dyDescent="0.35">
      <c r="A33" s="212" t="s">
        <v>144</v>
      </c>
      <c r="B33" s="212" t="s">
        <v>24</v>
      </c>
      <c r="C33" s="167">
        <v>32</v>
      </c>
      <c r="D33" s="167" t="s">
        <v>257</v>
      </c>
      <c r="E33" s="125" t="s">
        <v>11</v>
      </c>
      <c r="F33">
        <f>CodeStochastic!G33</f>
        <v>0</v>
      </c>
      <c r="G33">
        <f>CodeStochastic!H33</f>
        <v>0</v>
      </c>
      <c r="H33">
        <f>CodeStochastic!I33</f>
        <v>0</v>
      </c>
      <c r="I33">
        <f>CodeStochastic!J33</f>
        <v>0</v>
      </c>
      <c r="J33">
        <f>CodeStochastic!K33</f>
        <v>0</v>
      </c>
      <c r="K33">
        <f>CodeStochastic!L33</f>
        <v>0</v>
      </c>
      <c r="L33">
        <f>CodeStochastic!M33</f>
        <v>0</v>
      </c>
    </row>
    <row r="34" spans="1:12" x14ac:dyDescent="0.35">
      <c r="A34" s="212" t="s">
        <v>144</v>
      </c>
      <c r="B34" s="212" t="s">
        <v>24</v>
      </c>
      <c r="C34" s="167">
        <v>33</v>
      </c>
      <c r="D34" s="167" t="s">
        <v>257</v>
      </c>
      <c r="E34" s="125" t="s">
        <v>12</v>
      </c>
      <c r="F34">
        <f>CodeStochastic!G34</f>
        <v>0</v>
      </c>
      <c r="G34">
        <f>CodeStochastic!H34</f>
        <v>0</v>
      </c>
      <c r="H34">
        <f>CodeStochastic!I34</f>
        <v>0</v>
      </c>
      <c r="I34">
        <f>CodeStochastic!J34</f>
        <v>0</v>
      </c>
      <c r="J34">
        <f>CodeStochastic!K34</f>
        <v>0</v>
      </c>
      <c r="K34">
        <f>CodeStochastic!L34</f>
        <v>0</v>
      </c>
      <c r="L34">
        <f>CodeStochastic!M34</f>
        <v>0</v>
      </c>
    </row>
    <row r="35" spans="1:12" x14ac:dyDescent="0.35">
      <c r="A35" s="212" t="s">
        <v>144</v>
      </c>
      <c r="B35" s="212" t="s">
        <v>24</v>
      </c>
      <c r="C35" s="167">
        <v>34</v>
      </c>
      <c r="D35" s="167" t="s">
        <v>257</v>
      </c>
      <c r="E35" s="125" t="s">
        <v>13</v>
      </c>
      <c r="F35">
        <f>CodeStochastic!G35</f>
        <v>0</v>
      </c>
      <c r="G35">
        <f>CodeStochastic!H35</f>
        <v>0</v>
      </c>
      <c r="H35">
        <f>CodeStochastic!I35</f>
        <v>0</v>
      </c>
      <c r="I35">
        <f>CodeStochastic!J35</f>
        <v>0</v>
      </c>
      <c r="J35">
        <f>CodeStochastic!K35</f>
        <v>0</v>
      </c>
      <c r="K35">
        <f>CodeStochastic!L35</f>
        <v>0</v>
      </c>
      <c r="L35">
        <f>CodeStochastic!M35</f>
        <v>0</v>
      </c>
    </row>
    <row r="36" spans="1:12" x14ac:dyDescent="0.35">
      <c r="A36" s="212" t="s">
        <v>144</v>
      </c>
      <c r="B36" s="212" t="s">
        <v>24</v>
      </c>
      <c r="C36" s="167">
        <v>35</v>
      </c>
      <c r="D36" s="167" t="s">
        <v>257</v>
      </c>
      <c r="E36" s="125" t="s">
        <v>14</v>
      </c>
      <c r="F36">
        <f>CodeStochastic!G36</f>
        <v>0</v>
      </c>
      <c r="G36">
        <f>CodeStochastic!H36</f>
        <v>0</v>
      </c>
      <c r="H36">
        <f>CodeStochastic!I36</f>
        <v>0</v>
      </c>
      <c r="I36">
        <f>CodeStochastic!J36</f>
        <v>0</v>
      </c>
      <c r="J36">
        <f>CodeStochastic!K36</f>
        <v>0</v>
      </c>
      <c r="K36">
        <f>CodeStochastic!L36</f>
        <v>0</v>
      </c>
      <c r="L36">
        <f>CodeStochastic!M36</f>
        <v>0</v>
      </c>
    </row>
    <row r="37" spans="1:12" x14ac:dyDescent="0.35">
      <c r="A37" s="212" t="s">
        <v>144</v>
      </c>
      <c r="B37" s="212" t="s">
        <v>24</v>
      </c>
      <c r="C37" s="167">
        <v>36</v>
      </c>
      <c r="D37" s="167" t="s">
        <v>257</v>
      </c>
      <c r="E37" s="125" t="s">
        <v>15</v>
      </c>
      <c r="F37">
        <f>CodeStochastic!G37</f>
        <v>0</v>
      </c>
      <c r="G37">
        <f>CodeStochastic!H37</f>
        <v>0</v>
      </c>
      <c r="H37">
        <f>CodeStochastic!I37</f>
        <v>0</v>
      </c>
      <c r="I37">
        <f>CodeStochastic!J37</f>
        <v>0</v>
      </c>
      <c r="J37">
        <f>CodeStochastic!K37</f>
        <v>0</v>
      </c>
      <c r="K37">
        <f>CodeStochastic!L37</f>
        <v>0</v>
      </c>
      <c r="L37">
        <f>CodeStochastic!M37</f>
        <v>0</v>
      </c>
    </row>
    <row r="38" spans="1:12" x14ac:dyDescent="0.35">
      <c r="A38" s="212" t="s">
        <v>144</v>
      </c>
      <c r="B38" s="212" t="s">
        <v>24</v>
      </c>
      <c r="C38" s="167">
        <v>37</v>
      </c>
      <c r="D38" s="167" t="s">
        <v>257</v>
      </c>
      <c r="E38" s="125" t="s">
        <v>16</v>
      </c>
      <c r="F38">
        <f>CodeStochastic!G38</f>
        <v>0</v>
      </c>
      <c r="G38">
        <f>CodeStochastic!H38</f>
        <v>0</v>
      </c>
      <c r="H38">
        <f>CodeStochastic!I38</f>
        <v>0</v>
      </c>
      <c r="I38">
        <f>CodeStochastic!J38</f>
        <v>0</v>
      </c>
      <c r="J38">
        <f>CodeStochastic!K38</f>
        <v>0</v>
      </c>
      <c r="K38">
        <f>CodeStochastic!L38</f>
        <v>0</v>
      </c>
      <c r="L38">
        <f>CodeStochastic!M38</f>
        <v>0</v>
      </c>
    </row>
    <row r="39" spans="1:12" x14ac:dyDescent="0.35">
      <c r="A39" s="212" t="s">
        <v>144</v>
      </c>
      <c r="B39" s="212" t="s">
        <v>24</v>
      </c>
      <c r="C39" s="167">
        <v>38</v>
      </c>
      <c r="D39" s="167" t="s">
        <v>257</v>
      </c>
      <c r="E39" s="125" t="s">
        <v>17</v>
      </c>
      <c r="F39">
        <f>CodeStochastic!G39</f>
        <v>0</v>
      </c>
      <c r="G39">
        <f>CodeStochastic!H39</f>
        <v>0</v>
      </c>
      <c r="H39">
        <f>CodeStochastic!I39</f>
        <v>0</v>
      </c>
      <c r="I39">
        <f>CodeStochastic!J39</f>
        <v>0</v>
      </c>
      <c r="J39">
        <f>CodeStochastic!K39</f>
        <v>0</v>
      </c>
      <c r="K39">
        <f>CodeStochastic!L39</f>
        <v>0</v>
      </c>
      <c r="L39">
        <f>CodeStochastic!M39</f>
        <v>0</v>
      </c>
    </row>
    <row r="40" spans="1:12" x14ac:dyDescent="0.35">
      <c r="A40" s="212" t="s">
        <v>144</v>
      </c>
      <c r="B40" s="212" t="s">
        <v>24</v>
      </c>
      <c r="C40" s="167">
        <v>39</v>
      </c>
      <c r="D40" s="167" t="s">
        <v>257</v>
      </c>
      <c r="E40" s="125" t="s">
        <v>18</v>
      </c>
      <c r="F40">
        <f>CodeStochastic!G40</f>
        <v>0</v>
      </c>
      <c r="G40">
        <f>CodeStochastic!H40</f>
        <v>0</v>
      </c>
      <c r="H40">
        <f>CodeStochastic!I40</f>
        <v>0</v>
      </c>
      <c r="I40">
        <f>CodeStochastic!J40</f>
        <v>0</v>
      </c>
      <c r="J40">
        <f>CodeStochastic!K40</f>
        <v>0</v>
      </c>
      <c r="K40">
        <f>CodeStochastic!L40</f>
        <v>0</v>
      </c>
      <c r="L40">
        <f>CodeStochastic!M40</f>
        <v>0</v>
      </c>
    </row>
    <row r="41" spans="1:12" x14ac:dyDescent="0.35">
      <c r="A41" s="212" t="s">
        <v>144</v>
      </c>
      <c r="B41" s="212" t="s">
        <v>24</v>
      </c>
      <c r="C41" s="167">
        <v>40</v>
      </c>
      <c r="D41" s="167" t="s">
        <v>257</v>
      </c>
      <c r="E41" s="125" t="s">
        <v>19</v>
      </c>
      <c r="F41">
        <f>CodeStochastic!G41</f>
        <v>0</v>
      </c>
      <c r="G41">
        <f>CodeStochastic!H41</f>
        <v>0</v>
      </c>
      <c r="H41">
        <f>CodeStochastic!I41</f>
        <v>0</v>
      </c>
      <c r="I41">
        <f>CodeStochastic!J41</f>
        <v>0</v>
      </c>
      <c r="J41">
        <f>CodeStochastic!K41</f>
        <v>0</v>
      </c>
      <c r="K41">
        <f>CodeStochastic!L41</f>
        <v>0</v>
      </c>
      <c r="L41">
        <f>CodeStochastic!M41</f>
        <v>0</v>
      </c>
    </row>
    <row r="42" spans="1:12" x14ac:dyDescent="0.35">
      <c r="A42" s="212" t="s">
        <v>144</v>
      </c>
      <c r="B42" s="212" t="s">
        <v>24</v>
      </c>
      <c r="C42" s="167">
        <v>41</v>
      </c>
      <c r="D42" s="167" t="s">
        <v>257</v>
      </c>
      <c r="E42" s="125" t="s">
        <v>20</v>
      </c>
      <c r="F42">
        <f>CodeStochastic!G42</f>
        <v>0</v>
      </c>
      <c r="G42">
        <f>CodeStochastic!H42</f>
        <v>0</v>
      </c>
      <c r="H42">
        <f>CodeStochastic!I42</f>
        <v>0</v>
      </c>
      <c r="I42">
        <f>CodeStochastic!J42</f>
        <v>0</v>
      </c>
      <c r="J42">
        <f>CodeStochastic!K42</f>
        <v>0</v>
      </c>
      <c r="K42">
        <f>CodeStochastic!L42</f>
        <v>0</v>
      </c>
      <c r="L42">
        <f>CodeStochastic!M42</f>
        <v>0</v>
      </c>
    </row>
    <row r="43" spans="1:12" ht="15" thickBot="1" x14ac:dyDescent="0.4">
      <c r="A43" s="212" t="s">
        <v>144</v>
      </c>
      <c r="B43" s="212" t="s">
        <v>24</v>
      </c>
      <c r="C43" s="167">
        <v>42</v>
      </c>
      <c r="D43" s="167" t="s">
        <v>257</v>
      </c>
      <c r="E43" s="125" t="s">
        <v>279</v>
      </c>
      <c r="F43">
        <f>CodeStochastic!G43</f>
        <v>0</v>
      </c>
      <c r="G43">
        <f>CodeStochastic!H43</f>
        <v>0</v>
      </c>
      <c r="H43">
        <f>CodeStochastic!I43</f>
        <v>0</v>
      </c>
      <c r="I43">
        <f>CodeStochastic!J43</f>
        <v>0</v>
      </c>
      <c r="J43">
        <f>CodeStochastic!K43</f>
        <v>0</v>
      </c>
      <c r="K43">
        <f>CodeStochastic!L43</f>
        <v>0</v>
      </c>
      <c r="L43">
        <f>CodeStochastic!M43</f>
        <v>0</v>
      </c>
    </row>
    <row r="44" spans="1:12" x14ac:dyDescent="0.35">
      <c r="A44" s="212" t="s">
        <v>144</v>
      </c>
      <c r="B44" s="212" t="s">
        <v>24</v>
      </c>
      <c r="C44" s="167">
        <v>43</v>
      </c>
      <c r="D44" s="167" t="s">
        <v>256</v>
      </c>
      <c r="E44" s="178" t="s">
        <v>8</v>
      </c>
      <c r="F44">
        <f>CodeStochastic!G44</f>
        <v>0</v>
      </c>
      <c r="G44">
        <f>CodeStochastic!H44</f>
        <v>0</v>
      </c>
      <c r="H44">
        <f>CodeStochastic!I44</f>
        <v>0</v>
      </c>
      <c r="I44">
        <f>CodeStochastic!J44</f>
        <v>0</v>
      </c>
      <c r="J44">
        <f>CodeStochastic!K44</f>
        <v>0</v>
      </c>
      <c r="K44">
        <f>CodeStochastic!L44</f>
        <v>0</v>
      </c>
      <c r="L44">
        <f>CodeStochastic!M44</f>
        <v>0</v>
      </c>
    </row>
    <row r="45" spans="1:12" x14ac:dyDescent="0.35">
      <c r="A45" s="212" t="s">
        <v>144</v>
      </c>
      <c r="B45" s="212" t="s">
        <v>24</v>
      </c>
      <c r="C45" s="167">
        <v>44</v>
      </c>
      <c r="D45" s="167" t="s">
        <v>256</v>
      </c>
      <c r="E45" s="125" t="s">
        <v>9</v>
      </c>
      <c r="F45">
        <f>CodeStochastic!G45</f>
        <v>0</v>
      </c>
      <c r="G45">
        <f>CodeStochastic!H45</f>
        <v>0</v>
      </c>
      <c r="H45">
        <f>CodeStochastic!I45</f>
        <v>0</v>
      </c>
      <c r="I45">
        <f>CodeStochastic!J45</f>
        <v>0</v>
      </c>
      <c r="J45">
        <f>CodeStochastic!K45</f>
        <v>0</v>
      </c>
      <c r="K45">
        <f>CodeStochastic!L45</f>
        <v>0</v>
      </c>
      <c r="L45">
        <f>CodeStochastic!M45</f>
        <v>0</v>
      </c>
    </row>
    <row r="46" spans="1:12" x14ac:dyDescent="0.35">
      <c r="A46" s="212" t="s">
        <v>144</v>
      </c>
      <c r="B46" s="212" t="s">
        <v>24</v>
      </c>
      <c r="C46" s="167">
        <v>45</v>
      </c>
      <c r="D46" s="167" t="s">
        <v>256</v>
      </c>
      <c r="E46" s="125" t="s">
        <v>10</v>
      </c>
      <c r="F46">
        <f>CodeStochastic!G46</f>
        <v>0</v>
      </c>
      <c r="G46">
        <f>CodeStochastic!H46</f>
        <v>0</v>
      </c>
      <c r="H46">
        <f>CodeStochastic!I46</f>
        <v>0</v>
      </c>
      <c r="I46">
        <f>CodeStochastic!J46</f>
        <v>0</v>
      </c>
      <c r="J46">
        <f>CodeStochastic!K46</f>
        <v>0</v>
      </c>
      <c r="K46">
        <f>CodeStochastic!L46</f>
        <v>0</v>
      </c>
      <c r="L46">
        <f>CodeStochastic!M46</f>
        <v>0</v>
      </c>
    </row>
    <row r="47" spans="1:12" x14ac:dyDescent="0.35">
      <c r="A47" s="212" t="s">
        <v>144</v>
      </c>
      <c r="B47" s="212" t="s">
        <v>24</v>
      </c>
      <c r="C47" s="167">
        <v>46</v>
      </c>
      <c r="D47" s="167" t="s">
        <v>256</v>
      </c>
      <c r="E47" s="125" t="s">
        <v>11</v>
      </c>
      <c r="F47">
        <f>CodeStochastic!G47</f>
        <v>0</v>
      </c>
      <c r="G47">
        <f>CodeStochastic!H47</f>
        <v>0</v>
      </c>
      <c r="H47">
        <f>CodeStochastic!I47</f>
        <v>0</v>
      </c>
      <c r="I47">
        <f>CodeStochastic!J47</f>
        <v>0</v>
      </c>
      <c r="J47">
        <f>CodeStochastic!K47</f>
        <v>0</v>
      </c>
      <c r="K47">
        <f>CodeStochastic!L47</f>
        <v>0</v>
      </c>
      <c r="L47">
        <f>CodeStochastic!M47</f>
        <v>0</v>
      </c>
    </row>
    <row r="48" spans="1:12" x14ac:dyDescent="0.35">
      <c r="A48" s="212" t="s">
        <v>144</v>
      </c>
      <c r="B48" s="212" t="s">
        <v>24</v>
      </c>
      <c r="C48" s="167">
        <v>47</v>
      </c>
      <c r="D48" s="167" t="s">
        <v>256</v>
      </c>
      <c r="E48" s="125" t="s">
        <v>12</v>
      </c>
      <c r="F48">
        <f>CodeStochastic!G48</f>
        <v>0</v>
      </c>
      <c r="G48">
        <f>CodeStochastic!H48</f>
        <v>0</v>
      </c>
      <c r="H48">
        <f>CodeStochastic!I48</f>
        <v>0</v>
      </c>
      <c r="I48">
        <f>CodeStochastic!J48</f>
        <v>0</v>
      </c>
      <c r="J48">
        <f>CodeStochastic!K48</f>
        <v>0</v>
      </c>
      <c r="K48">
        <f>CodeStochastic!L48</f>
        <v>0</v>
      </c>
      <c r="L48">
        <f>CodeStochastic!M48</f>
        <v>0</v>
      </c>
    </row>
    <row r="49" spans="1:12" x14ac:dyDescent="0.35">
      <c r="A49" s="212" t="s">
        <v>144</v>
      </c>
      <c r="B49" s="212" t="s">
        <v>24</v>
      </c>
      <c r="C49" s="167">
        <v>48</v>
      </c>
      <c r="D49" s="167" t="s">
        <v>256</v>
      </c>
      <c r="E49" s="125" t="s">
        <v>13</v>
      </c>
      <c r="F49">
        <f>CodeStochastic!G49</f>
        <v>0</v>
      </c>
      <c r="G49">
        <f>CodeStochastic!H49</f>
        <v>0</v>
      </c>
      <c r="H49">
        <f>CodeStochastic!I49</f>
        <v>0</v>
      </c>
      <c r="I49">
        <f>CodeStochastic!J49</f>
        <v>0</v>
      </c>
      <c r="J49">
        <f>CodeStochastic!K49</f>
        <v>0</v>
      </c>
      <c r="K49">
        <f>CodeStochastic!L49</f>
        <v>0</v>
      </c>
      <c r="L49">
        <f>CodeStochastic!M49</f>
        <v>0</v>
      </c>
    </row>
    <row r="50" spans="1:12" x14ac:dyDescent="0.35">
      <c r="A50" s="212" t="s">
        <v>144</v>
      </c>
      <c r="B50" s="212" t="s">
        <v>24</v>
      </c>
      <c r="C50" s="167">
        <v>49</v>
      </c>
      <c r="D50" s="167" t="s">
        <v>256</v>
      </c>
      <c r="E50" s="125" t="s">
        <v>14</v>
      </c>
      <c r="F50">
        <f>CodeStochastic!G50</f>
        <v>0</v>
      </c>
      <c r="G50">
        <f>CodeStochastic!H50</f>
        <v>0</v>
      </c>
      <c r="H50">
        <f>CodeStochastic!I50</f>
        <v>0</v>
      </c>
      <c r="I50">
        <f>CodeStochastic!J50</f>
        <v>0</v>
      </c>
      <c r="J50">
        <f>CodeStochastic!K50</f>
        <v>0</v>
      </c>
      <c r="K50">
        <f>CodeStochastic!L50</f>
        <v>0</v>
      </c>
      <c r="L50">
        <f>CodeStochastic!M50</f>
        <v>0</v>
      </c>
    </row>
    <row r="51" spans="1:12" x14ac:dyDescent="0.35">
      <c r="A51" s="212" t="s">
        <v>144</v>
      </c>
      <c r="B51" s="212" t="s">
        <v>24</v>
      </c>
      <c r="C51" s="167">
        <v>50</v>
      </c>
      <c r="D51" s="167" t="s">
        <v>256</v>
      </c>
      <c r="E51" s="125" t="s">
        <v>15</v>
      </c>
      <c r="F51">
        <f>CodeStochastic!G51</f>
        <v>0</v>
      </c>
      <c r="G51">
        <f>CodeStochastic!H51</f>
        <v>0</v>
      </c>
      <c r="H51">
        <f>CodeStochastic!I51</f>
        <v>0</v>
      </c>
      <c r="I51">
        <f>CodeStochastic!J51</f>
        <v>0</v>
      </c>
      <c r="J51">
        <f>CodeStochastic!K51</f>
        <v>0</v>
      </c>
      <c r="K51">
        <f>CodeStochastic!L51</f>
        <v>0</v>
      </c>
      <c r="L51">
        <f>CodeStochastic!M51</f>
        <v>0</v>
      </c>
    </row>
    <row r="52" spans="1:12" x14ac:dyDescent="0.35">
      <c r="A52" s="212" t="s">
        <v>144</v>
      </c>
      <c r="B52" s="212" t="s">
        <v>24</v>
      </c>
      <c r="C52" s="167">
        <v>51</v>
      </c>
      <c r="D52" s="167" t="s">
        <v>256</v>
      </c>
      <c r="E52" s="125" t="s">
        <v>16</v>
      </c>
      <c r="F52">
        <f>CodeStochastic!G52</f>
        <v>0</v>
      </c>
      <c r="G52">
        <f>CodeStochastic!H52</f>
        <v>0</v>
      </c>
      <c r="H52">
        <f>CodeStochastic!I52</f>
        <v>0</v>
      </c>
      <c r="I52">
        <f>CodeStochastic!J52</f>
        <v>0</v>
      </c>
      <c r="J52">
        <f>CodeStochastic!K52</f>
        <v>0</v>
      </c>
      <c r="K52">
        <f>CodeStochastic!L52</f>
        <v>0</v>
      </c>
      <c r="L52">
        <f>CodeStochastic!M52</f>
        <v>0</v>
      </c>
    </row>
    <row r="53" spans="1:12" x14ac:dyDescent="0.35">
      <c r="A53" s="212" t="s">
        <v>144</v>
      </c>
      <c r="B53" s="212" t="s">
        <v>24</v>
      </c>
      <c r="C53" s="167">
        <v>52</v>
      </c>
      <c r="D53" s="167" t="s">
        <v>256</v>
      </c>
      <c r="E53" s="125" t="s">
        <v>17</v>
      </c>
      <c r="F53">
        <f>CodeStochastic!G53</f>
        <v>0</v>
      </c>
      <c r="G53">
        <f>CodeStochastic!H53</f>
        <v>0</v>
      </c>
      <c r="H53">
        <f>CodeStochastic!I53</f>
        <v>0</v>
      </c>
      <c r="I53">
        <f>CodeStochastic!J53</f>
        <v>0</v>
      </c>
      <c r="J53">
        <f>CodeStochastic!K53</f>
        <v>0</v>
      </c>
      <c r="K53">
        <f>CodeStochastic!L53</f>
        <v>0</v>
      </c>
      <c r="L53">
        <f>CodeStochastic!M53</f>
        <v>0</v>
      </c>
    </row>
    <row r="54" spans="1:12" x14ac:dyDescent="0.35">
      <c r="A54" s="212" t="s">
        <v>144</v>
      </c>
      <c r="B54" s="212" t="s">
        <v>24</v>
      </c>
      <c r="C54" s="167">
        <v>53</v>
      </c>
      <c r="D54" s="167" t="s">
        <v>256</v>
      </c>
      <c r="E54" s="125" t="s">
        <v>18</v>
      </c>
      <c r="F54">
        <f>CodeStochastic!G54</f>
        <v>0</v>
      </c>
      <c r="G54">
        <f>CodeStochastic!H54</f>
        <v>0</v>
      </c>
      <c r="H54">
        <f>CodeStochastic!I54</f>
        <v>0</v>
      </c>
      <c r="I54">
        <f>CodeStochastic!J54</f>
        <v>0</v>
      </c>
      <c r="J54">
        <f>CodeStochastic!K54</f>
        <v>0</v>
      </c>
      <c r="K54">
        <f>CodeStochastic!L54</f>
        <v>0</v>
      </c>
      <c r="L54">
        <f>CodeStochastic!M54</f>
        <v>0</v>
      </c>
    </row>
    <row r="55" spans="1:12" x14ac:dyDescent="0.35">
      <c r="A55" s="212" t="s">
        <v>144</v>
      </c>
      <c r="B55" s="212" t="s">
        <v>24</v>
      </c>
      <c r="C55" s="167">
        <v>54</v>
      </c>
      <c r="D55" s="167" t="s">
        <v>256</v>
      </c>
      <c r="E55" s="125" t="s">
        <v>19</v>
      </c>
      <c r="F55">
        <f>CodeStochastic!G55</f>
        <v>0</v>
      </c>
      <c r="G55">
        <f>CodeStochastic!H55</f>
        <v>0</v>
      </c>
      <c r="H55">
        <f>CodeStochastic!I55</f>
        <v>0</v>
      </c>
      <c r="I55">
        <f>CodeStochastic!J55</f>
        <v>0</v>
      </c>
      <c r="J55">
        <f>CodeStochastic!K55</f>
        <v>0</v>
      </c>
      <c r="K55">
        <f>CodeStochastic!L55</f>
        <v>0</v>
      </c>
      <c r="L55">
        <f>CodeStochastic!M55</f>
        <v>0</v>
      </c>
    </row>
    <row r="56" spans="1:12" x14ac:dyDescent="0.35">
      <c r="A56" s="212" t="s">
        <v>144</v>
      </c>
      <c r="B56" s="212" t="s">
        <v>24</v>
      </c>
      <c r="C56" s="167">
        <v>55</v>
      </c>
      <c r="D56" s="167" t="s">
        <v>256</v>
      </c>
      <c r="E56" s="125" t="s">
        <v>20</v>
      </c>
      <c r="F56">
        <f>CodeStochastic!G56</f>
        <v>0</v>
      </c>
      <c r="G56">
        <f>CodeStochastic!H56</f>
        <v>0</v>
      </c>
      <c r="H56">
        <f>CodeStochastic!I56</f>
        <v>0</v>
      </c>
      <c r="I56">
        <f>CodeStochastic!J56</f>
        <v>0</v>
      </c>
      <c r="J56">
        <f>CodeStochastic!K56</f>
        <v>0</v>
      </c>
      <c r="K56">
        <f>CodeStochastic!L56</f>
        <v>0</v>
      </c>
      <c r="L56">
        <f>CodeStochastic!M56</f>
        <v>0</v>
      </c>
    </row>
    <row r="57" spans="1:12" ht="15" thickBot="1" x14ac:dyDescent="0.4">
      <c r="A57" s="212" t="s">
        <v>144</v>
      </c>
      <c r="B57" s="212" t="s">
        <v>24</v>
      </c>
      <c r="C57" s="167">
        <v>56</v>
      </c>
      <c r="D57" s="167" t="s">
        <v>256</v>
      </c>
      <c r="E57" s="125" t="s">
        <v>279</v>
      </c>
      <c r="F57">
        <f>CodeStochastic!G57</f>
        <v>0</v>
      </c>
      <c r="G57">
        <f>CodeStochastic!H57</f>
        <v>0</v>
      </c>
      <c r="H57">
        <f>CodeStochastic!I57</f>
        <v>0</v>
      </c>
      <c r="I57">
        <f>CodeStochastic!J57</f>
        <v>0</v>
      </c>
      <c r="J57">
        <f>CodeStochastic!K57</f>
        <v>0</v>
      </c>
      <c r="K57">
        <f>CodeStochastic!L57</f>
        <v>0</v>
      </c>
      <c r="L57">
        <f>CodeStochastic!M57</f>
        <v>0</v>
      </c>
    </row>
    <row r="58" spans="1:12" x14ac:dyDescent="0.35">
      <c r="A58" s="214" t="s">
        <v>143</v>
      </c>
      <c r="B58" s="214" t="s">
        <v>82</v>
      </c>
      <c r="C58" s="167">
        <v>57</v>
      </c>
      <c r="D58" s="167" t="s">
        <v>257</v>
      </c>
      <c r="E58" s="178" t="s">
        <v>8</v>
      </c>
      <c r="F58">
        <f>CodeStochastic!G58</f>
        <v>0</v>
      </c>
      <c r="G58">
        <f>CodeStochastic!H58</f>
        <v>0</v>
      </c>
      <c r="H58">
        <f>CodeStochastic!I58</f>
        <v>0</v>
      </c>
      <c r="I58">
        <f>CodeStochastic!J58</f>
        <v>0</v>
      </c>
      <c r="J58">
        <f>CodeStochastic!K58</f>
        <v>0</v>
      </c>
      <c r="K58">
        <f>CodeStochastic!L58</f>
        <v>0</v>
      </c>
      <c r="L58">
        <f>CodeStochastic!M58</f>
        <v>0</v>
      </c>
    </row>
    <row r="59" spans="1:12" x14ac:dyDescent="0.35">
      <c r="A59" s="214" t="s">
        <v>143</v>
      </c>
      <c r="B59" s="214" t="s">
        <v>82</v>
      </c>
      <c r="C59" s="167">
        <v>58</v>
      </c>
      <c r="D59" s="167" t="s">
        <v>257</v>
      </c>
      <c r="E59" s="125" t="s">
        <v>9</v>
      </c>
      <c r="F59">
        <f>CodeStochastic!G59</f>
        <v>0</v>
      </c>
      <c r="G59">
        <f>CodeStochastic!H59</f>
        <v>0</v>
      </c>
      <c r="H59">
        <f>CodeStochastic!I59</f>
        <v>0</v>
      </c>
      <c r="I59">
        <f>CodeStochastic!J59</f>
        <v>0</v>
      </c>
      <c r="J59">
        <f>CodeStochastic!K59</f>
        <v>0</v>
      </c>
      <c r="K59">
        <f>CodeStochastic!L59</f>
        <v>0</v>
      </c>
      <c r="L59">
        <f>CodeStochastic!M59</f>
        <v>0</v>
      </c>
    </row>
    <row r="60" spans="1:12" x14ac:dyDescent="0.35">
      <c r="A60" s="214" t="s">
        <v>143</v>
      </c>
      <c r="B60" s="214" t="s">
        <v>82</v>
      </c>
      <c r="C60" s="167">
        <v>59</v>
      </c>
      <c r="D60" s="167" t="s">
        <v>257</v>
      </c>
      <c r="E60" s="125" t="s">
        <v>10</v>
      </c>
      <c r="F60">
        <f>CodeStochastic!G60</f>
        <v>6.5119757615412097E-2</v>
      </c>
      <c r="G60">
        <f>CodeStochastic!H60</f>
        <v>6.5503181189339996E-2</v>
      </c>
      <c r="H60">
        <f>CodeStochastic!I60</f>
        <v>8.4335073423612902E-3</v>
      </c>
      <c r="I60">
        <f>CodeStochastic!J60</f>
        <v>4.5448107872382397E-2</v>
      </c>
      <c r="J60">
        <f>CodeStochastic!K60</f>
        <v>8.6573950397305394E-2</v>
      </c>
      <c r="K60">
        <f>CodeStochastic!L60</f>
        <v>4.96142638351246E-2</v>
      </c>
      <c r="L60">
        <f>CodeStochastic!M60</f>
        <v>8.1518474922286005E-2</v>
      </c>
    </row>
    <row r="61" spans="1:12" x14ac:dyDescent="0.35">
      <c r="A61" s="214" t="s">
        <v>143</v>
      </c>
      <c r="B61" s="214" t="s">
        <v>82</v>
      </c>
      <c r="C61" s="167">
        <v>60</v>
      </c>
      <c r="D61" s="167" t="s">
        <v>257</v>
      </c>
      <c r="E61" s="125" t="s">
        <v>11</v>
      </c>
      <c r="F61">
        <f>CodeStochastic!G61</f>
        <v>6.6046597061861306E-2</v>
      </c>
      <c r="G61">
        <f>CodeStochastic!H61</f>
        <v>6.6163758580923104E-2</v>
      </c>
      <c r="H61">
        <f>CodeStochastic!I61</f>
        <v>8.2537281597763693E-3</v>
      </c>
      <c r="I61">
        <f>CodeStochastic!J61</f>
        <v>4.5211923560168399E-2</v>
      </c>
      <c r="J61">
        <f>CodeStochastic!K61</f>
        <v>8.6316160194653394E-2</v>
      </c>
      <c r="K61">
        <f>CodeStochastic!L61</f>
        <v>5.03413275084734E-2</v>
      </c>
      <c r="L61">
        <f>CodeStochastic!M61</f>
        <v>8.1339272273108804E-2</v>
      </c>
    </row>
    <row r="62" spans="1:12" x14ac:dyDescent="0.35">
      <c r="A62" s="214" t="s">
        <v>143</v>
      </c>
      <c r="B62" s="214" t="s">
        <v>82</v>
      </c>
      <c r="C62" s="167">
        <v>61</v>
      </c>
      <c r="D62" s="167" t="s">
        <v>257</v>
      </c>
      <c r="E62" s="125" t="s">
        <v>12</v>
      </c>
      <c r="F62">
        <f>CodeStochastic!G62</f>
        <v>6.2678530453273096E-2</v>
      </c>
      <c r="G62">
        <f>CodeStochastic!H62</f>
        <v>6.2605302213695702E-2</v>
      </c>
      <c r="H62">
        <f>CodeStochastic!I62</f>
        <v>7.5594846229903E-3</v>
      </c>
      <c r="I62">
        <f>CodeStochastic!J62</f>
        <v>4.3382699850401198E-2</v>
      </c>
      <c r="J62">
        <f>CodeStochastic!K62</f>
        <v>8.1697109303677698E-2</v>
      </c>
      <c r="K62">
        <f>CodeStochastic!L62</f>
        <v>4.8251370120647098E-2</v>
      </c>
      <c r="L62">
        <f>CodeStochastic!M62</f>
        <v>7.6606944226009901E-2</v>
      </c>
    </row>
    <row r="63" spans="1:12" x14ac:dyDescent="0.35">
      <c r="A63" s="214" t="s">
        <v>143</v>
      </c>
      <c r="B63" s="214" t="s">
        <v>82</v>
      </c>
      <c r="C63" s="167">
        <v>62</v>
      </c>
      <c r="D63" s="167" t="s">
        <v>257</v>
      </c>
      <c r="E63" s="125" t="s">
        <v>13</v>
      </c>
      <c r="F63">
        <f>CodeStochastic!G63</f>
        <v>6.2684134042584494E-2</v>
      </c>
      <c r="G63">
        <f>CodeStochastic!H63</f>
        <v>6.2588779880144205E-2</v>
      </c>
      <c r="H63">
        <f>CodeStochastic!I63</f>
        <v>8.1545646149068698E-3</v>
      </c>
      <c r="I63">
        <f>CodeStochastic!J63</f>
        <v>4.4783042818622998E-2</v>
      </c>
      <c r="J63">
        <f>CodeStochastic!K63</f>
        <v>8.3282975916382507E-2</v>
      </c>
      <c r="K63">
        <f>CodeStochastic!L63</f>
        <v>4.7819235846387899E-2</v>
      </c>
      <c r="L63">
        <f>CodeStochastic!M63</f>
        <v>7.8066041564152699E-2</v>
      </c>
    </row>
    <row r="64" spans="1:12" x14ac:dyDescent="0.35">
      <c r="A64" s="214" t="s">
        <v>143</v>
      </c>
      <c r="B64" s="214" t="s">
        <v>82</v>
      </c>
      <c r="C64" s="167">
        <v>63</v>
      </c>
      <c r="D64" s="167" t="s">
        <v>257</v>
      </c>
      <c r="E64" s="125" t="s">
        <v>14</v>
      </c>
      <c r="F64">
        <f>CodeStochastic!G64</f>
        <v>5.1397025080505102E-2</v>
      </c>
      <c r="G64">
        <f>CodeStochastic!H64</f>
        <v>5.1524685474900397E-2</v>
      </c>
      <c r="H64">
        <f>CodeStochastic!I64</f>
        <v>6.7502643545738596E-3</v>
      </c>
      <c r="I64">
        <f>CodeStochastic!J64</f>
        <v>3.6083749422836597E-2</v>
      </c>
      <c r="J64">
        <f>CodeStochastic!K64</f>
        <v>6.9663754630950106E-2</v>
      </c>
      <c r="K64">
        <f>CodeStochastic!L64</f>
        <v>3.9282953982343501E-2</v>
      </c>
      <c r="L64">
        <f>CodeStochastic!M64</f>
        <v>6.4062284489931703E-2</v>
      </c>
    </row>
    <row r="65" spans="1:12" x14ac:dyDescent="0.35">
      <c r="A65" s="214" t="s">
        <v>143</v>
      </c>
      <c r="B65" s="214" t="s">
        <v>82</v>
      </c>
      <c r="C65" s="167">
        <v>64</v>
      </c>
      <c r="D65" s="167" t="s">
        <v>257</v>
      </c>
      <c r="E65" s="125" t="s">
        <v>15</v>
      </c>
      <c r="F65">
        <f>CodeStochastic!G65</f>
        <v>5.1763603165955699E-2</v>
      </c>
      <c r="G65">
        <f>CodeStochastic!H65</f>
        <v>5.16229285153098E-2</v>
      </c>
      <c r="H65">
        <f>CodeStochastic!I65</f>
        <v>6.7616003951959103E-3</v>
      </c>
      <c r="I65">
        <f>CodeStochastic!J65</f>
        <v>3.5579897432798602E-2</v>
      </c>
      <c r="J65">
        <f>CodeStochastic!K65</f>
        <v>6.7996723410683996E-2</v>
      </c>
      <c r="K65">
        <f>CodeStochastic!L65</f>
        <v>3.8697675672580097E-2</v>
      </c>
      <c r="L65">
        <f>CodeStochastic!M65</f>
        <v>6.4485415871836302E-2</v>
      </c>
    </row>
    <row r="66" spans="1:12" x14ac:dyDescent="0.35">
      <c r="A66" s="214" t="s">
        <v>143</v>
      </c>
      <c r="B66" s="214" t="s">
        <v>82</v>
      </c>
      <c r="C66" s="167">
        <v>65</v>
      </c>
      <c r="D66" s="167" t="s">
        <v>257</v>
      </c>
      <c r="E66" s="125" t="s">
        <v>16</v>
      </c>
      <c r="F66">
        <f>CodeStochastic!G66</f>
        <v>4.2518354032993401E-2</v>
      </c>
      <c r="G66">
        <f>CodeStochastic!H66</f>
        <v>4.2313577700460202E-2</v>
      </c>
      <c r="H66">
        <f>CodeStochastic!I66</f>
        <v>5.3419531510567704E-3</v>
      </c>
      <c r="I66">
        <f>CodeStochastic!J66</f>
        <v>2.9277596998321099E-2</v>
      </c>
      <c r="J66">
        <f>CodeStochastic!K66</f>
        <v>5.37838688731333E-2</v>
      </c>
      <c r="K66">
        <f>CodeStochastic!L66</f>
        <v>3.1649055302158599E-2</v>
      </c>
      <c r="L66">
        <f>CodeStochastic!M66</f>
        <v>5.2179916118331802E-2</v>
      </c>
    </row>
    <row r="67" spans="1:12" x14ac:dyDescent="0.35">
      <c r="A67" s="214" t="s">
        <v>143</v>
      </c>
      <c r="B67" s="214" t="s">
        <v>82</v>
      </c>
      <c r="C67" s="167">
        <v>66</v>
      </c>
      <c r="D67" s="167" t="s">
        <v>257</v>
      </c>
      <c r="E67" s="125" t="s">
        <v>17</v>
      </c>
      <c r="F67">
        <f>CodeStochastic!G67</f>
        <v>4.2273719343598803E-2</v>
      </c>
      <c r="G67">
        <f>CodeStochastic!H67</f>
        <v>4.2378418713107401E-2</v>
      </c>
      <c r="H67">
        <f>CodeStochastic!I67</f>
        <v>5.2502867552644203E-3</v>
      </c>
      <c r="I67">
        <f>CodeStochastic!J67</f>
        <v>2.9326993103941799E-2</v>
      </c>
      <c r="J67">
        <f>CodeStochastic!K67</f>
        <v>5.4321519243842702E-2</v>
      </c>
      <c r="K67">
        <f>CodeStochastic!L67</f>
        <v>3.2251009938544899E-2</v>
      </c>
      <c r="L67">
        <f>CodeStochastic!M67</f>
        <v>5.1974677056728702E-2</v>
      </c>
    </row>
    <row r="68" spans="1:12" x14ac:dyDescent="0.35">
      <c r="A68" s="214" t="s">
        <v>143</v>
      </c>
      <c r="B68" s="214" t="s">
        <v>82</v>
      </c>
      <c r="C68" s="167">
        <v>67</v>
      </c>
      <c r="D68" s="167" t="s">
        <v>257</v>
      </c>
      <c r="E68" s="125" t="s">
        <v>18</v>
      </c>
      <c r="F68">
        <f>CodeStochastic!G68</f>
        <v>3.4350850313690402E-2</v>
      </c>
      <c r="G68">
        <f>CodeStochastic!H68</f>
        <v>3.4293296512545202E-2</v>
      </c>
      <c r="H68">
        <f>CodeStochastic!I68</f>
        <v>4.0626188924937296E-3</v>
      </c>
      <c r="I68">
        <f>CodeStochastic!J68</f>
        <v>2.4328256912919899E-2</v>
      </c>
      <c r="J68">
        <f>CodeStochastic!K68</f>
        <v>4.44190253923318E-2</v>
      </c>
      <c r="K68">
        <f>CodeStochastic!L68</f>
        <v>2.6652586435284599E-2</v>
      </c>
      <c r="L68">
        <f>CodeStochastic!M68</f>
        <v>4.21453607676524E-2</v>
      </c>
    </row>
    <row r="69" spans="1:12" x14ac:dyDescent="0.35">
      <c r="A69" s="214" t="s">
        <v>143</v>
      </c>
      <c r="B69" s="214" t="s">
        <v>82</v>
      </c>
      <c r="C69" s="167">
        <v>68</v>
      </c>
      <c r="D69" s="167" t="s">
        <v>257</v>
      </c>
      <c r="E69" s="125" t="s">
        <v>19</v>
      </c>
      <c r="F69">
        <f>CodeStochastic!G69</f>
        <v>3.4147715116349897E-2</v>
      </c>
      <c r="G69">
        <f>CodeStochastic!H69</f>
        <v>3.4201217355618298E-2</v>
      </c>
      <c r="H69">
        <f>CodeStochastic!I69</f>
        <v>3.9857172095855101E-3</v>
      </c>
      <c r="I69">
        <f>CodeStochastic!J69</f>
        <v>2.4193546865367802E-2</v>
      </c>
      <c r="J69">
        <f>CodeStochastic!K69</f>
        <v>4.4543176689080997E-2</v>
      </c>
      <c r="K69">
        <f>CodeStochastic!L69</f>
        <v>2.66450775570088E-2</v>
      </c>
      <c r="L69">
        <f>CodeStochastic!M69</f>
        <v>4.2416356842831203E-2</v>
      </c>
    </row>
    <row r="70" spans="1:12" x14ac:dyDescent="0.35">
      <c r="A70" s="214" t="s">
        <v>143</v>
      </c>
      <c r="B70" s="214" t="s">
        <v>82</v>
      </c>
      <c r="C70" s="167">
        <v>69</v>
      </c>
      <c r="D70" s="167" t="s">
        <v>257</v>
      </c>
      <c r="E70" s="125" t="s">
        <v>20</v>
      </c>
      <c r="F70">
        <f>CodeStochastic!G70</f>
        <v>2.52811633783654E-2</v>
      </c>
      <c r="G70">
        <f>CodeStochastic!H70</f>
        <v>2.5165276356210999E-2</v>
      </c>
      <c r="H70">
        <f>CodeStochastic!I70</f>
        <v>2.9231218685081299E-3</v>
      </c>
      <c r="I70">
        <f>CodeStochastic!J70</f>
        <v>1.79891570454596E-2</v>
      </c>
      <c r="J70">
        <f>CodeStochastic!K70</f>
        <v>3.2059548603823797E-2</v>
      </c>
      <c r="K70">
        <f>CodeStochastic!L70</f>
        <v>1.9596708086190202E-2</v>
      </c>
      <c r="L70">
        <f>CodeStochastic!M70</f>
        <v>3.0507923016120601E-2</v>
      </c>
    </row>
    <row r="71" spans="1:12" ht="15" thickBot="1" x14ac:dyDescent="0.4">
      <c r="A71" s="214" t="s">
        <v>143</v>
      </c>
      <c r="B71" s="214" t="s">
        <v>82</v>
      </c>
      <c r="C71" s="167">
        <v>70</v>
      </c>
      <c r="D71" s="167" t="s">
        <v>257</v>
      </c>
      <c r="E71" s="125" t="s">
        <v>279</v>
      </c>
      <c r="F71">
        <f>CodeStochastic!G71</f>
        <v>2.4858763830503498E-2</v>
      </c>
      <c r="G71">
        <f>CodeStochastic!H71</f>
        <v>2.4923642741803399E-2</v>
      </c>
      <c r="H71">
        <f>CodeStochastic!I71</f>
        <v>2.9320086093881201E-3</v>
      </c>
      <c r="I71">
        <f>CodeStochastic!J71</f>
        <v>1.79466571723421E-2</v>
      </c>
      <c r="J71">
        <f>CodeStochastic!K71</f>
        <v>3.1712756919324202E-2</v>
      </c>
      <c r="K71">
        <f>CodeStochastic!L71</f>
        <v>1.9571099153347801E-2</v>
      </c>
      <c r="L71">
        <f>CodeStochastic!M71</f>
        <v>3.0571067345926999E-2</v>
      </c>
    </row>
    <row r="72" spans="1:12" x14ac:dyDescent="0.35">
      <c r="A72" s="214" t="s">
        <v>143</v>
      </c>
      <c r="B72" s="214" t="s">
        <v>82</v>
      </c>
      <c r="C72" s="167">
        <v>71</v>
      </c>
      <c r="D72" s="167" t="s">
        <v>256</v>
      </c>
      <c r="E72" s="178" t="s">
        <v>8</v>
      </c>
      <c r="F72">
        <f>CodeStochastic!G72</f>
        <v>0</v>
      </c>
      <c r="G72">
        <f>CodeStochastic!H72</f>
        <v>0</v>
      </c>
      <c r="H72">
        <f>CodeStochastic!I72</f>
        <v>0</v>
      </c>
      <c r="I72">
        <f>CodeStochastic!J72</f>
        <v>0</v>
      </c>
      <c r="J72">
        <f>CodeStochastic!K72</f>
        <v>0</v>
      </c>
      <c r="K72">
        <f>CodeStochastic!L72</f>
        <v>0</v>
      </c>
      <c r="L72">
        <f>CodeStochastic!M72</f>
        <v>0</v>
      </c>
    </row>
    <row r="73" spans="1:12" x14ac:dyDescent="0.35">
      <c r="A73" s="214" t="s">
        <v>143</v>
      </c>
      <c r="B73" s="214" t="s">
        <v>82</v>
      </c>
      <c r="C73" s="167">
        <v>72</v>
      </c>
      <c r="D73" s="167" t="s">
        <v>256</v>
      </c>
      <c r="E73" s="125" t="s">
        <v>9</v>
      </c>
      <c r="F73">
        <f>CodeStochastic!G73</f>
        <v>0</v>
      </c>
      <c r="G73">
        <f>CodeStochastic!H73</f>
        <v>0</v>
      </c>
      <c r="H73">
        <f>CodeStochastic!I73</f>
        <v>0</v>
      </c>
      <c r="I73">
        <f>CodeStochastic!J73</f>
        <v>0</v>
      </c>
      <c r="J73">
        <f>CodeStochastic!K73</f>
        <v>0</v>
      </c>
      <c r="K73">
        <f>CodeStochastic!L73</f>
        <v>0</v>
      </c>
      <c r="L73">
        <f>CodeStochastic!M73</f>
        <v>0</v>
      </c>
    </row>
    <row r="74" spans="1:12" x14ac:dyDescent="0.35">
      <c r="A74" s="214" t="s">
        <v>143</v>
      </c>
      <c r="B74" s="214" t="s">
        <v>82</v>
      </c>
      <c r="C74" s="167">
        <v>73</v>
      </c>
      <c r="D74" s="167" t="s">
        <v>256</v>
      </c>
      <c r="E74" s="125" t="s">
        <v>10</v>
      </c>
      <c r="F74">
        <f>CodeStochastic!G74</f>
        <v>6.5793668685605905E-2</v>
      </c>
      <c r="G74">
        <f>CodeStochastic!H74</f>
        <v>6.5838744656930903E-2</v>
      </c>
      <c r="H74">
        <f>CodeStochastic!I74</f>
        <v>8.3299556753083006E-3</v>
      </c>
      <c r="I74">
        <f>CodeStochastic!J74</f>
        <v>4.5713650725789201E-2</v>
      </c>
      <c r="J74">
        <f>CodeStochastic!K74</f>
        <v>8.5094802003403594E-2</v>
      </c>
      <c r="K74">
        <f>CodeStochastic!L74</f>
        <v>4.9451024428408701E-2</v>
      </c>
      <c r="L74">
        <f>CodeStochastic!M74</f>
        <v>8.13512963548986E-2</v>
      </c>
    </row>
    <row r="75" spans="1:12" x14ac:dyDescent="0.35">
      <c r="A75" s="214" t="s">
        <v>143</v>
      </c>
      <c r="B75" s="214" t="s">
        <v>82</v>
      </c>
      <c r="C75" s="167">
        <v>74</v>
      </c>
      <c r="D75" s="167" t="s">
        <v>256</v>
      </c>
      <c r="E75" s="125" t="s">
        <v>11</v>
      </c>
      <c r="F75">
        <f>CodeStochastic!G75</f>
        <v>6.5611180101500299E-2</v>
      </c>
      <c r="G75">
        <f>CodeStochastic!H75</f>
        <v>6.5533822059150301E-2</v>
      </c>
      <c r="H75">
        <f>CodeStochastic!I75</f>
        <v>8.5237284888446899E-3</v>
      </c>
      <c r="I75">
        <f>CodeStochastic!J75</f>
        <v>4.4593270103089097E-2</v>
      </c>
      <c r="J75">
        <f>CodeStochastic!K75</f>
        <v>8.5368072465875106E-2</v>
      </c>
      <c r="K75">
        <f>CodeStochastic!L75</f>
        <v>4.9797587975112703E-2</v>
      </c>
      <c r="L75">
        <f>CodeStochastic!M75</f>
        <v>8.1118688895515906E-2</v>
      </c>
    </row>
    <row r="76" spans="1:12" x14ac:dyDescent="0.35">
      <c r="A76" s="214" t="s">
        <v>143</v>
      </c>
      <c r="B76" s="214" t="s">
        <v>82</v>
      </c>
      <c r="C76" s="167">
        <v>75</v>
      </c>
      <c r="D76" s="167" t="s">
        <v>256</v>
      </c>
      <c r="E76" s="125" t="s">
        <v>12</v>
      </c>
      <c r="F76">
        <f>CodeStochastic!G76</f>
        <v>6.2825326335391896E-2</v>
      </c>
      <c r="G76">
        <f>CodeStochastic!H76</f>
        <v>6.2915912848914499E-2</v>
      </c>
      <c r="H76">
        <f>CodeStochastic!I76</f>
        <v>7.8644200934362904E-3</v>
      </c>
      <c r="I76">
        <f>CodeStochastic!J76</f>
        <v>4.4790753648967598E-2</v>
      </c>
      <c r="J76">
        <f>CodeStochastic!K76</f>
        <v>8.0679923128626305E-2</v>
      </c>
      <c r="K76">
        <f>CodeStochastic!L76</f>
        <v>4.8025820571999799E-2</v>
      </c>
      <c r="L76">
        <f>CodeStochastic!M76</f>
        <v>7.7325279447803805E-2</v>
      </c>
    </row>
    <row r="77" spans="1:12" x14ac:dyDescent="0.35">
      <c r="A77" s="214" t="s">
        <v>143</v>
      </c>
      <c r="B77" s="214" t="s">
        <v>82</v>
      </c>
      <c r="C77" s="167">
        <v>76</v>
      </c>
      <c r="D77" s="167" t="s">
        <v>256</v>
      </c>
      <c r="E77" s="125" t="s">
        <v>13</v>
      </c>
      <c r="F77">
        <f>CodeStochastic!G77</f>
        <v>6.19529996029278E-2</v>
      </c>
      <c r="G77">
        <f>CodeStochastic!H77</f>
        <v>6.2238216595312798E-2</v>
      </c>
      <c r="H77">
        <f>CodeStochastic!I77</f>
        <v>7.9144717729180605E-3</v>
      </c>
      <c r="I77">
        <f>CodeStochastic!J77</f>
        <v>4.4021175747541698E-2</v>
      </c>
      <c r="J77">
        <f>CodeStochastic!K77</f>
        <v>8.1329576468352094E-2</v>
      </c>
      <c r="K77">
        <f>CodeStochastic!L77</f>
        <v>4.8036434332174097E-2</v>
      </c>
      <c r="L77">
        <f>CodeStochastic!M77</f>
        <v>7.7401331309568999E-2</v>
      </c>
    </row>
    <row r="78" spans="1:12" x14ac:dyDescent="0.35">
      <c r="A78" s="214" t="s">
        <v>143</v>
      </c>
      <c r="B78" s="214" t="s">
        <v>82</v>
      </c>
      <c r="C78" s="167">
        <v>77</v>
      </c>
      <c r="D78" s="167" t="s">
        <v>256</v>
      </c>
      <c r="E78" s="125" t="s">
        <v>14</v>
      </c>
      <c r="F78">
        <f>CodeStochastic!G78</f>
        <v>5.1372156803904397E-2</v>
      </c>
      <c r="G78">
        <f>CodeStochastic!H78</f>
        <v>5.1608693108670702E-2</v>
      </c>
      <c r="H78">
        <f>CodeStochastic!I78</f>
        <v>7.07248370101996E-3</v>
      </c>
      <c r="I78">
        <f>CodeStochastic!J78</f>
        <v>3.6464956335390597E-2</v>
      </c>
      <c r="J78">
        <f>CodeStochastic!K78</f>
        <v>6.8320842258787998E-2</v>
      </c>
      <c r="K78">
        <f>CodeStochastic!L78</f>
        <v>3.9011779190862503E-2</v>
      </c>
      <c r="L78">
        <f>CodeStochastic!M78</f>
        <v>6.5126662967562102E-2</v>
      </c>
    </row>
    <row r="79" spans="1:12" x14ac:dyDescent="0.35">
      <c r="A79" s="214" t="s">
        <v>143</v>
      </c>
      <c r="B79" s="214" t="s">
        <v>82</v>
      </c>
      <c r="C79" s="167">
        <v>78</v>
      </c>
      <c r="D79" s="167" t="s">
        <v>256</v>
      </c>
      <c r="E79" s="125" t="s">
        <v>15</v>
      </c>
      <c r="F79">
        <f>CodeStochastic!G79</f>
        <v>5.1479046673811799E-2</v>
      </c>
      <c r="G79">
        <f>CodeStochastic!H79</f>
        <v>5.1569455788400297E-2</v>
      </c>
      <c r="H79">
        <f>CodeStochastic!I79</f>
        <v>6.5937496668990398E-3</v>
      </c>
      <c r="I79">
        <f>CodeStochastic!J79</f>
        <v>3.5635658786475698E-2</v>
      </c>
      <c r="J79">
        <f>CodeStochastic!K79</f>
        <v>6.8955886060534696E-2</v>
      </c>
      <c r="K79">
        <f>CodeStochastic!L79</f>
        <v>3.9852248930148299E-2</v>
      </c>
      <c r="L79">
        <f>CodeStochastic!M79</f>
        <v>6.4173999944531504E-2</v>
      </c>
    </row>
    <row r="80" spans="1:12" x14ac:dyDescent="0.35">
      <c r="A80" s="214" t="s">
        <v>143</v>
      </c>
      <c r="B80" s="214" t="s">
        <v>82</v>
      </c>
      <c r="C80" s="167">
        <v>79</v>
      </c>
      <c r="D80" s="167" t="s">
        <v>256</v>
      </c>
      <c r="E80" s="125" t="s">
        <v>16</v>
      </c>
      <c r="F80">
        <f>CodeStochastic!G80</f>
        <v>4.2126082019856799E-2</v>
      </c>
      <c r="G80">
        <f>CodeStochastic!H80</f>
        <v>4.2107349626555601E-2</v>
      </c>
      <c r="H80">
        <f>CodeStochastic!I80</f>
        <v>5.3481638215267403E-3</v>
      </c>
      <c r="I80">
        <f>CodeStochastic!J80</f>
        <v>2.9315633179682499E-2</v>
      </c>
      <c r="J80">
        <f>CodeStochastic!K80</f>
        <v>5.4795608099448702E-2</v>
      </c>
      <c r="K80">
        <f>CodeStochastic!L80</f>
        <v>3.2334480574914302E-2</v>
      </c>
      <c r="L80">
        <f>CodeStochastic!M80</f>
        <v>5.2569488519448197E-2</v>
      </c>
    </row>
    <row r="81" spans="1:12" x14ac:dyDescent="0.35">
      <c r="A81" s="214" t="s">
        <v>143</v>
      </c>
      <c r="B81" s="214" t="s">
        <v>82</v>
      </c>
      <c r="C81" s="167">
        <v>80</v>
      </c>
      <c r="D81" s="167" t="s">
        <v>256</v>
      </c>
      <c r="E81" s="125" t="s">
        <v>17</v>
      </c>
      <c r="F81">
        <f>CodeStochastic!G81</f>
        <v>4.2591365681135203E-2</v>
      </c>
      <c r="G81">
        <f>CodeStochastic!H81</f>
        <v>4.2560517463798797E-2</v>
      </c>
      <c r="H81">
        <f>CodeStochastic!I81</f>
        <v>5.2529451812888097E-3</v>
      </c>
      <c r="I81">
        <f>CodeStochastic!J81</f>
        <v>2.96894094001337E-2</v>
      </c>
      <c r="J81">
        <f>CodeStochastic!K81</f>
        <v>5.4618221919380802E-2</v>
      </c>
      <c r="K81">
        <f>CodeStochastic!L81</f>
        <v>3.25873310429639E-2</v>
      </c>
      <c r="L81">
        <f>CodeStochastic!M81</f>
        <v>5.1926775283559101E-2</v>
      </c>
    </row>
    <row r="82" spans="1:12" x14ac:dyDescent="0.35">
      <c r="A82" s="214" t="s">
        <v>143</v>
      </c>
      <c r="B82" s="214" t="s">
        <v>82</v>
      </c>
      <c r="C82" s="167">
        <v>81</v>
      </c>
      <c r="D82" s="167" t="s">
        <v>256</v>
      </c>
      <c r="E82" s="125" t="s">
        <v>18</v>
      </c>
      <c r="F82">
        <f>CodeStochastic!G82</f>
        <v>3.4329798047440303E-2</v>
      </c>
      <c r="G82">
        <f>CodeStochastic!H82</f>
        <v>3.4362173271187298E-2</v>
      </c>
      <c r="H82">
        <f>CodeStochastic!I82</f>
        <v>4.2203215199042897E-3</v>
      </c>
      <c r="I82">
        <f>CodeStochastic!J82</f>
        <v>2.3996058409591601E-2</v>
      </c>
      <c r="J82">
        <f>CodeStochastic!K82</f>
        <v>4.4233945456040598E-2</v>
      </c>
      <c r="K82">
        <f>CodeStochastic!L82</f>
        <v>2.63612905570366E-2</v>
      </c>
      <c r="L82">
        <f>CodeStochastic!M82</f>
        <v>4.2091380726118101E-2</v>
      </c>
    </row>
    <row r="83" spans="1:12" x14ac:dyDescent="0.35">
      <c r="A83" s="214" t="s">
        <v>143</v>
      </c>
      <c r="B83" s="214" t="s">
        <v>82</v>
      </c>
      <c r="C83" s="167">
        <v>82</v>
      </c>
      <c r="D83" s="167" t="s">
        <v>256</v>
      </c>
      <c r="E83" s="125" t="s">
        <v>19</v>
      </c>
      <c r="F83">
        <f>CodeStochastic!G83</f>
        <v>3.42091164467535E-2</v>
      </c>
      <c r="G83">
        <f>CodeStochastic!H83</f>
        <v>3.4320265604141198E-2</v>
      </c>
      <c r="H83">
        <f>CodeStochastic!I83</f>
        <v>3.9104543781129297E-3</v>
      </c>
      <c r="I83">
        <f>CodeStochastic!J83</f>
        <v>2.4545375862221101E-2</v>
      </c>
      <c r="J83">
        <f>CodeStochastic!K83</f>
        <v>4.4769590824207901E-2</v>
      </c>
      <c r="K83">
        <f>CodeStochastic!L83</f>
        <v>2.6802355199778999E-2</v>
      </c>
      <c r="L83">
        <f>CodeStochastic!M83</f>
        <v>4.1781105584680102E-2</v>
      </c>
    </row>
    <row r="84" spans="1:12" x14ac:dyDescent="0.35">
      <c r="A84" s="214" t="s">
        <v>143</v>
      </c>
      <c r="B84" s="214" t="s">
        <v>82</v>
      </c>
      <c r="C84" s="167">
        <v>83</v>
      </c>
      <c r="D84" s="167" t="s">
        <v>256</v>
      </c>
      <c r="E84" s="125" t="s">
        <v>20</v>
      </c>
      <c r="F84">
        <f>CodeStochastic!G84</f>
        <v>2.5226735372776199E-2</v>
      </c>
      <c r="G84">
        <f>CodeStochastic!H84</f>
        <v>2.5177299460058099E-2</v>
      </c>
      <c r="H84">
        <f>CodeStochastic!I84</f>
        <v>2.9360059390380901E-3</v>
      </c>
      <c r="I84">
        <f>CodeStochastic!J84</f>
        <v>1.83790943182922E-2</v>
      </c>
      <c r="J84">
        <f>CodeStochastic!K84</f>
        <v>3.2311088862659799E-2</v>
      </c>
      <c r="K84">
        <f>CodeStochastic!L84</f>
        <v>1.9793819065070599E-2</v>
      </c>
      <c r="L84">
        <f>CodeStochastic!M84</f>
        <v>3.0872739024911298E-2</v>
      </c>
    </row>
    <row r="85" spans="1:12" ht="15" thickBot="1" x14ac:dyDescent="0.4">
      <c r="A85" s="214" t="s">
        <v>143</v>
      </c>
      <c r="B85" s="214" t="s">
        <v>82</v>
      </c>
      <c r="C85" s="167">
        <v>84</v>
      </c>
      <c r="D85" s="167" t="s">
        <v>256</v>
      </c>
      <c r="E85" s="125" t="s">
        <v>279</v>
      </c>
      <c r="F85">
        <f>CodeStochastic!G85</f>
        <v>2.49181041763747E-2</v>
      </c>
      <c r="G85">
        <f>CodeStochastic!H85</f>
        <v>2.4987048062472001E-2</v>
      </c>
      <c r="H85">
        <f>CodeStochastic!I85</f>
        <v>2.9640442868431602E-3</v>
      </c>
      <c r="I85">
        <f>CodeStochastic!J85</f>
        <v>1.7662024908560801E-2</v>
      </c>
      <c r="J85">
        <f>CodeStochastic!K85</f>
        <v>3.2135382660027002E-2</v>
      </c>
      <c r="K85">
        <f>CodeStochastic!L85</f>
        <v>1.9311442004310099E-2</v>
      </c>
      <c r="L85">
        <f>CodeStochastic!M85</f>
        <v>3.0540386611781E-2</v>
      </c>
    </row>
    <row r="86" spans="1:12" x14ac:dyDescent="0.35">
      <c r="A86" s="212" t="s">
        <v>144</v>
      </c>
      <c r="B86" s="212" t="s">
        <v>82</v>
      </c>
      <c r="C86" s="167">
        <v>85</v>
      </c>
      <c r="D86" s="167" t="s">
        <v>257</v>
      </c>
      <c r="E86" s="178" t="s">
        <v>8</v>
      </c>
      <c r="F86">
        <f>CodeStochastic!G86</f>
        <v>0</v>
      </c>
      <c r="G86">
        <f>CodeStochastic!H86</f>
        <v>0</v>
      </c>
      <c r="H86">
        <f>CodeStochastic!I86</f>
        <v>0</v>
      </c>
      <c r="I86">
        <f>CodeStochastic!J86</f>
        <v>0</v>
      </c>
      <c r="J86">
        <f>CodeStochastic!K86</f>
        <v>0</v>
      </c>
      <c r="K86">
        <f>CodeStochastic!L86</f>
        <v>0</v>
      </c>
      <c r="L86">
        <f>CodeStochastic!M86</f>
        <v>0</v>
      </c>
    </row>
    <row r="87" spans="1:12" x14ac:dyDescent="0.35">
      <c r="A87" s="212" t="s">
        <v>144</v>
      </c>
      <c r="B87" s="212" t="s">
        <v>82</v>
      </c>
      <c r="C87" s="167">
        <v>86</v>
      </c>
      <c r="D87" s="167" t="s">
        <v>257</v>
      </c>
      <c r="E87" s="125" t="s">
        <v>9</v>
      </c>
      <c r="F87">
        <f>CodeStochastic!G87</f>
        <v>0</v>
      </c>
      <c r="G87">
        <f>CodeStochastic!H87</f>
        <v>0</v>
      </c>
      <c r="H87">
        <f>CodeStochastic!I87</f>
        <v>0</v>
      </c>
      <c r="I87">
        <f>CodeStochastic!J87</f>
        <v>0</v>
      </c>
      <c r="J87">
        <f>CodeStochastic!K87</f>
        <v>0</v>
      </c>
      <c r="K87">
        <f>CodeStochastic!L87</f>
        <v>0</v>
      </c>
      <c r="L87">
        <f>CodeStochastic!M87</f>
        <v>0</v>
      </c>
    </row>
    <row r="88" spans="1:12" x14ac:dyDescent="0.35">
      <c r="A88" s="212" t="s">
        <v>144</v>
      </c>
      <c r="B88" s="212" t="s">
        <v>82</v>
      </c>
      <c r="C88" s="167">
        <v>87</v>
      </c>
      <c r="D88" s="167" t="s">
        <v>257</v>
      </c>
      <c r="E88" s="125" t="s">
        <v>10</v>
      </c>
      <c r="F88">
        <f>CodeStochastic!G88</f>
        <v>0</v>
      </c>
      <c r="G88">
        <f>CodeStochastic!H88</f>
        <v>0</v>
      </c>
      <c r="H88">
        <f>CodeStochastic!I88</f>
        <v>0</v>
      </c>
      <c r="I88">
        <f>CodeStochastic!J88</f>
        <v>0</v>
      </c>
      <c r="J88">
        <f>CodeStochastic!K88</f>
        <v>0</v>
      </c>
      <c r="K88">
        <f>CodeStochastic!L88</f>
        <v>0</v>
      </c>
      <c r="L88">
        <f>CodeStochastic!M88</f>
        <v>0</v>
      </c>
    </row>
    <row r="89" spans="1:12" x14ac:dyDescent="0.35">
      <c r="A89" s="212" t="s">
        <v>144</v>
      </c>
      <c r="B89" s="212" t="s">
        <v>82</v>
      </c>
      <c r="C89" s="167">
        <v>88</v>
      </c>
      <c r="D89" s="167" t="s">
        <v>257</v>
      </c>
      <c r="E89" s="125" t="s">
        <v>11</v>
      </c>
      <c r="F89">
        <f>CodeStochastic!G89</f>
        <v>0</v>
      </c>
      <c r="G89">
        <f>CodeStochastic!H89</f>
        <v>0</v>
      </c>
      <c r="H89">
        <f>CodeStochastic!I89</f>
        <v>0</v>
      </c>
      <c r="I89">
        <f>CodeStochastic!J89</f>
        <v>0</v>
      </c>
      <c r="J89">
        <f>CodeStochastic!K89</f>
        <v>0</v>
      </c>
      <c r="K89">
        <f>CodeStochastic!L89</f>
        <v>0</v>
      </c>
      <c r="L89">
        <f>CodeStochastic!M89</f>
        <v>0</v>
      </c>
    </row>
    <row r="90" spans="1:12" x14ac:dyDescent="0.35">
      <c r="A90" s="212" t="s">
        <v>144</v>
      </c>
      <c r="B90" s="212" t="s">
        <v>82</v>
      </c>
      <c r="C90" s="167">
        <v>89</v>
      </c>
      <c r="D90" s="167" t="s">
        <v>257</v>
      </c>
      <c r="E90" s="125" t="s">
        <v>12</v>
      </c>
      <c r="F90">
        <f>CodeStochastic!G90</f>
        <v>0</v>
      </c>
      <c r="G90">
        <f>CodeStochastic!H90</f>
        <v>0</v>
      </c>
      <c r="H90">
        <f>CodeStochastic!I90</f>
        <v>0</v>
      </c>
      <c r="I90">
        <f>CodeStochastic!J90</f>
        <v>0</v>
      </c>
      <c r="J90">
        <f>CodeStochastic!K90</f>
        <v>0</v>
      </c>
      <c r="K90">
        <f>CodeStochastic!L90</f>
        <v>0</v>
      </c>
      <c r="L90">
        <f>CodeStochastic!M90</f>
        <v>0</v>
      </c>
    </row>
    <row r="91" spans="1:12" x14ac:dyDescent="0.35">
      <c r="A91" s="212" t="s">
        <v>144</v>
      </c>
      <c r="B91" s="212" t="s">
        <v>82</v>
      </c>
      <c r="C91" s="167">
        <v>90</v>
      </c>
      <c r="D91" s="167" t="s">
        <v>257</v>
      </c>
      <c r="E91" s="125" t="s">
        <v>13</v>
      </c>
      <c r="F91">
        <f>CodeStochastic!G91</f>
        <v>0</v>
      </c>
      <c r="G91">
        <f>CodeStochastic!H91</f>
        <v>0</v>
      </c>
      <c r="H91">
        <f>CodeStochastic!I91</f>
        <v>0</v>
      </c>
      <c r="I91">
        <f>CodeStochastic!J91</f>
        <v>0</v>
      </c>
      <c r="J91">
        <f>CodeStochastic!K91</f>
        <v>0</v>
      </c>
      <c r="K91">
        <f>CodeStochastic!L91</f>
        <v>0</v>
      </c>
      <c r="L91">
        <f>CodeStochastic!M91</f>
        <v>0</v>
      </c>
    </row>
    <row r="92" spans="1:12" x14ac:dyDescent="0.35">
      <c r="A92" s="212" t="s">
        <v>144</v>
      </c>
      <c r="B92" s="212" t="s">
        <v>82</v>
      </c>
      <c r="C92" s="167">
        <v>91</v>
      </c>
      <c r="D92" s="167" t="s">
        <v>257</v>
      </c>
      <c r="E92" s="125" t="s">
        <v>14</v>
      </c>
      <c r="F92">
        <f>CodeStochastic!G92</f>
        <v>0</v>
      </c>
      <c r="G92">
        <f>CodeStochastic!H92</f>
        <v>0</v>
      </c>
      <c r="H92">
        <f>CodeStochastic!I92</f>
        <v>0</v>
      </c>
      <c r="I92">
        <f>CodeStochastic!J92</f>
        <v>0</v>
      </c>
      <c r="J92">
        <f>CodeStochastic!K92</f>
        <v>0</v>
      </c>
      <c r="K92">
        <f>CodeStochastic!L92</f>
        <v>0</v>
      </c>
      <c r="L92">
        <f>CodeStochastic!M92</f>
        <v>0</v>
      </c>
    </row>
    <row r="93" spans="1:12" x14ac:dyDescent="0.35">
      <c r="A93" s="212" t="s">
        <v>144</v>
      </c>
      <c r="B93" s="212" t="s">
        <v>82</v>
      </c>
      <c r="C93" s="167">
        <v>92</v>
      </c>
      <c r="D93" s="167" t="s">
        <v>257</v>
      </c>
      <c r="E93" s="125" t="s">
        <v>15</v>
      </c>
      <c r="F93">
        <f>CodeStochastic!G93</f>
        <v>0</v>
      </c>
      <c r="G93">
        <f>CodeStochastic!H93</f>
        <v>0</v>
      </c>
      <c r="H93">
        <f>CodeStochastic!I93</f>
        <v>0</v>
      </c>
      <c r="I93">
        <f>CodeStochastic!J93</f>
        <v>0</v>
      </c>
      <c r="J93">
        <f>CodeStochastic!K93</f>
        <v>0</v>
      </c>
      <c r="K93">
        <f>CodeStochastic!L93</f>
        <v>0</v>
      </c>
      <c r="L93">
        <f>CodeStochastic!M93</f>
        <v>0</v>
      </c>
    </row>
    <row r="94" spans="1:12" x14ac:dyDescent="0.35">
      <c r="A94" s="212" t="s">
        <v>144</v>
      </c>
      <c r="B94" s="212" t="s">
        <v>82</v>
      </c>
      <c r="C94" s="167">
        <v>93</v>
      </c>
      <c r="D94" s="167" t="s">
        <v>257</v>
      </c>
      <c r="E94" s="125" t="s">
        <v>16</v>
      </c>
      <c r="F94">
        <f>CodeStochastic!G94</f>
        <v>0</v>
      </c>
      <c r="G94">
        <f>CodeStochastic!H94</f>
        <v>0</v>
      </c>
      <c r="H94">
        <f>CodeStochastic!I94</f>
        <v>0</v>
      </c>
      <c r="I94">
        <f>CodeStochastic!J94</f>
        <v>0</v>
      </c>
      <c r="J94">
        <f>CodeStochastic!K94</f>
        <v>0</v>
      </c>
      <c r="K94">
        <f>CodeStochastic!L94</f>
        <v>0</v>
      </c>
      <c r="L94">
        <f>CodeStochastic!M94</f>
        <v>0</v>
      </c>
    </row>
    <row r="95" spans="1:12" x14ac:dyDescent="0.35">
      <c r="A95" s="212" t="s">
        <v>144</v>
      </c>
      <c r="B95" s="212" t="s">
        <v>82</v>
      </c>
      <c r="C95" s="167">
        <v>94</v>
      </c>
      <c r="D95" s="167" t="s">
        <v>257</v>
      </c>
      <c r="E95" s="125" t="s">
        <v>17</v>
      </c>
      <c r="F95">
        <f>CodeStochastic!G95</f>
        <v>0</v>
      </c>
      <c r="G95">
        <f>CodeStochastic!H95</f>
        <v>0</v>
      </c>
      <c r="H95">
        <f>CodeStochastic!I95</f>
        <v>0</v>
      </c>
      <c r="I95">
        <f>CodeStochastic!J95</f>
        <v>0</v>
      </c>
      <c r="J95">
        <f>CodeStochastic!K95</f>
        <v>0</v>
      </c>
      <c r="K95">
        <f>CodeStochastic!L95</f>
        <v>0</v>
      </c>
      <c r="L95">
        <f>CodeStochastic!M95</f>
        <v>0</v>
      </c>
    </row>
    <row r="96" spans="1:12" x14ac:dyDescent="0.35">
      <c r="A96" s="212" t="s">
        <v>144</v>
      </c>
      <c r="B96" s="212" t="s">
        <v>82</v>
      </c>
      <c r="C96" s="167">
        <v>95</v>
      </c>
      <c r="D96" s="167" t="s">
        <v>257</v>
      </c>
      <c r="E96" s="125" t="s">
        <v>18</v>
      </c>
      <c r="F96">
        <f>CodeStochastic!G96</f>
        <v>0</v>
      </c>
      <c r="G96">
        <f>CodeStochastic!H96</f>
        <v>0</v>
      </c>
      <c r="H96">
        <f>CodeStochastic!I96</f>
        <v>0</v>
      </c>
      <c r="I96">
        <f>CodeStochastic!J96</f>
        <v>0</v>
      </c>
      <c r="J96">
        <f>CodeStochastic!K96</f>
        <v>0</v>
      </c>
      <c r="K96">
        <f>CodeStochastic!L96</f>
        <v>0</v>
      </c>
      <c r="L96">
        <f>CodeStochastic!M96</f>
        <v>0</v>
      </c>
    </row>
    <row r="97" spans="1:12" x14ac:dyDescent="0.35">
      <c r="A97" s="212" t="s">
        <v>144</v>
      </c>
      <c r="B97" s="212" t="s">
        <v>82</v>
      </c>
      <c r="C97" s="167">
        <v>96</v>
      </c>
      <c r="D97" s="167" t="s">
        <v>257</v>
      </c>
      <c r="E97" s="125" t="s">
        <v>19</v>
      </c>
      <c r="F97">
        <f>CodeStochastic!G97</f>
        <v>0</v>
      </c>
      <c r="G97">
        <f>CodeStochastic!H97</f>
        <v>0</v>
      </c>
      <c r="H97">
        <f>CodeStochastic!I97</f>
        <v>0</v>
      </c>
      <c r="I97">
        <f>CodeStochastic!J97</f>
        <v>0</v>
      </c>
      <c r="J97">
        <f>CodeStochastic!K97</f>
        <v>0</v>
      </c>
      <c r="K97">
        <f>CodeStochastic!L97</f>
        <v>0</v>
      </c>
      <c r="L97">
        <f>CodeStochastic!M97</f>
        <v>0</v>
      </c>
    </row>
    <row r="98" spans="1:12" x14ac:dyDescent="0.35">
      <c r="A98" s="212" t="s">
        <v>144</v>
      </c>
      <c r="B98" s="212" t="s">
        <v>82</v>
      </c>
      <c r="C98" s="167">
        <v>97</v>
      </c>
      <c r="D98" s="167" t="s">
        <v>257</v>
      </c>
      <c r="E98" s="125" t="s">
        <v>20</v>
      </c>
      <c r="F98">
        <f>CodeStochastic!G98</f>
        <v>0</v>
      </c>
      <c r="G98">
        <f>CodeStochastic!H98</f>
        <v>0</v>
      </c>
      <c r="H98">
        <f>CodeStochastic!I98</f>
        <v>0</v>
      </c>
      <c r="I98">
        <f>CodeStochastic!J98</f>
        <v>0</v>
      </c>
      <c r="J98">
        <f>CodeStochastic!K98</f>
        <v>0</v>
      </c>
      <c r="K98">
        <f>CodeStochastic!L98</f>
        <v>0</v>
      </c>
      <c r="L98">
        <f>CodeStochastic!M98</f>
        <v>0</v>
      </c>
    </row>
    <row r="99" spans="1:12" ht="15" thickBot="1" x14ac:dyDescent="0.4">
      <c r="A99" s="212" t="s">
        <v>144</v>
      </c>
      <c r="B99" s="212" t="s">
        <v>82</v>
      </c>
      <c r="C99" s="167">
        <v>98</v>
      </c>
      <c r="D99" s="167" t="s">
        <v>257</v>
      </c>
      <c r="E99" s="125" t="s">
        <v>279</v>
      </c>
      <c r="F99">
        <f>CodeStochastic!G99</f>
        <v>0</v>
      </c>
      <c r="G99">
        <f>CodeStochastic!H99</f>
        <v>0</v>
      </c>
      <c r="H99">
        <f>CodeStochastic!I99</f>
        <v>0</v>
      </c>
      <c r="I99">
        <f>CodeStochastic!J99</f>
        <v>0</v>
      </c>
      <c r="J99">
        <f>CodeStochastic!K99</f>
        <v>0</v>
      </c>
      <c r="K99">
        <f>CodeStochastic!L99</f>
        <v>0</v>
      </c>
      <c r="L99">
        <f>CodeStochastic!M99</f>
        <v>0</v>
      </c>
    </row>
    <row r="100" spans="1:12" x14ac:dyDescent="0.35">
      <c r="A100" s="212" t="s">
        <v>144</v>
      </c>
      <c r="B100" s="212" t="s">
        <v>82</v>
      </c>
      <c r="C100" s="167">
        <v>99</v>
      </c>
      <c r="D100" s="167" t="s">
        <v>256</v>
      </c>
      <c r="E100" s="178" t="s">
        <v>8</v>
      </c>
      <c r="F100">
        <f>CodeStochastic!G100</f>
        <v>0</v>
      </c>
      <c r="G100">
        <f>CodeStochastic!H100</f>
        <v>0</v>
      </c>
      <c r="H100">
        <f>CodeStochastic!I100</f>
        <v>0</v>
      </c>
      <c r="I100">
        <f>CodeStochastic!J100</f>
        <v>0</v>
      </c>
      <c r="J100">
        <f>CodeStochastic!K100</f>
        <v>0</v>
      </c>
      <c r="K100">
        <f>CodeStochastic!L100</f>
        <v>0</v>
      </c>
      <c r="L100">
        <f>CodeStochastic!M100</f>
        <v>0</v>
      </c>
    </row>
    <row r="101" spans="1:12" x14ac:dyDescent="0.35">
      <c r="A101" s="212" t="s">
        <v>144</v>
      </c>
      <c r="B101" s="212" t="s">
        <v>82</v>
      </c>
      <c r="C101" s="167">
        <v>100</v>
      </c>
      <c r="D101" s="167" t="s">
        <v>256</v>
      </c>
      <c r="E101" s="125" t="s">
        <v>9</v>
      </c>
      <c r="F101">
        <f>CodeStochastic!G101</f>
        <v>0</v>
      </c>
      <c r="G101">
        <f>CodeStochastic!H101</f>
        <v>0</v>
      </c>
      <c r="H101">
        <f>CodeStochastic!I101</f>
        <v>0</v>
      </c>
      <c r="I101">
        <f>CodeStochastic!J101</f>
        <v>0</v>
      </c>
      <c r="J101">
        <f>CodeStochastic!K101</f>
        <v>0</v>
      </c>
      <c r="K101">
        <f>CodeStochastic!L101</f>
        <v>0</v>
      </c>
      <c r="L101">
        <f>CodeStochastic!M101</f>
        <v>0</v>
      </c>
    </row>
    <row r="102" spans="1:12" x14ac:dyDescent="0.35">
      <c r="A102" s="212" t="s">
        <v>144</v>
      </c>
      <c r="B102" s="212" t="s">
        <v>82</v>
      </c>
      <c r="C102" s="167">
        <v>101</v>
      </c>
      <c r="D102" s="167" t="s">
        <v>256</v>
      </c>
      <c r="E102" s="125" t="s">
        <v>10</v>
      </c>
      <c r="F102">
        <f>CodeStochastic!G102</f>
        <v>0</v>
      </c>
      <c r="G102">
        <f>CodeStochastic!H102</f>
        <v>0</v>
      </c>
      <c r="H102">
        <f>CodeStochastic!I102</f>
        <v>0</v>
      </c>
      <c r="I102">
        <f>CodeStochastic!J102</f>
        <v>0</v>
      </c>
      <c r="J102">
        <f>CodeStochastic!K102</f>
        <v>0</v>
      </c>
      <c r="K102">
        <f>CodeStochastic!L102</f>
        <v>0</v>
      </c>
      <c r="L102">
        <f>CodeStochastic!M102</f>
        <v>0</v>
      </c>
    </row>
    <row r="103" spans="1:12" x14ac:dyDescent="0.35">
      <c r="A103" s="212" t="s">
        <v>144</v>
      </c>
      <c r="B103" s="212" t="s">
        <v>82</v>
      </c>
      <c r="C103" s="167">
        <v>102</v>
      </c>
      <c r="D103" s="167" t="s">
        <v>256</v>
      </c>
      <c r="E103" s="125" t="s">
        <v>11</v>
      </c>
      <c r="F103">
        <f>CodeStochastic!G103</f>
        <v>0</v>
      </c>
      <c r="G103">
        <f>CodeStochastic!H103</f>
        <v>0</v>
      </c>
      <c r="H103">
        <f>CodeStochastic!I103</f>
        <v>0</v>
      </c>
      <c r="I103">
        <f>CodeStochastic!J103</f>
        <v>0</v>
      </c>
      <c r="J103">
        <f>CodeStochastic!K103</f>
        <v>0</v>
      </c>
      <c r="K103">
        <f>CodeStochastic!L103</f>
        <v>0</v>
      </c>
      <c r="L103">
        <f>CodeStochastic!M103</f>
        <v>0</v>
      </c>
    </row>
    <row r="104" spans="1:12" x14ac:dyDescent="0.35">
      <c r="A104" s="212" t="s">
        <v>144</v>
      </c>
      <c r="B104" s="212" t="s">
        <v>82</v>
      </c>
      <c r="C104" s="167">
        <v>103</v>
      </c>
      <c r="D104" s="167" t="s">
        <v>256</v>
      </c>
      <c r="E104" s="125" t="s">
        <v>12</v>
      </c>
      <c r="F104">
        <f>CodeStochastic!G104</f>
        <v>0</v>
      </c>
      <c r="G104">
        <f>CodeStochastic!H104</f>
        <v>0</v>
      </c>
      <c r="H104">
        <f>CodeStochastic!I104</f>
        <v>0</v>
      </c>
      <c r="I104">
        <f>CodeStochastic!J104</f>
        <v>0</v>
      </c>
      <c r="J104">
        <f>CodeStochastic!K104</f>
        <v>0</v>
      </c>
      <c r="K104">
        <f>CodeStochastic!L104</f>
        <v>0</v>
      </c>
      <c r="L104">
        <f>CodeStochastic!M104</f>
        <v>0</v>
      </c>
    </row>
    <row r="105" spans="1:12" x14ac:dyDescent="0.35">
      <c r="A105" s="212" t="s">
        <v>144</v>
      </c>
      <c r="B105" s="212" t="s">
        <v>82</v>
      </c>
      <c r="C105" s="167">
        <v>104</v>
      </c>
      <c r="D105" s="167" t="s">
        <v>256</v>
      </c>
      <c r="E105" s="125" t="s">
        <v>13</v>
      </c>
      <c r="F105">
        <f>CodeStochastic!G105</f>
        <v>0</v>
      </c>
      <c r="G105">
        <f>CodeStochastic!H105</f>
        <v>0</v>
      </c>
      <c r="H105">
        <f>CodeStochastic!I105</f>
        <v>0</v>
      </c>
      <c r="I105">
        <f>CodeStochastic!J105</f>
        <v>0</v>
      </c>
      <c r="J105">
        <f>CodeStochastic!K105</f>
        <v>0</v>
      </c>
      <c r="K105">
        <f>CodeStochastic!L105</f>
        <v>0</v>
      </c>
      <c r="L105">
        <f>CodeStochastic!M105</f>
        <v>0</v>
      </c>
    </row>
    <row r="106" spans="1:12" x14ac:dyDescent="0.35">
      <c r="A106" s="212" t="s">
        <v>144</v>
      </c>
      <c r="B106" s="212" t="s">
        <v>82</v>
      </c>
      <c r="C106" s="167">
        <v>105</v>
      </c>
      <c r="D106" s="167" t="s">
        <v>256</v>
      </c>
      <c r="E106" s="125" t="s">
        <v>14</v>
      </c>
      <c r="F106">
        <f>CodeStochastic!G106</f>
        <v>0</v>
      </c>
      <c r="G106">
        <f>CodeStochastic!H106</f>
        <v>0</v>
      </c>
      <c r="H106">
        <f>CodeStochastic!I106</f>
        <v>0</v>
      </c>
      <c r="I106">
        <f>CodeStochastic!J106</f>
        <v>0</v>
      </c>
      <c r="J106">
        <f>CodeStochastic!K106</f>
        <v>0</v>
      </c>
      <c r="K106">
        <f>CodeStochastic!L106</f>
        <v>0</v>
      </c>
      <c r="L106">
        <f>CodeStochastic!M106</f>
        <v>0</v>
      </c>
    </row>
    <row r="107" spans="1:12" x14ac:dyDescent="0.35">
      <c r="A107" s="212" t="s">
        <v>144</v>
      </c>
      <c r="B107" s="212" t="s">
        <v>82</v>
      </c>
      <c r="C107" s="167">
        <v>106</v>
      </c>
      <c r="D107" s="167" t="s">
        <v>256</v>
      </c>
      <c r="E107" s="125" t="s">
        <v>15</v>
      </c>
      <c r="F107">
        <f>CodeStochastic!G107</f>
        <v>0</v>
      </c>
      <c r="G107">
        <f>CodeStochastic!H107</f>
        <v>0</v>
      </c>
      <c r="H107">
        <f>CodeStochastic!I107</f>
        <v>0</v>
      </c>
      <c r="I107">
        <f>CodeStochastic!J107</f>
        <v>0</v>
      </c>
      <c r="J107">
        <f>CodeStochastic!K107</f>
        <v>0</v>
      </c>
      <c r="K107">
        <f>CodeStochastic!L107</f>
        <v>0</v>
      </c>
      <c r="L107">
        <f>CodeStochastic!M107</f>
        <v>0</v>
      </c>
    </row>
    <row r="108" spans="1:12" x14ac:dyDescent="0.35">
      <c r="A108" s="212" t="s">
        <v>144</v>
      </c>
      <c r="B108" s="212" t="s">
        <v>82</v>
      </c>
      <c r="C108" s="167">
        <v>107</v>
      </c>
      <c r="D108" s="167" t="s">
        <v>256</v>
      </c>
      <c r="E108" s="125" t="s">
        <v>16</v>
      </c>
      <c r="F108">
        <f>CodeStochastic!G108</f>
        <v>0</v>
      </c>
      <c r="G108">
        <f>CodeStochastic!H108</f>
        <v>0</v>
      </c>
      <c r="H108">
        <f>CodeStochastic!I108</f>
        <v>0</v>
      </c>
      <c r="I108">
        <f>CodeStochastic!J108</f>
        <v>0</v>
      </c>
      <c r="J108">
        <f>CodeStochastic!K108</f>
        <v>0</v>
      </c>
      <c r="K108">
        <f>CodeStochastic!L108</f>
        <v>0</v>
      </c>
      <c r="L108">
        <f>CodeStochastic!M108</f>
        <v>0</v>
      </c>
    </row>
    <row r="109" spans="1:12" x14ac:dyDescent="0.35">
      <c r="A109" s="212" t="s">
        <v>144</v>
      </c>
      <c r="B109" s="212" t="s">
        <v>82</v>
      </c>
      <c r="C109" s="167">
        <v>108</v>
      </c>
      <c r="D109" s="167" t="s">
        <v>256</v>
      </c>
      <c r="E109" s="125" t="s">
        <v>17</v>
      </c>
      <c r="F109">
        <f>CodeStochastic!G109</f>
        <v>0</v>
      </c>
      <c r="G109">
        <f>CodeStochastic!H109</f>
        <v>0</v>
      </c>
      <c r="H109">
        <f>CodeStochastic!I109</f>
        <v>0</v>
      </c>
      <c r="I109">
        <f>CodeStochastic!J109</f>
        <v>0</v>
      </c>
      <c r="J109">
        <f>CodeStochastic!K109</f>
        <v>0</v>
      </c>
      <c r="K109">
        <f>CodeStochastic!L109</f>
        <v>0</v>
      </c>
      <c r="L109">
        <f>CodeStochastic!M109</f>
        <v>0</v>
      </c>
    </row>
    <row r="110" spans="1:12" x14ac:dyDescent="0.35">
      <c r="A110" s="212" t="s">
        <v>144</v>
      </c>
      <c r="B110" s="212" t="s">
        <v>82</v>
      </c>
      <c r="C110" s="167">
        <v>109</v>
      </c>
      <c r="D110" s="167" t="s">
        <v>256</v>
      </c>
      <c r="E110" s="125" t="s">
        <v>18</v>
      </c>
      <c r="F110">
        <f>CodeStochastic!G110</f>
        <v>0</v>
      </c>
      <c r="G110">
        <f>CodeStochastic!H110</f>
        <v>0</v>
      </c>
      <c r="H110">
        <f>CodeStochastic!I110</f>
        <v>0</v>
      </c>
      <c r="I110">
        <f>CodeStochastic!J110</f>
        <v>0</v>
      </c>
      <c r="J110">
        <f>CodeStochastic!K110</f>
        <v>0</v>
      </c>
      <c r="K110">
        <f>CodeStochastic!L110</f>
        <v>0</v>
      </c>
      <c r="L110">
        <f>CodeStochastic!M110</f>
        <v>0</v>
      </c>
    </row>
    <row r="111" spans="1:12" x14ac:dyDescent="0.35">
      <c r="A111" s="212" t="s">
        <v>144</v>
      </c>
      <c r="B111" s="212" t="s">
        <v>82</v>
      </c>
      <c r="C111" s="167">
        <v>110</v>
      </c>
      <c r="D111" s="167" t="s">
        <v>256</v>
      </c>
      <c r="E111" s="125" t="s">
        <v>19</v>
      </c>
      <c r="F111">
        <f>CodeStochastic!G111</f>
        <v>0</v>
      </c>
      <c r="G111">
        <f>CodeStochastic!H111</f>
        <v>0</v>
      </c>
      <c r="H111">
        <f>CodeStochastic!I111</f>
        <v>0</v>
      </c>
      <c r="I111">
        <f>CodeStochastic!J111</f>
        <v>0</v>
      </c>
      <c r="J111">
        <f>CodeStochastic!K111</f>
        <v>0</v>
      </c>
      <c r="K111">
        <f>CodeStochastic!L111</f>
        <v>0</v>
      </c>
      <c r="L111">
        <f>CodeStochastic!M111</f>
        <v>0</v>
      </c>
    </row>
    <row r="112" spans="1:12" x14ac:dyDescent="0.35">
      <c r="A112" s="212" t="s">
        <v>144</v>
      </c>
      <c r="B112" s="212" t="s">
        <v>82</v>
      </c>
      <c r="C112" s="167">
        <v>111</v>
      </c>
      <c r="D112" s="167" t="s">
        <v>256</v>
      </c>
      <c r="E112" s="125" t="s">
        <v>20</v>
      </c>
      <c r="F112">
        <f>CodeStochastic!G112</f>
        <v>0</v>
      </c>
      <c r="G112">
        <f>CodeStochastic!H112</f>
        <v>0</v>
      </c>
      <c r="H112">
        <f>CodeStochastic!I112</f>
        <v>0</v>
      </c>
      <c r="I112">
        <f>CodeStochastic!J112</f>
        <v>0</v>
      </c>
      <c r="J112">
        <f>CodeStochastic!K112</f>
        <v>0</v>
      </c>
      <c r="K112">
        <f>CodeStochastic!L112</f>
        <v>0</v>
      </c>
      <c r="L112">
        <f>CodeStochastic!M112</f>
        <v>0</v>
      </c>
    </row>
    <row r="113" spans="1:12" x14ac:dyDescent="0.35">
      <c r="A113" s="212" t="s">
        <v>144</v>
      </c>
      <c r="B113" s="212" t="s">
        <v>82</v>
      </c>
      <c r="C113" s="167">
        <v>112</v>
      </c>
      <c r="D113" s="167" t="s">
        <v>256</v>
      </c>
      <c r="E113" s="125" t="s">
        <v>279</v>
      </c>
      <c r="F113">
        <f>CodeStochastic!G113</f>
        <v>0</v>
      </c>
      <c r="G113">
        <f>CodeStochastic!H113</f>
        <v>0</v>
      </c>
      <c r="H113">
        <f>CodeStochastic!I113</f>
        <v>0</v>
      </c>
      <c r="I113">
        <f>CodeStochastic!J113</f>
        <v>0</v>
      </c>
      <c r="J113">
        <f>CodeStochastic!K113</f>
        <v>0</v>
      </c>
      <c r="K113">
        <f>CodeStochastic!L113</f>
        <v>0</v>
      </c>
      <c r="L113">
        <f>CodeStochastic!M113</f>
        <v>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9EF30-6E29-4483-A04B-17EF369CB73A}">
  <dimension ref="A1:M113"/>
  <sheetViews>
    <sheetView workbookViewId="0">
      <selection activeCell="F1" sqref="F1:M113"/>
    </sheetView>
  </sheetViews>
  <sheetFormatPr defaultRowHeight="14.5" x14ac:dyDescent="0.35"/>
  <cols>
    <col min="1" max="1" width="8.7265625" customWidth="1"/>
  </cols>
  <sheetData>
    <row r="1" spans="1:13" ht="15" thickBot="1" x14ac:dyDescent="0.4">
      <c r="A1" s="77"/>
      <c r="B1" s="77"/>
      <c r="C1" s="77" t="s">
        <v>285</v>
      </c>
      <c r="D1" s="77" t="s">
        <v>286</v>
      </c>
      <c r="E1" s="77" t="s">
        <v>287</v>
      </c>
      <c r="F1" t="s">
        <v>294</v>
      </c>
      <c r="G1" t="s">
        <v>288</v>
      </c>
      <c r="H1" t="s">
        <v>153</v>
      </c>
      <c r="I1" t="s">
        <v>289</v>
      </c>
      <c r="J1" t="s">
        <v>290</v>
      </c>
      <c r="K1" t="s">
        <v>291</v>
      </c>
      <c r="L1" t="s">
        <v>292</v>
      </c>
      <c r="M1" t="s">
        <v>293</v>
      </c>
    </row>
    <row r="2" spans="1:13" x14ac:dyDescent="0.35">
      <c r="A2" s="214" t="s">
        <v>143</v>
      </c>
      <c r="B2" s="214" t="s">
        <v>24</v>
      </c>
      <c r="C2" s="167">
        <v>1</v>
      </c>
      <c r="D2" s="167" t="s">
        <v>257</v>
      </c>
      <c r="E2" s="178" t="s">
        <v>8</v>
      </c>
      <c r="F2">
        <v>1</v>
      </c>
      <c r="G2" s="215">
        <v>-3.7950922852838501E-12</v>
      </c>
      <c r="H2" s="215">
        <v>-4.8207257357580103E-12</v>
      </c>
      <c r="I2" s="215">
        <v>5.4893934307634204E-12</v>
      </c>
      <c r="J2" s="215">
        <v>-2.52190448613224E-11</v>
      </c>
      <c r="K2" s="215">
        <v>3.06153011328696E-12</v>
      </c>
      <c r="L2" s="215">
        <v>-1.7947319482198799E-11</v>
      </c>
      <c r="M2" s="215">
        <v>2.6563504801531401E-12</v>
      </c>
    </row>
    <row r="3" spans="1:13" x14ac:dyDescent="0.35">
      <c r="A3" s="214" t="s">
        <v>143</v>
      </c>
      <c r="B3" s="214" t="s">
        <v>24</v>
      </c>
      <c r="C3" s="167">
        <v>2</v>
      </c>
      <c r="D3" s="167" t="s">
        <v>257</v>
      </c>
      <c r="E3" s="125" t="s">
        <v>9</v>
      </c>
      <c r="F3">
        <v>2</v>
      </c>
      <c r="G3" s="215">
        <v>-3.7124390651402003E-12</v>
      </c>
      <c r="H3" s="215">
        <v>-4.6500356213730498E-12</v>
      </c>
      <c r="I3" s="215">
        <v>5.3912108288007403E-12</v>
      </c>
      <c r="J3" s="215">
        <v>-2.50954139583596E-11</v>
      </c>
      <c r="K3" s="215">
        <v>3.0946040208563898E-12</v>
      </c>
      <c r="L3" s="215">
        <v>-1.7463514398086699E-11</v>
      </c>
      <c r="M3" s="215">
        <v>2.6686894438657498E-12</v>
      </c>
    </row>
    <row r="4" spans="1:13" x14ac:dyDescent="0.35">
      <c r="A4" s="214" t="s">
        <v>143</v>
      </c>
      <c r="B4" s="214" t="s">
        <v>24</v>
      </c>
      <c r="C4" s="167">
        <v>3</v>
      </c>
      <c r="D4" s="167" t="s">
        <v>257</v>
      </c>
      <c r="E4" s="125" t="s">
        <v>10</v>
      </c>
      <c r="F4">
        <v>3</v>
      </c>
      <c r="G4">
        <v>0.12962083573448199</v>
      </c>
      <c r="H4">
        <v>0.130173643020674</v>
      </c>
      <c r="I4">
        <v>1.6837497898027701E-2</v>
      </c>
      <c r="J4">
        <v>8.9754023992019594E-2</v>
      </c>
      <c r="K4">
        <v>0.17372123036145201</v>
      </c>
      <c r="L4">
        <v>9.8717143914598807E-2</v>
      </c>
      <c r="M4">
        <v>0.162156153856823</v>
      </c>
    </row>
    <row r="5" spans="1:13" x14ac:dyDescent="0.35">
      <c r="A5" s="214" t="s">
        <v>143</v>
      </c>
      <c r="B5" s="214" t="s">
        <v>24</v>
      </c>
      <c r="C5" s="167">
        <v>4</v>
      </c>
      <c r="D5" s="167" t="s">
        <v>257</v>
      </c>
      <c r="E5" s="125" t="s">
        <v>11</v>
      </c>
      <c r="F5">
        <v>4</v>
      </c>
      <c r="G5">
        <v>0.12985902718133699</v>
      </c>
      <c r="H5">
        <v>0.12988105784832199</v>
      </c>
      <c r="I5">
        <v>1.6246615997962101E-2</v>
      </c>
      <c r="J5">
        <v>9.2116246129396506E-2</v>
      </c>
      <c r="K5">
        <v>0.17011253521968001</v>
      </c>
      <c r="L5">
        <v>9.9219778859574698E-2</v>
      </c>
      <c r="M5">
        <v>0.16002606394634999</v>
      </c>
    </row>
    <row r="6" spans="1:13" x14ac:dyDescent="0.35">
      <c r="A6" s="214" t="s">
        <v>143</v>
      </c>
      <c r="B6" s="214" t="s">
        <v>24</v>
      </c>
      <c r="C6" s="167">
        <v>5</v>
      </c>
      <c r="D6" s="167" t="s">
        <v>257</v>
      </c>
      <c r="E6" s="125" t="s">
        <v>12</v>
      </c>
      <c r="F6">
        <v>5</v>
      </c>
      <c r="G6">
        <v>0.12397475140379401</v>
      </c>
      <c r="H6">
        <v>0.123821578829963</v>
      </c>
      <c r="I6">
        <v>1.5960051104112701E-2</v>
      </c>
      <c r="J6">
        <v>8.5576027402315805E-2</v>
      </c>
      <c r="K6">
        <v>0.16279412508160099</v>
      </c>
      <c r="L6">
        <v>9.4899300057143393E-2</v>
      </c>
      <c r="M6">
        <v>0.154623148424337</v>
      </c>
    </row>
    <row r="7" spans="1:13" x14ac:dyDescent="0.35">
      <c r="A7" s="214" t="s">
        <v>143</v>
      </c>
      <c r="B7" s="214" t="s">
        <v>24</v>
      </c>
      <c r="C7" s="167">
        <v>6</v>
      </c>
      <c r="D7" s="167" t="s">
        <v>257</v>
      </c>
      <c r="E7" s="125" t="s">
        <v>13</v>
      </c>
      <c r="F7">
        <v>6</v>
      </c>
      <c r="G7">
        <v>0.123981534257548</v>
      </c>
      <c r="H7">
        <v>0.123736563794745</v>
      </c>
      <c r="I7">
        <v>1.49165158753872E-2</v>
      </c>
      <c r="J7">
        <v>8.8020244645985304E-2</v>
      </c>
      <c r="K7">
        <v>0.162832545241125</v>
      </c>
      <c r="L7">
        <v>9.5866733748164096E-2</v>
      </c>
      <c r="M7">
        <v>0.15191875555234299</v>
      </c>
    </row>
    <row r="8" spans="1:13" x14ac:dyDescent="0.35">
      <c r="A8" s="214" t="s">
        <v>143</v>
      </c>
      <c r="B8" s="214" t="s">
        <v>24</v>
      </c>
      <c r="C8" s="167">
        <v>7</v>
      </c>
      <c r="D8" s="167" t="s">
        <v>257</v>
      </c>
      <c r="E8" s="125" t="s">
        <v>14</v>
      </c>
      <c r="F8">
        <v>7</v>
      </c>
      <c r="G8">
        <v>0.102640172574732</v>
      </c>
      <c r="H8">
        <v>0.102970373037719</v>
      </c>
      <c r="I8">
        <v>1.29723033443346E-2</v>
      </c>
      <c r="J8">
        <v>7.1558039160622602E-2</v>
      </c>
      <c r="K8">
        <v>0.13621086471128899</v>
      </c>
      <c r="L8">
        <v>7.7906496869215802E-2</v>
      </c>
      <c r="M8">
        <v>0.12731659500622799</v>
      </c>
    </row>
    <row r="9" spans="1:13" x14ac:dyDescent="0.35">
      <c r="A9" s="214" t="s">
        <v>143</v>
      </c>
      <c r="B9" s="214" t="s">
        <v>24</v>
      </c>
      <c r="C9" s="167">
        <v>8</v>
      </c>
      <c r="D9" s="167" t="s">
        <v>257</v>
      </c>
      <c r="E9" s="125" t="s">
        <v>15</v>
      </c>
      <c r="F9">
        <v>8</v>
      </c>
      <c r="G9">
        <v>0.101965683934249</v>
      </c>
      <c r="H9">
        <v>0.10234875926687501</v>
      </c>
      <c r="I9">
        <v>1.32244359727172E-2</v>
      </c>
      <c r="J9">
        <v>7.1461999779069196E-2</v>
      </c>
      <c r="K9">
        <v>0.13737737338110201</v>
      </c>
      <c r="L9">
        <v>7.8710357455952298E-2</v>
      </c>
      <c r="M9">
        <v>0.12760877204288401</v>
      </c>
    </row>
    <row r="10" spans="1:13" x14ac:dyDescent="0.35">
      <c r="A10" s="214" t="s">
        <v>143</v>
      </c>
      <c r="B10" s="214" t="s">
        <v>24</v>
      </c>
      <c r="C10" s="167">
        <v>9</v>
      </c>
      <c r="D10" s="167" t="s">
        <v>257</v>
      </c>
      <c r="E10" s="125" t="s">
        <v>16</v>
      </c>
      <c r="F10">
        <v>9</v>
      </c>
      <c r="G10">
        <v>8.4108705084028304E-2</v>
      </c>
      <c r="H10">
        <v>8.3695922921528401E-2</v>
      </c>
      <c r="I10">
        <v>1.0791843093966001E-2</v>
      </c>
      <c r="J10">
        <v>5.7907798875419803E-2</v>
      </c>
      <c r="K10">
        <v>0.108754490690169</v>
      </c>
      <c r="L10">
        <v>6.4076297847788996E-2</v>
      </c>
      <c r="M10">
        <v>0.104011040673176</v>
      </c>
    </row>
    <row r="11" spans="1:13" x14ac:dyDescent="0.35">
      <c r="A11" s="214" t="s">
        <v>143</v>
      </c>
      <c r="B11" s="214" t="s">
        <v>24</v>
      </c>
      <c r="C11" s="167">
        <v>10</v>
      </c>
      <c r="D11" s="167" t="s">
        <v>257</v>
      </c>
      <c r="E11" s="125" t="s">
        <v>17</v>
      </c>
      <c r="F11">
        <v>10</v>
      </c>
      <c r="G11">
        <v>8.3850019040115895E-2</v>
      </c>
      <c r="H11">
        <v>8.3927114255579305E-2</v>
      </c>
      <c r="I11">
        <v>1.02999192743363E-2</v>
      </c>
      <c r="J11">
        <v>5.7810430466681502E-2</v>
      </c>
      <c r="K11">
        <v>0.110023587010142</v>
      </c>
      <c r="L11">
        <v>6.4835929015925803E-2</v>
      </c>
      <c r="M11">
        <v>0.10325175032092899</v>
      </c>
    </row>
    <row r="12" spans="1:13" x14ac:dyDescent="0.35">
      <c r="A12" s="214" t="s">
        <v>143</v>
      </c>
      <c r="B12" s="214" t="s">
        <v>24</v>
      </c>
      <c r="C12" s="167">
        <v>11</v>
      </c>
      <c r="D12" s="167" t="s">
        <v>257</v>
      </c>
      <c r="E12" s="125" t="s">
        <v>18</v>
      </c>
      <c r="F12">
        <v>11</v>
      </c>
      <c r="G12">
        <v>6.8381285912036099E-2</v>
      </c>
      <c r="H12">
        <v>6.8373997628998096E-2</v>
      </c>
      <c r="I12">
        <v>8.1977824176667699E-3</v>
      </c>
      <c r="J12">
        <v>4.8239671488552599E-2</v>
      </c>
      <c r="K12">
        <v>8.9304629151048698E-2</v>
      </c>
      <c r="L12">
        <v>5.2370866827961902E-2</v>
      </c>
      <c r="M12">
        <v>8.4179368303865104E-2</v>
      </c>
    </row>
    <row r="13" spans="1:13" x14ac:dyDescent="0.35">
      <c r="A13" s="214" t="s">
        <v>143</v>
      </c>
      <c r="B13" s="214" t="s">
        <v>24</v>
      </c>
      <c r="C13" s="167">
        <v>12</v>
      </c>
      <c r="D13" s="167" t="s">
        <v>257</v>
      </c>
      <c r="E13" s="125" t="s">
        <v>19</v>
      </c>
      <c r="F13">
        <v>12</v>
      </c>
      <c r="G13">
        <v>6.8410420897908594E-2</v>
      </c>
      <c r="H13">
        <v>6.8744956886022904E-2</v>
      </c>
      <c r="I13">
        <v>8.0528668708861693E-3</v>
      </c>
      <c r="J13">
        <v>4.9143635988517002E-2</v>
      </c>
      <c r="K13">
        <v>8.6820385722484406E-2</v>
      </c>
      <c r="L13">
        <v>5.3752536731621503E-2</v>
      </c>
      <c r="M13">
        <v>8.4344276046535202E-2</v>
      </c>
    </row>
    <row r="14" spans="1:13" x14ac:dyDescent="0.35">
      <c r="A14" s="214" t="s">
        <v>143</v>
      </c>
      <c r="B14" s="214" t="s">
        <v>24</v>
      </c>
      <c r="C14" s="167">
        <v>13</v>
      </c>
      <c r="D14" s="167" t="s">
        <v>257</v>
      </c>
      <c r="E14" s="125" t="s">
        <v>20</v>
      </c>
      <c r="F14">
        <v>13</v>
      </c>
      <c r="G14">
        <v>4.9701307979956498E-2</v>
      </c>
      <c r="H14">
        <v>4.9741760420740397E-2</v>
      </c>
      <c r="I14">
        <v>5.7770746206708204E-3</v>
      </c>
      <c r="J14">
        <v>3.5866983891433002E-2</v>
      </c>
      <c r="K14">
        <v>6.4145305397956404E-2</v>
      </c>
      <c r="L14">
        <v>3.8935070190202502E-2</v>
      </c>
      <c r="M14">
        <v>6.0885839677069203E-2</v>
      </c>
    </row>
    <row r="15" spans="1:13" ht="15" thickBot="1" x14ac:dyDescent="0.4">
      <c r="A15" s="214" t="s">
        <v>143</v>
      </c>
      <c r="B15" s="214" t="s">
        <v>24</v>
      </c>
      <c r="C15" s="167">
        <v>14</v>
      </c>
      <c r="D15" s="167" t="s">
        <v>257</v>
      </c>
      <c r="E15" s="125" t="s">
        <v>279</v>
      </c>
      <c r="F15">
        <v>14</v>
      </c>
      <c r="G15">
        <v>4.9622417892598802E-2</v>
      </c>
      <c r="H15">
        <v>4.9917142316380801E-2</v>
      </c>
      <c r="I15">
        <v>6.0652276737017596E-3</v>
      </c>
      <c r="J15">
        <v>3.61476722176289E-2</v>
      </c>
      <c r="K15">
        <v>6.4574489793305503E-2</v>
      </c>
      <c r="L15">
        <v>3.8793735929478199E-2</v>
      </c>
      <c r="M15">
        <v>6.1773273938692898E-2</v>
      </c>
    </row>
    <row r="16" spans="1:13" x14ac:dyDescent="0.35">
      <c r="A16" s="214" t="s">
        <v>143</v>
      </c>
      <c r="B16" s="214" t="s">
        <v>24</v>
      </c>
      <c r="C16" s="167">
        <v>15</v>
      </c>
      <c r="D16" s="167" t="s">
        <v>256</v>
      </c>
      <c r="E16" s="178" t="s">
        <v>8</v>
      </c>
      <c r="F16">
        <v>15</v>
      </c>
      <c r="G16" s="215">
        <v>-3.3966075915860499E-12</v>
      </c>
      <c r="H16" s="215">
        <v>-4.4205446446963097E-12</v>
      </c>
      <c r="I16" s="215">
        <v>5.2960679189771296E-12</v>
      </c>
      <c r="J16" s="215">
        <v>-2.2612271634805898E-11</v>
      </c>
      <c r="K16" s="215">
        <v>3.0413012851841802E-12</v>
      </c>
      <c r="L16" s="215">
        <v>-1.70612288701265E-11</v>
      </c>
      <c r="M16" s="215">
        <v>2.65638752219312E-12</v>
      </c>
    </row>
    <row r="17" spans="1:13" x14ac:dyDescent="0.35">
      <c r="A17" s="214" t="s">
        <v>143</v>
      </c>
      <c r="B17" s="214" t="s">
        <v>24</v>
      </c>
      <c r="C17" s="167">
        <v>16</v>
      </c>
      <c r="D17" s="167" t="s">
        <v>256</v>
      </c>
      <c r="E17" s="125" t="s">
        <v>9</v>
      </c>
      <c r="F17">
        <v>16</v>
      </c>
      <c r="G17" s="215">
        <v>-3.5793652822781902E-12</v>
      </c>
      <c r="H17" s="215">
        <v>-4.7553314758338002E-12</v>
      </c>
      <c r="I17" s="215">
        <v>5.4051045702239499E-12</v>
      </c>
      <c r="J17" s="215">
        <v>-2.55481916240112E-11</v>
      </c>
      <c r="K17" s="215">
        <v>3.0592999750653599E-12</v>
      </c>
      <c r="L17" s="215">
        <v>-1.8156420928164699E-11</v>
      </c>
      <c r="M17" s="215">
        <v>2.5336148952095E-12</v>
      </c>
    </row>
    <row r="18" spans="1:13" x14ac:dyDescent="0.35">
      <c r="A18" s="214" t="s">
        <v>143</v>
      </c>
      <c r="B18" s="214" t="s">
        <v>24</v>
      </c>
      <c r="C18" s="167">
        <v>17</v>
      </c>
      <c r="D18" s="167" t="s">
        <v>256</v>
      </c>
      <c r="E18" s="125" t="s">
        <v>10</v>
      </c>
      <c r="F18">
        <v>17</v>
      </c>
      <c r="G18">
        <v>0.12651114805695901</v>
      </c>
      <c r="H18">
        <v>0.12693866636887799</v>
      </c>
      <c r="I18">
        <v>1.6253714691624298E-2</v>
      </c>
      <c r="J18">
        <v>8.75288754549612E-2</v>
      </c>
      <c r="K18">
        <v>0.16526255656811001</v>
      </c>
      <c r="L18">
        <v>9.6765706944395194E-2</v>
      </c>
      <c r="M18">
        <v>0.15705951857101</v>
      </c>
    </row>
    <row r="19" spans="1:13" x14ac:dyDescent="0.35">
      <c r="A19" s="214" t="s">
        <v>143</v>
      </c>
      <c r="B19" s="214" t="s">
        <v>24</v>
      </c>
      <c r="C19" s="167">
        <v>18</v>
      </c>
      <c r="D19" s="167" t="s">
        <v>256</v>
      </c>
      <c r="E19" s="125" t="s">
        <v>11</v>
      </c>
      <c r="F19">
        <v>18</v>
      </c>
      <c r="G19">
        <v>0.129919335276618</v>
      </c>
      <c r="H19">
        <v>0.12985979196494801</v>
      </c>
      <c r="I19">
        <v>1.6762763648469702E-2</v>
      </c>
      <c r="J19">
        <v>9.1446070277831401E-2</v>
      </c>
      <c r="K19">
        <v>0.17245631900462</v>
      </c>
      <c r="L19">
        <v>9.8758068984778805E-2</v>
      </c>
      <c r="M19">
        <v>0.160824879187763</v>
      </c>
    </row>
    <row r="20" spans="1:13" x14ac:dyDescent="0.35">
      <c r="A20" s="214" t="s">
        <v>143</v>
      </c>
      <c r="B20" s="214" t="s">
        <v>24</v>
      </c>
      <c r="C20" s="167">
        <v>19</v>
      </c>
      <c r="D20" s="167" t="s">
        <v>256</v>
      </c>
      <c r="E20" s="125" t="s">
        <v>12</v>
      </c>
      <c r="F20">
        <v>19</v>
      </c>
      <c r="G20">
        <v>0.124400839877331</v>
      </c>
      <c r="H20">
        <v>0.12470980458424399</v>
      </c>
      <c r="I20">
        <v>1.5269901399164501E-2</v>
      </c>
      <c r="J20">
        <v>8.8342127077812596E-2</v>
      </c>
      <c r="K20">
        <v>0.16408661209393999</v>
      </c>
      <c r="L20">
        <v>9.5393429423846196E-2</v>
      </c>
      <c r="M20">
        <v>0.15408785670339101</v>
      </c>
    </row>
    <row r="21" spans="1:13" x14ac:dyDescent="0.35">
      <c r="A21" s="214" t="s">
        <v>143</v>
      </c>
      <c r="B21" s="214" t="s">
        <v>24</v>
      </c>
      <c r="C21" s="167">
        <v>20</v>
      </c>
      <c r="D21" s="167" t="s">
        <v>256</v>
      </c>
      <c r="E21" s="125" t="s">
        <v>13</v>
      </c>
      <c r="F21">
        <v>20</v>
      </c>
      <c r="G21">
        <v>0.125053703702109</v>
      </c>
      <c r="H21">
        <v>0.12460137370812401</v>
      </c>
      <c r="I21">
        <v>1.5680637936985101E-2</v>
      </c>
      <c r="J21">
        <v>8.6674193044756404E-2</v>
      </c>
      <c r="K21">
        <v>0.16340842590457499</v>
      </c>
      <c r="L21">
        <v>9.4759492695200204E-2</v>
      </c>
      <c r="M21">
        <v>0.15480094929184199</v>
      </c>
    </row>
    <row r="22" spans="1:13" x14ac:dyDescent="0.35">
      <c r="A22" s="214" t="s">
        <v>143</v>
      </c>
      <c r="B22" s="214" t="s">
        <v>24</v>
      </c>
      <c r="C22" s="167">
        <v>21</v>
      </c>
      <c r="D22" s="167" t="s">
        <v>256</v>
      </c>
      <c r="E22" s="125" t="s">
        <v>14</v>
      </c>
      <c r="F22">
        <v>21</v>
      </c>
      <c r="G22">
        <v>0.102228685388447</v>
      </c>
      <c r="H22">
        <v>0.102820062886917</v>
      </c>
      <c r="I22">
        <v>1.3508766924568E-2</v>
      </c>
      <c r="J22">
        <v>7.1375573474571394E-2</v>
      </c>
      <c r="K22">
        <v>0.13523881562802501</v>
      </c>
      <c r="L22">
        <v>7.8013054247215996E-2</v>
      </c>
      <c r="M22">
        <v>0.128062231917077</v>
      </c>
    </row>
    <row r="23" spans="1:13" x14ac:dyDescent="0.35">
      <c r="A23" s="214" t="s">
        <v>143</v>
      </c>
      <c r="B23" s="214" t="s">
        <v>24</v>
      </c>
      <c r="C23" s="167">
        <v>22</v>
      </c>
      <c r="D23" s="167" t="s">
        <v>256</v>
      </c>
      <c r="E23" s="125" t="s">
        <v>15</v>
      </c>
      <c r="F23">
        <v>22</v>
      </c>
      <c r="G23">
        <v>0.102602481891488</v>
      </c>
      <c r="H23">
        <v>0.102903544816838</v>
      </c>
      <c r="I23">
        <v>1.3612251211876401E-2</v>
      </c>
      <c r="J23">
        <v>7.2709952693453095E-2</v>
      </c>
      <c r="K23">
        <v>0.13393698516420899</v>
      </c>
      <c r="L23">
        <v>7.6787407829830595E-2</v>
      </c>
      <c r="M23">
        <v>0.12940366533669101</v>
      </c>
    </row>
    <row r="24" spans="1:13" x14ac:dyDescent="0.35">
      <c r="A24" s="214" t="s">
        <v>143</v>
      </c>
      <c r="B24" s="214" t="s">
        <v>24</v>
      </c>
      <c r="C24" s="167">
        <v>23</v>
      </c>
      <c r="D24" s="167" t="s">
        <v>256</v>
      </c>
      <c r="E24" s="125" t="s">
        <v>16</v>
      </c>
      <c r="F24">
        <v>23</v>
      </c>
      <c r="G24">
        <v>8.3996928962218401E-2</v>
      </c>
      <c r="H24">
        <v>8.3943277601883304E-2</v>
      </c>
      <c r="I24" s="215">
        <v>1.0636173823442899E-2</v>
      </c>
      <c r="J24">
        <v>5.7525785190114399E-2</v>
      </c>
      <c r="K24">
        <v>0.110319553971003</v>
      </c>
      <c r="L24">
        <v>6.3906223095047801E-2</v>
      </c>
      <c r="M24">
        <v>0.103487439474108</v>
      </c>
    </row>
    <row r="25" spans="1:13" x14ac:dyDescent="0.35">
      <c r="A25" s="214" t="s">
        <v>143</v>
      </c>
      <c r="B25" s="214" t="s">
        <v>24</v>
      </c>
      <c r="C25" s="167">
        <v>24</v>
      </c>
      <c r="D25" s="167" t="s">
        <v>256</v>
      </c>
      <c r="E25" s="125" t="s">
        <v>17</v>
      </c>
      <c r="F25">
        <v>24</v>
      </c>
      <c r="G25">
        <v>8.4831018352121895E-2</v>
      </c>
      <c r="H25">
        <v>8.4380419407511106E-2</v>
      </c>
      <c r="I25" s="215">
        <v>1.0266416261386401E-2</v>
      </c>
      <c r="J25">
        <v>5.8301534011148501E-2</v>
      </c>
      <c r="K25">
        <v>0.110979333660723</v>
      </c>
      <c r="L25">
        <v>6.4610392410747605E-2</v>
      </c>
      <c r="M25">
        <v>0.103263774706338</v>
      </c>
    </row>
    <row r="26" spans="1:13" x14ac:dyDescent="0.35">
      <c r="A26" s="214" t="s">
        <v>143</v>
      </c>
      <c r="B26" s="214" t="s">
        <v>24</v>
      </c>
      <c r="C26" s="167">
        <v>25</v>
      </c>
      <c r="D26" s="167" t="s">
        <v>256</v>
      </c>
      <c r="E26" s="125" t="s">
        <v>18</v>
      </c>
      <c r="F26">
        <v>25</v>
      </c>
      <c r="G26">
        <v>6.8611142240989506E-2</v>
      </c>
      <c r="H26">
        <v>6.8656245666906604E-2</v>
      </c>
      <c r="I26">
        <v>8.3712793649599205E-3</v>
      </c>
      <c r="J26">
        <v>4.9267896528170999E-2</v>
      </c>
      <c r="K26">
        <v>8.7370236495558404E-2</v>
      </c>
      <c r="L26">
        <v>5.2947592509390101E-2</v>
      </c>
      <c r="M26">
        <v>8.4064633226937205E-2</v>
      </c>
    </row>
    <row r="27" spans="1:13" x14ac:dyDescent="0.35">
      <c r="A27" s="214" t="s">
        <v>143</v>
      </c>
      <c r="B27" s="214" t="s">
        <v>24</v>
      </c>
      <c r="C27" s="167">
        <v>26</v>
      </c>
      <c r="D27" s="167" t="s">
        <v>256</v>
      </c>
      <c r="E27" s="125" t="s">
        <v>19</v>
      </c>
      <c r="F27">
        <v>26</v>
      </c>
      <c r="G27">
        <v>6.8597771069832794E-2</v>
      </c>
      <c r="H27">
        <v>6.8813893591135405E-2</v>
      </c>
      <c r="I27">
        <v>8.0648631034860602E-3</v>
      </c>
      <c r="J27">
        <v>4.7983982916826699E-2</v>
      </c>
      <c r="K27">
        <v>8.7563341049749097E-2</v>
      </c>
      <c r="L27">
        <v>5.3684458061850099E-2</v>
      </c>
      <c r="M27">
        <v>8.3969182713272306E-2</v>
      </c>
    </row>
    <row r="28" spans="1:13" x14ac:dyDescent="0.35">
      <c r="A28" s="214" t="s">
        <v>143</v>
      </c>
      <c r="B28" s="214" t="s">
        <v>24</v>
      </c>
      <c r="C28" s="167">
        <v>27</v>
      </c>
      <c r="D28" s="167" t="s">
        <v>256</v>
      </c>
      <c r="E28" s="125" t="s">
        <v>20</v>
      </c>
      <c r="F28">
        <v>27</v>
      </c>
      <c r="G28">
        <v>4.9812063452878398E-2</v>
      </c>
      <c r="H28">
        <v>4.9870484523136902E-2</v>
      </c>
      <c r="I28" s="215">
        <v>5.8639702861832104E-3</v>
      </c>
      <c r="J28">
        <v>3.5637673654084198E-2</v>
      </c>
      <c r="K28">
        <v>6.4099064168643805E-2</v>
      </c>
      <c r="L28">
        <v>3.8317965551940898E-2</v>
      </c>
      <c r="M28">
        <v>6.05393194056629E-2</v>
      </c>
    </row>
    <row r="29" spans="1:13" ht="15" thickBot="1" x14ac:dyDescent="0.4">
      <c r="A29" s="214" t="s">
        <v>143</v>
      </c>
      <c r="B29" s="214" t="s">
        <v>24</v>
      </c>
      <c r="C29" s="167">
        <v>28</v>
      </c>
      <c r="D29" s="167" t="s">
        <v>256</v>
      </c>
      <c r="E29" s="125" t="s">
        <v>279</v>
      </c>
      <c r="F29">
        <v>28</v>
      </c>
      <c r="G29">
        <v>4.9918524589079701E-2</v>
      </c>
      <c r="H29">
        <v>5.0142082402917398E-2</v>
      </c>
      <c r="I29" s="215">
        <v>5.9481314477598498E-3</v>
      </c>
      <c r="J29">
        <v>3.6282547376360601E-2</v>
      </c>
      <c r="K29">
        <v>6.4027392573629299E-2</v>
      </c>
      <c r="L29">
        <v>3.9050953421787299E-2</v>
      </c>
      <c r="M29">
        <v>6.1496472769493202E-2</v>
      </c>
    </row>
    <row r="30" spans="1:13" x14ac:dyDescent="0.35">
      <c r="A30" s="212" t="s">
        <v>144</v>
      </c>
      <c r="B30" s="212" t="s">
        <v>24</v>
      </c>
      <c r="C30" s="167">
        <v>29</v>
      </c>
      <c r="D30" s="167" t="s">
        <v>257</v>
      </c>
      <c r="E30" s="178" t="s">
        <v>8</v>
      </c>
      <c r="F30">
        <v>29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35">
      <c r="A31" s="212" t="s">
        <v>144</v>
      </c>
      <c r="B31" s="212" t="s">
        <v>24</v>
      </c>
      <c r="C31" s="167">
        <v>30</v>
      </c>
      <c r="D31" s="167" t="s">
        <v>257</v>
      </c>
      <c r="E31" s="125" t="s">
        <v>9</v>
      </c>
      <c r="F31">
        <v>30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35">
      <c r="A32" s="212" t="s">
        <v>144</v>
      </c>
      <c r="B32" s="212" t="s">
        <v>24</v>
      </c>
      <c r="C32" s="167">
        <v>31</v>
      </c>
      <c r="D32" s="167" t="s">
        <v>257</v>
      </c>
      <c r="E32" s="125" t="s">
        <v>10</v>
      </c>
      <c r="F32">
        <v>31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35">
      <c r="A33" s="212" t="s">
        <v>144</v>
      </c>
      <c r="B33" s="212" t="s">
        <v>24</v>
      </c>
      <c r="C33" s="167">
        <v>32</v>
      </c>
      <c r="D33" s="167" t="s">
        <v>257</v>
      </c>
      <c r="E33" s="125" t="s">
        <v>11</v>
      </c>
      <c r="F33">
        <v>32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35">
      <c r="A34" s="212" t="s">
        <v>144</v>
      </c>
      <c r="B34" s="212" t="s">
        <v>24</v>
      </c>
      <c r="C34" s="167">
        <v>33</v>
      </c>
      <c r="D34" s="167" t="s">
        <v>257</v>
      </c>
      <c r="E34" s="125" t="s">
        <v>12</v>
      </c>
      <c r="F34">
        <v>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35">
      <c r="A35" s="212" t="s">
        <v>144</v>
      </c>
      <c r="B35" s="212" t="s">
        <v>24</v>
      </c>
      <c r="C35" s="167">
        <v>34</v>
      </c>
      <c r="D35" s="167" t="s">
        <v>257</v>
      </c>
      <c r="E35" s="125" t="s">
        <v>13</v>
      </c>
      <c r="F35">
        <v>34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35">
      <c r="A36" s="212" t="s">
        <v>144</v>
      </c>
      <c r="B36" s="212" t="s">
        <v>24</v>
      </c>
      <c r="C36" s="167">
        <v>35</v>
      </c>
      <c r="D36" s="167" t="s">
        <v>257</v>
      </c>
      <c r="E36" s="125" t="s">
        <v>14</v>
      </c>
      <c r="F36">
        <v>35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35">
      <c r="A37" s="212" t="s">
        <v>144</v>
      </c>
      <c r="B37" s="212" t="s">
        <v>24</v>
      </c>
      <c r="C37" s="167">
        <v>36</v>
      </c>
      <c r="D37" s="167" t="s">
        <v>257</v>
      </c>
      <c r="E37" s="125" t="s">
        <v>15</v>
      </c>
      <c r="F37">
        <v>36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35">
      <c r="A38" s="212" t="s">
        <v>144</v>
      </c>
      <c r="B38" s="212" t="s">
        <v>24</v>
      </c>
      <c r="C38" s="167">
        <v>37</v>
      </c>
      <c r="D38" s="167" t="s">
        <v>257</v>
      </c>
      <c r="E38" s="125" t="s">
        <v>16</v>
      </c>
      <c r="F38">
        <v>37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35">
      <c r="A39" s="212" t="s">
        <v>144</v>
      </c>
      <c r="B39" s="212" t="s">
        <v>24</v>
      </c>
      <c r="C39" s="167">
        <v>38</v>
      </c>
      <c r="D39" s="167" t="s">
        <v>257</v>
      </c>
      <c r="E39" s="125" t="s">
        <v>17</v>
      </c>
      <c r="F39">
        <v>38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35">
      <c r="A40" s="212" t="s">
        <v>144</v>
      </c>
      <c r="B40" s="212" t="s">
        <v>24</v>
      </c>
      <c r="C40" s="167">
        <v>39</v>
      </c>
      <c r="D40" s="167" t="s">
        <v>257</v>
      </c>
      <c r="E40" s="125" t="s">
        <v>18</v>
      </c>
      <c r="F40">
        <v>39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35">
      <c r="A41" s="212" t="s">
        <v>144</v>
      </c>
      <c r="B41" s="212" t="s">
        <v>24</v>
      </c>
      <c r="C41" s="167">
        <v>40</v>
      </c>
      <c r="D41" s="167" t="s">
        <v>257</v>
      </c>
      <c r="E41" s="125" t="s">
        <v>19</v>
      </c>
      <c r="F41">
        <v>40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35">
      <c r="A42" s="212" t="s">
        <v>144</v>
      </c>
      <c r="B42" s="212" t="s">
        <v>24</v>
      </c>
      <c r="C42" s="167">
        <v>41</v>
      </c>
      <c r="D42" s="167" t="s">
        <v>257</v>
      </c>
      <c r="E42" s="125" t="s">
        <v>20</v>
      </c>
      <c r="F42">
        <v>41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ht="15" thickBot="1" x14ac:dyDescent="0.4">
      <c r="A43" s="212" t="s">
        <v>144</v>
      </c>
      <c r="B43" s="212" t="s">
        <v>24</v>
      </c>
      <c r="C43" s="167">
        <v>42</v>
      </c>
      <c r="D43" s="167" t="s">
        <v>257</v>
      </c>
      <c r="E43" s="125" t="s">
        <v>279</v>
      </c>
      <c r="F43">
        <v>42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35">
      <c r="A44" s="212" t="s">
        <v>144</v>
      </c>
      <c r="B44" s="212" t="s">
        <v>24</v>
      </c>
      <c r="C44" s="167">
        <v>43</v>
      </c>
      <c r="D44" s="167" t="s">
        <v>256</v>
      </c>
      <c r="E44" s="178" t="s">
        <v>8</v>
      </c>
      <c r="F44">
        <v>43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35">
      <c r="A45" s="212" t="s">
        <v>144</v>
      </c>
      <c r="B45" s="212" t="s">
        <v>24</v>
      </c>
      <c r="C45" s="167">
        <v>44</v>
      </c>
      <c r="D45" s="167" t="s">
        <v>256</v>
      </c>
      <c r="E45" s="125" t="s">
        <v>9</v>
      </c>
      <c r="F45">
        <v>44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35">
      <c r="A46" s="212" t="s">
        <v>144</v>
      </c>
      <c r="B46" s="212" t="s">
        <v>24</v>
      </c>
      <c r="C46" s="167">
        <v>45</v>
      </c>
      <c r="D46" s="167" t="s">
        <v>256</v>
      </c>
      <c r="E46" s="125" t="s">
        <v>10</v>
      </c>
      <c r="F46">
        <v>45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35">
      <c r="A47" s="212" t="s">
        <v>144</v>
      </c>
      <c r="B47" s="212" t="s">
        <v>24</v>
      </c>
      <c r="C47" s="167">
        <v>46</v>
      </c>
      <c r="D47" s="167" t="s">
        <v>256</v>
      </c>
      <c r="E47" s="125" t="s">
        <v>11</v>
      </c>
      <c r="F47">
        <v>46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35">
      <c r="A48" s="212" t="s">
        <v>144</v>
      </c>
      <c r="B48" s="212" t="s">
        <v>24</v>
      </c>
      <c r="C48" s="167">
        <v>47</v>
      </c>
      <c r="D48" s="167" t="s">
        <v>256</v>
      </c>
      <c r="E48" s="125" t="s">
        <v>12</v>
      </c>
      <c r="F48">
        <v>47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35">
      <c r="A49" s="212" t="s">
        <v>144</v>
      </c>
      <c r="B49" s="212" t="s">
        <v>24</v>
      </c>
      <c r="C49" s="167">
        <v>48</v>
      </c>
      <c r="D49" s="167" t="s">
        <v>256</v>
      </c>
      <c r="E49" s="125" t="s">
        <v>13</v>
      </c>
      <c r="F49">
        <v>48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35">
      <c r="A50" s="212" t="s">
        <v>144</v>
      </c>
      <c r="B50" s="212" t="s">
        <v>24</v>
      </c>
      <c r="C50" s="167">
        <v>49</v>
      </c>
      <c r="D50" s="167" t="s">
        <v>256</v>
      </c>
      <c r="E50" s="125" t="s">
        <v>14</v>
      </c>
      <c r="F50">
        <v>49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35">
      <c r="A51" s="212" t="s">
        <v>144</v>
      </c>
      <c r="B51" s="212" t="s">
        <v>24</v>
      </c>
      <c r="C51" s="167">
        <v>50</v>
      </c>
      <c r="D51" s="167" t="s">
        <v>256</v>
      </c>
      <c r="E51" s="125" t="s">
        <v>15</v>
      </c>
      <c r="F51">
        <v>50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35">
      <c r="A52" s="212" t="s">
        <v>144</v>
      </c>
      <c r="B52" s="212" t="s">
        <v>24</v>
      </c>
      <c r="C52" s="167">
        <v>51</v>
      </c>
      <c r="D52" s="167" t="s">
        <v>256</v>
      </c>
      <c r="E52" s="125" t="s">
        <v>16</v>
      </c>
      <c r="F52">
        <v>51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35">
      <c r="A53" s="212" t="s">
        <v>144</v>
      </c>
      <c r="B53" s="212" t="s">
        <v>24</v>
      </c>
      <c r="C53" s="167">
        <v>52</v>
      </c>
      <c r="D53" s="167" t="s">
        <v>256</v>
      </c>
      <c r="E53" s="125" t="s">
        <v>17</v>
      </c>
      <c r="F53">
        <v>52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35">
      <c r="A54" s="212" t="s">
        <v>144</v>
      </c>
      <c r="B54" s="212" t="s">
        <v>24</v>
      </c>
      <c r="C54" s="167">
        <v>53</v>
      </c>
      <c r="D54" s="167" t="s">
        <v>256</v>
      </c>
      <c r="E54" s="125" t="s">
        <v>18</v>
      </c>
      <c r="F54">
        <v>53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35">
      <c r="A55" s="212" t="s">
        <v>144</v>
      </c>
      <c r="B55" s="212" t="s">
        <v>24</v>
      </c>
      <c r="C55" s="167">
        <v>54</v>
      </c>
      <c r="D55" s="167" t="s">
        <v>256</v>
      </c>
      <c r="E55" s="125" t="s">
        <v>19</v>
      </c>
      <c r="F55">
        <v>54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35">
      <c r="A56" s="212" t="s">
        <v>144</v>
      </c>
      <c r="B56" s="212" t="s">
        <v>24</v>
      </c>
      <c r="C56" s="167">
        <v>55</v>
      </c>
      <c r="D56" s="167" t="s">
        <v>256</v>
      </c>
      <c r="E56" s="125" t="s">
        <v>20</v>
      </c>
      <c r="F56">
        <v>55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ht="15" thickBot="1" x14ac:dyDescent="0.4">
      <c r="A57" s="212" t="s">
        <v>144</v>
      </c>
      <c r="B57" s="212" t="s">
        <v>24</v>
      </c>
      <c r="C57" s="167">
        <v>56</v>
      </c>
      <c r="D57" s="167" t="s">
        <v>256</v>
      </c>
      <c r="E57" s="125" t="s">
        <v>279</v>
      </c>
      <c r="F57">
        <v>56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35">
      <c r="A58" s="214" t="s">
        <v>143</v>
      </c>
      <c r="B58" s="214" t="s">
        <v>82</v>
      </c>
      <c r="C58" s="167">
        <v>57</v>
      </c>
      <c r="D58" s="167" t="s">
        <v>257</v>
      </c>
      <c r="E58" s="178" t="s">
        <v>8</v>
      </c>
      <c r="F58">
        <v>57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1:13" x14ac:dyDescent="0.35">
      <c r="A59" s="214" t="s">
        <v>143</v>
      </c>
      <c r="B59" s="214" t="s">
        <v>82</v>
      </c>
      <c r="C59" s="167">
        <v>58</v>
      </c>
      <c r="D59" s="167" t="s">
        <v>257</v>
      </c>
      <c r="E59" s="125" t="s">
        <v>9</v>
      </c>
      <c r="F59">
        <v>58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35">
      <c r="A60" s="214" t="s">
        <v>143</v>
      </c>
      <c r="B60" s="214" t="s">
        <v>82</v>
      </c>
      <c r="C60" s="167">
        <v>59</v>
      </c>
      <c r="D60" s="167" t="s">
        <v>257</v>
      </c>
      <c r="E60" s="125" t="s">
        <v>10</v>
      </c>
      <c r="F60">
        <v>59</v>
      </c>
      <c r="G60">
        <v>6.5119757615412097E-2</v>
      </c>
      <c r="H60">
        <v>6.5503181189339996E-2</v>
      </c>
      <c r="I60" s="215">
        <v>8.4335073423612902E-3</v>
      </c>
      <c r="J60">
        <v>4.5448107872382397E-2</v>
      </c>
      <c r="K60">
        <v>8.6573950397305394E-2</v>
      </c>
      <c r="L60">
        <v>4.96142638351246E-2</v>
      </c>
      <c r="M60">
        <v>8.1518474922286005E-2</v>
      </c>
    </row>
    <row r="61" spans="1:13" x14ac:dyDescent="0.35">
      <c r="A61" s="214" t="s">
        <v>143</v>
      </c>
      <c r="B61" s="214" t="s">
        <v>82</v>
      </c>
      <c r="C61" s="167">
        <v>60</v>
      </c>
      <c r="D61" s="167" t="s">
        <v>257</v>
      </c>
      <c r="E61" s="125" t="s">
        <v>11</v>
      </c>
      <c r="F61">
        <v>60</v>
      </c>
      <c r="G61">
        <v>6.6046597061861306E-2</v>
      </c>
      <c r="H61">
        <v>6.6163758580923104E-2</v>
      </c>
      <c r="I61">
        <v>8.2537281597763693E-3</v>
      </c>
      <c r="J61">
        <v>4.5211923560168399E-2</v>
      </c>
      <c r="K61">
        <v>8.6316160194653394E-2</v>
      </c>
      <c r="L61">
        <v>5.03413275084734E-2</v>
      </c>
      <c r="M61">
        <v>8.1339272273108804E-2</v>
      </c>
    </row>
    <row r="62" spans="1:13" x14ac:dyDescent="0.35">
      <c r="A62" s="214" t="s">
        <v>143</v>
      </c>
      <c r="B62" s="214" t="s">
        <v>82</v>
      </c>
      <c r="C62" s="167">
        <v>61</v>
      </c>
      <c r="D62" s="167" t="s">
        <v>257</v>
      </c>
      <c r="E62" s="125" t="s">
        <v>12</v>
      </c>
      <c r="F62">
        <v>61</v>
      </c>
      <c r="G62">
        <v>6.2678530453273096E-2</v>
      </c>
      <c r="H62">
        <v>6.2605302213695702E-2</v>
      </c>
      <c r="I62">
        <v>7.5594846229903E-3</v>
      </c>
      <c r="J62">
        <v>4.3382699850401198E-2</v>
      </c>
      <c r="K62">
        <v>8.1697109303677698E-2</v>
      </c>
      <c r="L62">
        <v>4.8251370120647098E-2</v>
      </c>
      <c r="M62">
        <v>7.6606944226009901E-2</v>
      </c>
    </row>
    <row r="63" spans="1:13" x14ac:dyDescent="0.35">
      <c r="A63" s="214" t="s">
        <v>143</v>
      </c>
      <c r="B63" s="214" t="s">
        <v>82</v>
      </c>
      <c r="C63" s="167">
        <v>62</v>
      </c>
      <c r="D63" s="167" t="s">
        <v>257</v>
      </c>
      <c r="E63" s="125" t="s">
        <v>13</v>
      </c>
      <c r="F63">
        <v>62</v>
      </c>
      <c r="G63">
        <v>6.2684134042584494E-2</v>
      </c>
      <c r="H63">
        <v>6.2588779880144205E-2</v>
      </c>
      <c r="I63">
        <v>8.1545646149068698E-3</v>
      </c>
      <c r="J63">
        <v>4.4783042818622998E-2</v>
      </c>
      <c r="K63">
        <v>8.3282975916382507E-2</v>
      </c>
      <c r="L63">
        <v>4.7819235846387899E-2</v>
      </c>
      <c r="M63">
        <v>7.8066041564152699E-2</v>
      </c>
    </row>
    <row r="64" spans="1:13" x14ac:dyDescent="0.35">
      <c r="A64" s="214" t="s">
        <v>143</v>
      </c>
      <c r="B64" s="214" t="s">
        <v>82</v>
      </c>
      <c r="C64" s="167">
        <v>63</v>
      </c>
      <c r="D64" s="167" t="s">
        <v>257</v>
      </c>
      <c r="E64" s="125" t="s">
        <v>14</v>
      </c>
      <c r="F64">
        <v>63</v>
      </c>
      <c r="G64">
        <v>5.1397025080505102E-2</v>
      </c>
      <c r="H64">
        <v>5.1524685474900397E-2</v>
      </c>
      <c r="I64">
        <v>6.7502643545738596E-3</v>
      </c>
      <c r="J64">
        <v>3.6083749422836597E-2</v>
      </c>
      <c r="K64">
        <v>6.9663754630950106E-2</v>
      </c>
      <c r="L64">
        <v>3.9282953982343501E-2</v>
      </c>
      <c r="M64">
        <v>6.4062284489931703E-2</v>
      </c>
    </row>
    <row r="65" spans="1:13" x14ac:dyDescent="0.35">
      <c r="A65" s="214" t="s">
        <v>143</v>
      </c>
      <c r="B65" s="214" t="s">
        <v>82</v>
      </c>
      <c r="C65" s="167">
        <v>64</v>
      </c>
      <c r="D65" s="167" t="s">
        <v>257</v>
      </c>
      <c r="E65" s="125" t="s">
        <v>15</v>
      </c>
      <c r="F65">
        <v>64</v>
      </c>
      <c r="G65">
        <v>5.1763603165955699E-2</v>
      </c>
      <c r="H65">
        <v>5.16229285153098E-2</v>
      </c>
      <c r="I65">
        <v>6.7616003951959103E-3</v>
      </c>
      <c r="J65">
        <v>3.5579897432798602E-2</v>
      </c>
      <c r="K65">
        <v>6.7996723410683996E-2</v>
      </c>
      <c r="L65">
        <v>3.8697675672580097E-2</v>
      </c>
      <c r="M65">
        <v>6.4485415871836302E-2</v>
      </c>
    </row>
    <row r="66" spans="1:13" x14ac:dyDescent="0.35">
      <c r="A66" s="214" t="s">
        <v>143</v>
      </c>
      <c r="B66" s="214" t="s">
        <v>82</v>
      </c>
      <c r="C66" s="167">
        <v>65</v>
      </c>
      <c r="D66" s="167" t="s">
        <v>257</v>
      </c>
      <c r="E66" s="125" t="s">
        <v>16</v>
      </c>
      <c r="F66">
        <v>65</v>
      </c>
      <c r="G66">
        <v>4.2518354032993401E-2</v>
      </c>
      <c r="H66">
        <v>4.2313577700460202E-2</v>
      </c>
      <c r="I66">
        <v>5.3419531510567704E-3</v>
      </c>
      <c r="J66">
        <v>2.9277596998321099E-2</v>
      </c>
      <c r="K66">
        <v>5.37838688731333E-2</v>
      </c>
      <c r="L66">
        <v>3.1649055302158599E-2</v>
      </c>
      <c r="M66">
        <v>5.2179916118331802E-2</v>
      </c>
    </row>
    <row r="67" spans="1:13" x14ac:dyDescent="0.35">
      <c r="A67" s="214" t="s">
        <v>143</v>
      </c>
      <c r="B67" s="214" t="s">
        <v>82</v>
      </c>
      <c r="C67" s="167">
        <v>66</v>
      </c>
      <c r="D67" s="167" t="s">
        <v>257</v>
      </c>
      <c r="E67" s="125" t="s">
        <v>17</v>
      </c>
      <c r="F67">
        <v>66</v>
      </c>
      <c r="G67">
        <v>4.2273719343598803E-2</v>
      </c>
      <c r="H67">
        <v>4.2378418713107401E-2</v>
      </c>
      <c r="I67" s="215">
        <v>5.2502867552644203E-3</v>
      </c>
      <c r="J67">
        <v>2.9326993103941799E-2</v>
      </c>
      <c r="K67">
        <v>5.4321519243842702E-2</v>
      </c>
      <c r="L67">
        <v>3.2251009938544899E-2</v>
      </c>
      <c r="M67">
        <v>5.1974677056728702E-2</v>
      </c>
    </row>
    <row r="68" spans="1:13" x14ac:dyDescent="0.35">
      <c r="A68" s="214" t="s">
        <v>143</v>
      </c>
      <c r="B68" s="214" t="s">
        <v>82</v>
      </c>
      <c r="C68" s="167">
        <v>67</v>
      </c>
      <c r="D68" s="167" t="s">
        <v>257</v>
      </c>
      <c r="E68" s="125" t="s">
        <v>18</v>
      </c>
      <c r="F68">
        <v>67</v>
      </c>
      <c r="G68">
        <v>3.4350850313690402E-2</v>
      </c>
      <c r="H68">
        <v>3.4293296512545202E-2</v>
      </c>
      <c r="I68">
        <v>4.0626188924937296E-3</v>
      </c>
      <c r="J68">
        <v>2.4328256912919899E-2</v>
      </c>
      <c r="K68">
        <v>4.44190253923318E-2</v>
      </c>
      <c r="L68">
        <v>2.6652586435284599E-2</v>
      </c>
      <c r="M68">
        <v>4.21453607676524E-2</v>
      </c>
    </row>
    <row r="69" spans="1:13" x14ac:dyDescent="0.35">
      <c r="A69" s="214" t="s">
        <v>143</v>
      </c>
      <c r="B69" s="214" t="s">
        <v>82</v>
      </c>
      <c r="C69" s="167">
        <v>68</v>
      </c>
      <c r="D69" s="167" t="s">
        <v>257</v>
      </c>
      <c r="E69" s="125" t="s">
        <v>19</v>
      </c>
      <c r="F69">
        <v>68</v>
      </c>
      <c r="G69">
        <v>3.4147715116349897E-2</v>
      </c>
      <c r="H69">
        <v>3.4201217355618298E-2</v>
      </c>
      <c r="I69" s="215">
        <v>3.9857172095855101E-3</v>
      </c>
      <c r="J69">
        <v>2.4193546865367802E-2</v>
      </c>
      <c r="K69">
        <v>4.4543176689080997E-2</v>
      </c>
      <c r="L69">
        <v>2.66450775570088E-2</v>
      </c>
      <c r="M69">
        <v>4.2416356842831203E-2</v>
      </c>
    </row>
    <row r="70" spans="1:13" x14ac:dyDescent="0.35">
      <c r="A70" s="214" t="s">
        <v>143</v>
      </c>
      <c r="B70" s="214" t="s">
        <v>82</v>
      </c>
      <c r="C70" s="167">
        <v>69</v>
      </c>
      <c r="D70" s="167" t="s">
        <v>257</v>
      </c>
      <c r="E70" s="125" t="s">
        <v>20</v>
      </c>
      <c r="F70">
        <v>69</v>
      </c>
      <c r="G70">
        <v>2.52811633783654E-2</v>
      </c>
      <c r="H70">
        <v>2.5165276356210999E-2</v>
      </c>
      <c r="I70">
        <v>2.9231218685081299E-3</v>
      </c>
      <c r="J70">
        <v>1.79891570454596E-2</v>
      </c>
      <c r="K70">
        <v>3.2059548603823797E-2</v>
      </c>
      <c r="L70">
        <v>1.9596708086190202E-2</v>
      </c>
      <c r="M70">
        <v>3.0507923016120601E-2</v>
      </c>
    </row>
    <row r="71" spans="1:13" ht="15" thickBot="1" x14ac:dyDescent="0.4">
      <c r="A71" s="214" t="s">
        <v>143</v>
      </c>
      <c r="B71" s="214" t="s">
        <v>82</v>
      </c>
      <c r="C71" s="167">
        <v>70</v>
      </c>
      <c r="D71" s="167" t="s">
        <v>257</v>
      </c>
      <c r="E71" s="125" t="s">
        <v>279</v>
      </c>
      <c r="F71">
        <v>70</v>
      </c>
      <c r="G71">
        <v>2.4858763830503498E-2</v>
      </c>
      <c r="H71">
        <v>2.4923642741803399E-2</v>
      </c>
      <c r="I71">
        <v>2.9320086093881201E-3</v>
      </c>
      <c r="J71">
        <v>1.79466571723421E-2</v>
      </c>
      <c r="K71">
        <v>3.1712756919324202E-2</v>
      </c>
      <c r="L71">
        <v>1.9571099153347801E-2</v>
      </c>
      <c r="M71">
        <v>3.0571067345926999E-2</v>
      </c>
    </row>
    <row r="72" spans="1:13" x14ac:dyDescent="0.35">
      <c r="A72" s="214" t="s">
        <v>143</v>
      </c>
      <c r="B72" s="214" t="s">
        <v>82</v>
      </c>
      <c r="C72" s="167">
        <v>71</v>
      </c>
      <c r="D72" s="167" t="s">
        <v>256</v>
      </c>
      <c r="E72" s="178" t="s">
        <v>8</v>
      </c>
      <c r="F72">
        <v>71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1:13" x14ac:dyDescent="0.35">
      <c r="A73" s="214" t="s">
        <v>143</v>
      </c>
      <c r="B73" s="214" t="s">
        <v>82</v>
      </c>
      <c r="C73" s="167">
        <v>72</v>
      </c>
      <c r="D73" s="167" t="s">
        <v>256</v>
      </c>
      <c r="E73" s="125" t="s">
        <v>9</v>
      </c>
      <c r="F73">
        <v>72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1:13" x14ac:dyDescent="0.35">
      <c r="A74" s="214" t="s">
        <v>143</v>
      </c>
      <c r="B74" s="214" t="s">
        <v>82</v>
      </c>
      <c r="C74" s="167">
        <v>73</v>
      </c>
      <c r="D74" s="167" t="s">
        <v>256</v>
      </c>
      <c r="E74" s="125" t="s">
        <v>10</v>
      </c>
      <c r="F74">
        <v>73</v>
      </c>
      <c r="G74">
        <v>6.5793668685605905E-2</v>
      </c>
      <c r="H74">
        <v>6.5838744656930903E-2</v>
      </c>
      <c r="I74">
        <v>8.3299556753083006E-3</v>
      </c>
      <c r="J74">
        <v>4.5713650725789201E-2</v>
      </c>
      <c r="K74">
        <v>8.5094802003403594E-2</v>
      </c>
      <c r="L74">
        <v>4.9451024428408701E-2</v>
      </c>
      <c r="M74">
        <v>8.13512963548986E-2</v>
      </c>
    </row>
    <row r="75" spans="1:13" x14ac:dyDescent="0.35">
      <c r="A75" s="214" t="s">
        <v>143</v>
      </c>
      <c r="B75" s="214" t="s">
        <v>82</v>
      </c>
      <c r="C75" s="167">
        <v>74</v>
      </c>
      <c r="D75" s="167" t="s">
        <v>256</v>
      </c>
      <c r="E75" s="125" t="s">
        <v>11</v>
      </c>
      <c r="F75">
        <v>74</v>
      </c>
      <c r="G75">
        <v>6.5611180101500299E-2</v>
      </c>
      <c r="H75">
        <v>6.5533822059150301E-2</v>
      </c>
      <c r="I75">
        <v>8.5237284888446899E-3</v>
      </c>
      <c r="J75">
        <v>4.4593270103089097E-2</v>
      </c>
      <c r="K75">
        <v>8.5368072465875106E-2</v>
      </c>
      <c r="L75">
        <v>4.9797587975112703E-2</v>
      </c>
      <c r="M75">
        <v>8.1118688895515906E-2</v>
      </c>
    </row>
    <row r="76" spans="1:13" x14ac:dyDescent="0.35">
      <c r="A76" s="214" t="s">
        <v>143</v>
      </c>
      <c r="B76" s="214" t="s">
        <v>82</v>
      </c>
      <c r="C76" s="167">
        <v>75</v>
      </c>
      <c r="D76" s="167" t="s">
        <v>256</v>
      </c>
      <c r="E76" s="125" t="s">
        <v>12</v>
      </c>
      <c r="F76">
        <v>75</v>
      </c>
      <c r="G76">
        <v>6.2825326335391896E-2</v>
      </c>
      <c r="H76">
        <v>6.2915912848914499E-2</v>
      </c>
      <c r="I76">
        <v>7.8644200934362904E-3</v>
      </c>
      <c r="J76">
        <v>4.4790753648967598E-2</v>
      </c>
      <c r="K76">
        <v>8.0679923128626305E-2</v>
      </c>
      <c r="L76">
        <v>4.8025820571999799E-2</v>
      </c>
      <c r="M76">
        <v>7.7325279447803805E-2</v>
      </c>
    </row>
    <row r="77" spans="1:13" x14ac:dyDescent="0.35">
      <c r="A77" s="214" t="s">
        <v>143</v>
      </c>
      <c r="B77" s="214" t="s">
        <v>82</v>
      </c>
      <c r="C77" s="167">
        <v>76</v>
      </c>
      <c r="D77" s="167" t="s">
        <v>256</v>
      </c>
      <c r="E77" s="125" t="s">
        <v>13</v>
      </c>
      <c r="F77">
        <v>76</v>
      </c>
      <c r="G77">
        <v>6.19529996029278E-2</v>
      </c>
      <c r="H77">
        <v>6.2238216595312798E-2</v>
      </c>
      <c r="I77">
        <v>7.9144717729180605E-3</v>
      </c>
      <c r="J77">
        <v>4.4021175747541698E-2</v>
      </c>
      <c r="K77">
        <v>8.1329576468352094E-2</v>
      </c>
      <c r="L77">
        <v>4.8036434332174097E-2</v>
      </c>
      <c r="M77">
        <v>7.7401331309568999E-2</v>
      </c>
    </row>
    <row r="78" spans="1:13" x14ac:dyDescent="0.35">
      <c r="A78" s="214" t="s">
        <v>143</v>
      </c>
      <c r="B78" s="214" t="s">
        <v>82</v>
      </c>
      <c r="C78" s="167">
        <v>77</v>
      </c>
      <c r="D78" s="167" t="s">
        <v>256</v>
      </c>
      <c r="E78" s="125" t="s">
        <v>14</v>
      </c>
      <c r="F78">
        <v>77</v>
      </c>
      <c r="G78">
        <v>5.1372156803904397E-2</v>
      </c>
      <c r="H78">
        <v>5.1608693108670702E-2</v>
      </c>
      <c r="I78">
        <v>7.07248370101996E-3</v>
      </c>
      <c r="J78">
        <v>3.6464956335390597E-2</v>
      </c>
      <c r="K78">
        <v>6.8320842258787998E-2</v>
      </c>
      <c r="L78">
        <v>3.9011779190862503E-2</v>
      </c>
      <c r="M78">
        <v>6.5126662967562102E-2</v>
      </c>
    </row>
    <row r="79" spans="1:13" x14ac:dyDescent="0.35">
      <c r="A79" s="214" t="s">
        <v>143</v>
      </c>
      <c r="B79" s="214" t="s">
        <v>82</v>
      </c>
      <c r="C79" s="167">
        <v>78</v>
      </c>
      <c r="D79" s="167" t="s">
        <v>256</v>
      </c>
      <c r="E79" s="125" t="s">
        <v>15</v>
      </c>
      <c r="F79">
        <v>78</v>
      </c>
      <c r="G79">
        <v>5.1479046673811799E-2</v>
      </c>
      <c r="H79">
        <v>5.1569455788400297E-2</v>
      </c>
      <c r="I79">
        <v>6.5937496668990398E-3</v>
      </c>
      <c r="J79">
        <v>3.5635658786475698E-2</v>
      </c>
      <c r="K79">
        <v>6.8955886060534696E-2</v>
      </c>
      <c r="L79">
        <v>3.9852248930148299E-2</v>
      </c>
      <c r="M79">
        <v>6.4173999944531504E-2</v>
      </c>
    </row>
    <row r="80" spans="1:13" x14ac:dyDescent="0.35">
      <c r="A80" s="214" t="s">
        <v>143</v>
      </c>
      <c r="B80" s="214" t="s">
        <v>82</v>
      </c>
      <c r="C80" s="167">
        <v>79</v>
      </c>
      <c r="D80" s="167" t="s">
        <v>256</v>
      </c>
      <c r="E80" s="125" t="s">
        <v>16</v>
      </c>
      <c r="F80">
        <v>79</v>
      </c>
      <c r="G80">
        <v>4.2126082019856799E-2</v>
      </c>
      <c r="H80">
        <v>4.2107349626555601E-2</v>
      </c>
      <c r="I80">
        <v>5.3481638215267403E-3</v>
      </c>
      <c r="J80">
        <v>2.9315633179682499E-2</v>
      </c>
      <c r="K80">
        <v>5.4795608099448702E-2</v>
      </c>
      <c r="L80">
        <v>3.2334480574914302E-2</v>
      </c>
      <c r="M80">
        <v>5.2569488519448197E-2</v>
      </c>
    </row>
    <row r="81" spans="1:13" x14ac:dyDescent="0.35">
      <c r="A81" s="214" t="s">
        <v>143</v>
      </c>
      <c r="B81" s="214" t="s">
        <v>82</v>
      </c>
      <c r="C81" s="167">
        <v>80</v>
      </c>
      <c r="D81" s="167" t="s">
        <v>256</v>
      </c>
      <c r="E81" s="125" t="s">
        <v>17</v>
      </c>
      <c r="F81">
        <v>80</v>
      </c>
      <c r="G81">
        <v>4.2591365681135203E-2</v>
      </c>
      <c r="H81">
        <v>4.2560517463798797E-2</v>
      </c>
      <c r="I81">
        <v>5.2529451812888097E-3</v>
      </c>
      <c r="J81">
        <v>2.96894094001337E-2</v>
      </c>
      <c r="K81">
        <v>5.4618221919380802E-2</v>
      </c>
      <c r="L81">
        <v>3.25873310429639E-2</v>
      </c>
      <c r="M81">
        <v>5.1926775283559101E-2</v>
      </c>
    </row>
    <row r="82" spans="1:13" x14ac:dyDescent="0.35">
      <c r="A82" s="214" t="s">
        <v>143</v>
      </c>
      <c r="B82" s="214" t="s">
        <v>82</v>
      </c>
      <c r="C82" s="167">
        <v>81</v>
      </c>
      <c r="D82" s="167" t="s">
        <v>256</v>
      </c>
      <c r="E82" s="125" t="s">
        <v>18</v>
      </c>
      <c r="F82">
        <v>81</v>
      </c>
      <c r="G82">
        <v>3.4329798047440303E-2</v>
      </c>
      <c r="H82">
        <v>3.4362173271187298E-2</v>
      </c>
      <c r="I82">
        <v>4.2203215199042897E-3</v>
      </c>
      <c r="J82">
        <v>2.3996058409591601E-2</v>
      </c>
      <c r="K82">
        <v>4.4233945456040598E-2</v>
      </c>
      <c r="L82">
        <v>2.63612905570366E-2</v>
      </c>
      <c r="M82">
        <v>4.2091380726118101E-2</v>
      </c>
    </row>
    <row r="83" spans="1:13" x14ac:dyDescent="0.35">
      <c r="A83" s="214" t="s">
        <v>143</v>
      </c>
      <c r="B83" s="214" t="s">
        <v>82</v>
      </c>
      <c r="C83" s="167">
        <v>82</v>
      </c>
      <c r="D83" s="167" t="s">
        <v>256</v>
      </c>
      <c r="E83" s="125" t="s">
        <v>19</v>
      </c>
      <c r="F83">
        <v>82</v>
      </c>
      <c r="G83">
        <v>3.42091164467535E-2</v>
      </c>
      <c r="H83">
        <v>3.4320265604141198E-2</v>
      </c>
      <c r="I83">
        <v>3.9104543781129297E-3</v>
      </c>
      <c r="J83">
        <v>2.4545375862221101E-2</v>
      </c>
      <c r="K83">
        <v>4.4769590824207901E-2</v>
      </c>
      <c r="L83">
        <v>2.6802355199778999E-2</v>
      </c>
      <c r="M83">
        <v>4.1781105584680102E-2</v>
      </c>
    </row>
    <row r="84" spans="1:13" x14ac:dyDescent="0.35">
      <c r="A84" s="214" t="s">
        <v>143</v>
      </c>
      <c r="B84" s="214" t="s">
        <v>82</v>
      </c>
      <c r="C84" s="167">
        <v>83</v>
      </c>
      <c r="D84" s="167" t="s">
        <v>256</v>
      </c>
      <c r="E84" s="125" t="s">
        <v>20</v>
      </c>
      <c r="F84">
        <v>83</v>
      </c>
      <c r="G84">
        <v>2.5226735372776199E-2</v>
      </c>
      <c r="H84">
        <v>2.5177299460058099E-2</v>
      </c>
      <c r="I84">
        <v>2.9360059390380901E-3</v>
      </c>
      <c r="J84">
        <v>1.83790943182922E-2</v>
      </c>
      <c r="K84">
        <v>3.2311088862659799E-2</v>
      </c>
      <c r="L84">
        <v>1.9793819065070599E-2</v>
      </c>
      <c r="M84">
        <v>3.0872739024911298E-2</v>
      </c>
    </row>
    <row r="85" spans="1:13" ht="15" thickBot="1" x14ac:dyDescent="0.4">
      <c r="A85" s="214" t="s">
        <v>143</v>
      </c>
      <c r="B85" s="214" t="s">
        <v>82</v>
      </c>
      <c r="C85" s="167">
        <v>84</v>
      </c>
      <c r="D85" s="167" t="s">
        <v>256</v>
      </c>
      <c r="E85" s="125" t="s">
        <v>279</v>
      </c>
      <c r="F85">
        <v>84</v>
      </c>
      <c r="G85">
        <v>2.49181041763747E-2</v>
      </c>
      <c r="H85">
        <v>2.4987048062472001E-2</v>
      </c>
      <c r="I85">
        <v>2.9640442868431602E-3</v>
      </c>
      <c r="J85">
        <v>1.7662024908560801E-2</v>
      </c>
      <c r="K85">
        <v>3.2135382660027002E-2</v>
      </c>
      <c r="L85">
        <v>1.9311442004310099E-2</v>
      </c>
      <c r="M85">
        <v>3.0540386611781E-2</v>
      </c>
    </row>
    <row r="86" spans="1:13" x14ac:dyDescent="0.35">
      <c r="A86" s="212" t="s">
        <v>144</v>
      </c>
      <c r="B86" s="212" t="s">
        <v>82</v>
      </c>
      <c r="C86" s="167">
        <v>85</v>
      </c>
      <c r="D86" s="167" t="s">
        <v>257</v>
      </c>
      <c r="E86" s="178" t="s">
        <v>8</v>
      </c>
      <c r="F86">
        <v>85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 x14ac:dyDescent="0.35">
      <c r="A87" s="212" t="s">
        <v>144</v>
      </c>
      <c r="B87" s="212" t="s">
        <v>82</v>
      </c>
      <c r="C87" s="167">
        <v>86</v>
      </c>
      <c r="D87" s="167" t="s">
        <v>257</v>
      </c>
      <c r="E87" s="125" t="s">
        <v>9</v>
      </c>
      <c r="F87">
        <v>86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35">
      <c r="A88" s="212" t="s">
        <v>144</v>
      </c>
      <c r="B88" s="212" t="s">
        <v>82</v>
      </c>
      <c r="C88" s="167">
        <v>87</v>
      </c>
      <c r="D88" s="167" t="s">
        <v>257</v>
      </c>
      <c r="E88" s="125" t="s">
        <v>10</v>
      </c>
      <c r="F88">
        <v>87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35">
      <c r="A89" s="212" t="s">
        <v>144</v>
      </c>
      <c r="B89" s="212" t="s">
        <v>82</v>
      </c>
      <c r="C89" s="167">
        <v>88</v>
      </c>
      <c r="D89" s="167" t="s">
        <v>257</v>
      </c>
      <c r="E89" s="125" t="s">
        <v>11</v>
      </c>
      <c r="F89">
        <v>88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 x14ac:dyDescent="0.35">
      <c r="A90" s="212" t="s">
        <v>144</v>
      </c>
      <c r="B90" s="212" t="s">
        <v>82</v>
      </c>
      <c r="C90" s="167">
        <v>89</v>
      </c>
      <c r="D90" s="167" t="s">
        <v>257</v>
      </c>
      <c r="E90" s="125" t="s">
        <v>12</v>
      </c>
      <c r="F90">
        <v>89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35">
      <c r="A91" s="212" t="s">
        <v>144</v>
      </c>
      <c r="B91" s="212" t="s">
        <v>82</v>
      </c>
      <c r="C91" s="167">
        <v>90</v>
      </c>
      <c r="D91" s="167" t="s">
        <v>257</v>
      </c>
      <c r="E91" s="125" t="s">
        <v>13</v>
      </c>
      <c r="F91">
        <v>90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 x14ac:dyDescent="0.35">
      <c r="A92" s="212" t="s">
        <v>144</v>
      </c>
      <c r="B92" s="212" t="s">
        <v>82</v>
      </c>
      <c r="C92" s="167">
        <v>91</v>
      </c>
      <c r="D92" s="167" t="s">
        <v>257</v>
      </c>
      <c r="E92" s="125" t="s">
        <v>14</v>
      </c>
      <c r="F92">
        <v>91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35">
      <c r="A93" s="212" t="s">
        <v>144</v>
      </c>
      <c r="B93" s="212" t="s">
        <v>82</v>
      </c>
      <c r="C93" s="167">
        <v>92</v>
      </c>
      <c r="D93" s="167" t="s">
        <v>257</v>
      </c>
      <c r="E93" s="125" t="s">
        <v>15</v>
      </c>
      <c r="F93">
        <v>92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35">
      <c r="A94" s="212" t="s">
        <v>144</v>
      </c>
      <c r="B94" s="212" t="s">
        <v>82</v>
      </c>
      <c r="C94" s="167">
        <v>93</v>
      </c>
      <c r="D94" s="167" t="s">
        <v>257</v>
      </c>
      <c r="E94" s="125" t="s">
        <v>16</v>
      </c>
      <c r="F94">
        <v>93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35">
      <c r="A95" s="212" t="s">
        <v>144</v>
      </c>
      <c r="B95" s="212" t="s">
        <v>82</v>
      </c>
      <c r="C95" s="167">
        <v>94</v>
      </c>
      <c r="D95" s="167" t="s">
        <v>257</v>
      </c>
      <c r="E95" s="125" t="s">
        <v>17</v>
      </c>
      <c r="F95">
        <v>94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35">
      <c r="A96" s="212" t="s">
        <v>144</v>
      </c>
      <c r="B96" s="212" t="s">
        <v>82</v>
      </c>
      <c r="C96" s="167">
        <v>95</v>
      </c>
      <c r="D96" s="167" t="s">
        <v>257</v>
      </c>
      <c r="E96" s="125" t="s">
        <v>18</v>
      </c>
      <c r="F96">
        <v>95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 x14ac:dyDescent="0.35">
      <c r="A97" s="212" t="s">
        <v>144</v>
      </c>
      <c r="B97" s="212" t="s">
        <v>82</v>
      </c>
      <c r="C97" s="167">
        <v>96</v>
      </c>
      <c r="D97" s="167" t="s">
        <v>257</v>
      </c>
      <c r="E97" s="125" t="s">
        <v>19</v>
      </c>
      <c r="F97">
        <v>96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 x14ac:dyDescent="0.35">
      <c r="A98" s="212" t="s">
        <v>144</v>
      </c>
      <c r="B98" s="212" t="s">
        <v>82</v>
      </c>
      <c r="C98" s="167">
        <v>97</v>
      </c>
      <c r="D98" s="167" t="s">
        <v>257</v>
      </c>
      <c r="E98" s="125" t="s">
        <v>20</v>
      </c>
      <c r="F98">
        <v>97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ht="15" thickBot="1" x14ac:dyDescent="0.4">
      <c r="A99" s="212" t="s">
        <v>144</v>
      </c>
      <c r="B99" s="212" t="s">
        <v>82</v>
      </c>
      <c r="C99" s="167">
        <v>98</v>
      </c>
      <c r="D99" s="167" t="s">
        <v>257</v>
      </c>
      <c r="E99" s="125" t="s">
        <v>279</v>
      </c>
      <c r="F99">
        <v>98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 x14ac:dyDescent="0.35">
      <c r="A100" s="212" t="s">
        <v>144</v>
      </c>
      <c r="B100" s="212" t="s">
        <v>82</v>
      </c>
      <c r="C100" s="167">
        <v>99</v>
      </c>
      <c r="D100" s="167" t="s">
        <v>256</v>
      </c>
      <c r="E100" s="178" t="s">
        <v>8</v>
      </c>
      <c r="F100">
        <v>99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35">
      <c r="A101" s="212" t="s">
        <v>144</v>
      </c>
      <c r="B101" s="212" t="s">
        <v>82</v>
      </c>
      <c r="C101" s="167">
        <v>100</v>
      </c>
      <c r="D101" s="167" t="s">
        <v>256</v>
      </c>
      <c r="E101" s="125" t="s">
        <v>9</v>
      </c>
      <c r="F101">
        <v>100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35">
      <c r="A102" s="212" t="s">
        <v>144</v>
      </c>
      <c r="B102" s="212" t="s">
        <v>82</v>
      </c>
      <c r="C102" s="167">
        <v>101</v>
      </c>
      <c r="D102" s="167" t="s">
        <v>256</v>
      </c>
      <c r="E102" s="125" t="s">
        <v>10</v>
      </c>
      <c r="F102">
        <v>101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35">
      <c r="A103" s="212" t="s">
        <v>144</v>
      </c>
      <c r="B103" s="212" t="s">
        <v>82</v>
      </c>
      <c r="C103" s="167">
        <v>102</v>
      </c>
      <c r="D103" s="167" t="s">
        <v>256</v>
      </c>
      <c r="E103" s="125" t="s">
        <v>11</v>
      </c>
      <c r="F103">
        <v>102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35">
      <c r="A104" s="212" t="s">
        <v>144</v>
      </c>
      <c r="B104" s="212" t="s">
        <v>82</v>
      </c>
      <c r="C104" s="167">
        <v>103</v>
      </c>
      <c r="D104" s="167" t="s">
        <v>256</v>
      </c>
      <c r="E104" s="125" t="s">
        <v>12</v>
      </c>
      <c r="F104">
        <v>103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1:13" x14ac:dyDescent="0.35">
      <c r="A105" s="212" t="s">
        <v>144</v>
      </c>
      <c r="B105" s="212" t="s">
        <v>82</v>
      </c>
      <c r="C105" s="167">
        <v>104</v>
      </c>
      <c r="D105" s="167" t="s">
        <v>256</v>
      </c>
      <c r="E105" s="125" t="s">
        <v>13</v>
      </c>
      <c r="F105">
        <v>104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1:13" x14ac:dyDescent="0.35">
      <c r="A106" s="212" t="s">
        <v>144</v>
      </c>
      <c r="B106" s="212" t="s">
        <v>82</v>
      </c>
      <c r="C106" s="167">
        <v>105</v>
      </c>
      <c r="D106" s="167" t="s">
        <v>256</v>
      </c>
      <c r="E106" s="125" t="s">
        <v>14</v>
      </c>
      <c r="F106">
        <v>105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35">
      <c r="A107" s="212" t="s">
        <v>144</v>
      </c>
      <c r="B107" s="212" t="s">
        <v>82</v>
      </c>
      <c r="C107" s="167">
        <v>106</v>
      </c>
      <c r="D107" s="167" t="s">
        <v>256</v>
      </c>
      <c r="E107" s="125" t="s">
        <v>15</v>
      </c>
      <c r="F107">
        <v>106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1:13" x14ac:dyDescent="0.35">
      <c r="A108" s="212" t="s">
        <v>144</v>
      </c>
      <c r="B108" s="212" t="s">
        <v>82</v>
      </c>
      <c r="C108" s="167">
        <v>107</v>
      </c>
      <c r="D108" s="167" t="s">
        <v>256</v>
      </c>
      <c r="E108" s="125" t="s">
        <v>16</v>
      </c>
      <c r="F108">
        <v>107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1:13" x14ac:dyDescent="0.35">
      <c r="A109" s="212" t="s">
        <v>144</v>
      </c>
      <c r="B109" s="212" t="s">
        <v>82</v>
      </c>
      <c r="C109" s="167">
        <v>108</v>
      </c>
      <c r="D109" s="167" t="s">
        <v>256</v>
      </c>
      <c r="E109" s="125" t="s">
        <v>17</v>
      </c>
      <c r="F109">
        <v>108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35">
      <c r="A110" s="212" t="s">
        <v>144</v>
      </c>
      <c r="B110" s="212" t="s">
        <v>82</v>
      </c>
      <c r="C110" s="167">
        <v>109</v>
      </c>
      <c r="D110" s="167" t="s">
        <v>256</v>
      </c>
      <c r="E110" s="125" t="s">
        <v>18</v>
      </c>
      <c r="F110">
        <v>109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35">
      <c r="A111" s="212" t="s">
        <v>144</v>
      </c>
      <c r="B111" s="212" t="s">
        <v>82</v>
      </c>
      <c r="C111" s="167">
        <v>110</v>
      </c>
      <c r="D111" s="167" t="s">
        <v>256</v>
      </c>
      <c r="E111" s="125" t="s">
        <v>19</v>
      </c>
      <c r="F111">
        <v>110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1:13" x14ac:dyDescent="0.35">
      <c r="A112" s="212" t="s">
        <v>144</v>
      </c>
      <c r="B112" s="212" t="s">
        <v>82</v>
      </c>
      <c r="C112" s="167">
        <v>111</v>
      </c>
      <c r="D112" s="167" t="s">
        <v>256</v>
      </c>
      <c r="E112" s="125" t="s">
        <v>20</v>
      </c>
      <c r="F112">
        <v>111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 x14ac:dyDescent="0.35">
      <c r="A113" s="212" t="s">
        <v>144</v>
      </c>
      <c r="B113" s="212" t="s">
        <v>82</v>
      </c>
      <c r="C113" s="167">
        <v>112</v>
      </c>
      <c r="D113" s="167" t="s">
        <v>256</v>
      </c>
      <c r="E113" s="125" t="s">
        <v>279</v>
      </c>
      <c r="F113">
        <v>112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4EF1E-D8E7-40F1-86D2-FA458023A597}">
  <dimension ref="A1:G113"/>
  <sheetViews>
    <sheetView workbookViewId="0">
      <selection activeCell="G62" sqref="G62"/>
    </sheetView>
  </sheetViews>
  <sheetFormatPr defaultRowHeight="14.5" x14ac:dyDescent="0.35"/>
  <cols>
    <col min="1" max="2" width="8.7265625" customWidth="1"/>
  </cols>
  <sheetData>
    <row r="1" spans="1:7" ht="15" thickBot="1" x14ac:dyDescent="0.4">
      <c r="A1" s="77"/>
      <c r="B1" s="77"/>
      <c r="C1" s="77" t="s">
        <v>285</v>
      </c>
      <c r="D1" s="77" t="s">
        <v>286</v>
      </c>
      <c r="E1" s="77" t="s">
        <v>287</v>
      </c>
      <c r="F1" s="77"/>
      <c r="G1" t="s">
        <v>153</v>
      </c>
    </row>
    <row r="2" spans="1:7" x14ac:dyDescent="0.35">
      <c r="A2" s="212" t="s">
        <v>143</v>
      </c>
      <c r="B2" s="212" t="s">
        <v>24</v>
      </c>
      <c r="C2" s="167">
        <v>1</v>
      </c>
      <c r="D2" s="167" t="s">
        <v>257</v>
      </c>
      <c r="E2" s="178" t="s">
        <v>8</v>
      </c>
      <c r="F2" s="213"/>
      <c r="G2">
        <f ca="1">_xll.ErOutput("1",'PAR CHD'!AA71)</f>
        <v>-4.7175623112927594E-12</v>
      </c>
    </row>
    <row r="3" spans="1:7" x14ac:dyDescent="0.35">
      <c r="A3" s="212" t="s">
        <v>143</v>
      </c>
      <c r="B3" s="212" t="s">
        <v>24</v>
      </c>
      <c r="C3" s="167">
        <v>2</v>
      </c>
      <c r="D3" s="167" t="s">
        <v>257</v>
      </c>
      <c r="E3" s="125" t="s">
        <v>9</v>
      </c>
      <c r="F3" s="213"/>
      <c r="G3">
        <f ca="1">_xll.ErOutput("2",'PAR CHD'!AA72)</f>
        <v>-4.7175623112927594E-12</v>
      </c>
    </row>
    <row r="4" spans="1:7" x14ac:dyDescent="0.35">
      <c r="A4" s="212" t="s">
        <v>143</v>
      </c>
      <c r="B4" s="212" t="s">
        <v>24</v>
      </c>
      <c r="C4" s="167">
        <v>3</v>
      </c>
      <c r="D4" s="167" t="s">
        <v>257</v>
      </c>
      <c r="E4" s="125" t="s">
        <v>10</v>
      </c>
      <c r="F4" s="213"/>
      <c r="G4">
        <f ca="1">_xll.ErOutput("3",'PAR CHD'!AA73)</f>
        <v>0.11611222892856138</v>
      </c>
    </row>
    <row r="5" spans="1:7" x14ac:dyDescent="0.35">
      <c r="A5" s="212" t="s">
        <v>143</v>
      </c>
      <c r="B5" s="212" t="s">
        <v>24</v>
      </c>
      <c r="C5" s="167">
        <v>4</v>
      </c>
      <c r="D5" s="167" t="s">
        <v>257</v>
      </c>
      <c r="E5" s="125" t="s">
        <v>11</v>
      </c>
      <c r="F5" s="213"/>
      <c r="G5">
        <f ca="1">_xll.ErOutput("4",'PAR CHD'!AA74)</f>
        <v>0.11611222892856138</v>
      </c>
    </row>
    <row r="6" spans="1:7" x14ac:dyDescent="0.35">
      <c r="A6" s="212" t="s">
        <v>143</v>
      </c>
      <c r="B6" s="212" t="s">
        <v>24</v>
      </c>
      <c r="C6" s="167">
        <v>5</v>
      </c>
      <c r="D6" s="167" t="s">
        <v>257</v>
      </c>
      <c r="E6" s="125" t="s">
        <v>12</v>
      </c>
      <c r="F6" s="213"/>
      <c r="G6">
        <f ca="1">_xll.ErOutput("5",'PAR CHD'!AA75)</f>
        <v>0.11121917087873075</v>
      </c>
    </row>
    <row r="7" spans="1:7" x14ac:dyDescent="0.35">
      <c r="A7" s="212" t="s">
        <v>143</v>
      </c>
      <c r="B7" s="212" t="s">
        <v>24</v>
      </c>
      <c r="C7" s="167">
        <v>6</v>
      </c>
      <c r="D7" s="167" t="s">
        <v>257</v>
      </c>
      <c r="E7" s="125" t="s">
        <v>13</v>
      </c>
      <c r="F7" s="213"/>
      <c r="G7">
        <f ca="1">_xll.ErOutput("6",'PAR CHD'!AA76)</f>
        <v>0.11121917087873075</v>
      </c>
    </row>
    <row r="8" spans="1:7" x14ac:dyDescent="0.35">
      <c r="A8" s="212" t="s">
        <v>143</v>
      </c>
      <c r="B8" s="212" t="s">
        <v>24</v>
      </c>
      <c r="C8" s="167">
        <v>7</v>
      </c>
      <c r="D8" s="167" t="s">
        <v>257</v>
      </c>
      <c r="E8" s="125" t="s">
        <v>14</v>
      </c>
      <c r="F8" s="213"/>
      <c r="G8">
        <f ca="1">_xll.ErOutput("7",'PAR CHD'!AA77)</f>
        <v>9.3681998665836097E-2</v>
      </c>
    </row>
    <row r="9" spans="1:7" x14ac:dyDescent="0.35">
      <c r="A9" s="212" t="s">
        <v>143</v>
      </c>
      <c r="B9" s="212" t="s">
        <v>24</v>
      </c>
      <c r="C9" s="167">
        <v>8</v>
      </c>
      <c r="D9" s="167" t="s">
        <v>257</v>
      </c>
      <c r="E9" s="125" t="s">
        <v>15</v>
      </c>
      <c r="F9" s="213"/>
      <c r="G9">
        <f ca="1">_xll.ErOutput("8",'PAR CHD'!AA78)</f>
        <v>9.3681998665836097E-2</v>
      </c>
    </row>
    <row r="10" spans="1:7" x14ac:dyDescent="0.35">
      <c r="A10" s="212" t="s">
        <v>143</v>
      </c>
      <c r="B10" s="212" t="s">
        <v>24</v>
      </c>
      <c r="C10" s="167">
        <v>9</v>
      </c>
      <c r="D10" s="167" t="s">
        <v>257</v>
      </c>
      <c r="E10" s="125" t="s">
        <v>16</v>
      </c>
      <c r="F10" s="213"/>
      <c r="G10">
        <f ca="1">_xll.ErOutput("9",'PAR CHD'!AA79)</f>
        <v>7.7666877079902719E-2</v>
      </c>
    </row>
    <row r="11" spans="1:7" x14ac:dyDescent="0.35">
      <c r="A11" s="212" t="s">
        <v>143</v>
      </c>
      <c r="B11" s="212" t="s">
        <v>24</v>
      </c>
      <c r="C11" s="167">
        <v>10</v>
      </c>
      <c r="D11" s="167" t="s">
        <v>257</v>
      </c>
      <c r="E11" s="125" t="s">
        <v>17</v>
      </c>
      <c r="F11" s="213"/>
      <c r="G11">
        <f ca="1">_xll.ErOutput("10",'PAR CHD'!AA80)</f>
        <v>7.7666877079902719E-2</v>
      </c>
    </row>
    <row r="12" spans="1:7" x14ac:dyDescent="0.35">
      <c r="A12" s="212" t="s">
        <v>143</v>
      </c>
      <c r="B12" s="212" t="s">
        <v>24</v>
      </c>
      <c r="C12" s="167">
        <v>11</v>
      </c>
      <c r="D12" s="167" t="s">
        <v>257</v>
      </c>
      <c r="E12" s="125" t="s">
        <v>18</v>
      </c>
      <c r="F12" s="213"/>
      <c r="G12">
        <f ca="1">_xll.ErOutput("11",'PAR CHD'!AA81)</f>
        <v>6.4260277299664811E-2</v>
      </c>
    </row>
    <row r="13" spans="1:7" x14ac:dyDescent="0.35">
      <c r="A13" s="212" t="s">
        <v>143</v>
      </c>
      <c r="B13" s="212" t="s">
        <v>24</v>
      </c>
      <c r="C13" s="167">
        <v>12</v>
      </c>
      <c r="D13" s="167" t="s">
        <v>257</v>
      </c>
      <c r="E13" s="125" t="s">
        <v>19</v>
      </c>
      <c r="F13" s="213"/>
      <c r="G13">
        <f ca="1">_xll.ErOutput("12",'PAR CHD'!AA82)</f>
        <v>6.4260277299664811E-2</v>
      </c>
    </row>
    <row r="14" spans="1:7" x14ac:dyDescent="0.35">
      <c r="A14" s="212" t="s">
        <v>143</v>
      </c>
      <c r="B14" s="212" t="s">
        <v>24</v>
      </c>
      <c r="C14" s="167">
        <v>13</v>
      </c>
      <c r="D14" s="167" t="s">
        <v>257</v>
      </c>
      <c r="E14" s="125" t="s">
        <v>20</v>
      </c>
      <c r="F14" s="213"/>
      <c r="G14">
        <f ca="1">_xll.ErOutput("13",'PAR CHD'!AA83)</f>
        <v>4.7633148699186771E-2</v>
      </c>
    </row>
    <row r="15" spans="1:7" ht="15" thickBot="1" x14ac:dyDescent="0.4">
      <c r="A15" s="212" t="s">
        <v>143</v>
      </c>
      <c r="B15" s="212" t="s">
        <v>24</v>
      </c>
      <c r="C15" s="167">
        <v>14</v>
      </c>
      <c r="D15" s="167" t="s">
        <v>257</v>
      </c>
      <c r="E15" s="125" t="s">
        <v>279</v>
      </c>
      <c r="F15" s="213"/>
      <c r="G15">
        <f ca="1">_xll.ErOutput("14",'PAR CHD'!AA84)</f>
        <v>4.7633148699186771E-2</v>
      </c>
    </row>
    <row r="16" spans="1:7" x14ac:dyDescent="0.35">
      <c r="A16" s="212" t="s">
        <v>143</v>
      </c>
      <c r="B16" s="212" t="s">
        <v>24</v>
      </c>
      <c r="C16" s="167">
        <v>15</v>
      </c>
      <c r="D16" s="167" t="s">
        <v>256</v>
      </c>
      <c r="E16" s="178" t="s">
        <v>8</v>
      </c>
      <c r="F16" s="213"/>
      <c r="G16">
        <f ca="1">_xll.ErOutput("15",'PAR CHD'!AA86)</f>
        <v>-4.7175623112927594E-12</v>
      </c>
    </row>
    <row r="17" spans="1:7" x14ac:dyDescent="0.35">
      <c r="A17" s="212" t="s">
        <v>143</v>
      </c>
      <c r="B17" s="212" t="s">
        <v>24</v>
      </c>
      <c r="C17" s="167">
        <v>16</v>
      </c>
      <c r="D17" s="167" t="s">
        <v>256</v>
      </c>
      <c r="E17" s="125" t="s">
        <v>9</v>
      </c>
      <c r="F17" s="213"/>
      <c r="G17">
        <f ca="1">_xll.ErOutput("16",'PAR CHD'!AA87)</f>
        <v>-4.7175623112927594E-12</v>
      </c>
    </row>
    <row r="18" spans="1:7" x14ac:dyDescent="0.35">
      <c r="A18" s="212" t="s">
        <v>143</v>
      </c>
      <c r="B18" s="212" t="s">
        <v>24</v>
      </c>
      <c r="C18" s="167">
        <v>17</v>
      </c>
      <c r="D18" s="167" t="s">
        <v>256</v>
      </c>
      <c r="E18" s="125" t="s">
        <v>10</v>
      </c>
      <c r="F18" s="213"/>
      <c r="G18">
        <f ca="1">_xll.ErOutput("17",'PAR CHD'!AA88)</f>
        <v>0.11611222892856138</v>
      </c>
    </row>
    <row r="19" spans="1:7" x14ac:dyDescent="0.35">
      <c r="A19" s="212" t="s">
        <v>143</v>
      </c>
      <c r="B19" s="212" t="s">
        <v>24</v>
      </c>
      <c r="C19" s="167">
        <v>18</v>
      </c>
      <c r="D19" s="167" t="s">
        <v>256</v>
      </c>
      <c r="E19" s="125" t="s">
        <v>11</v>
      </c>
      <c r="F19" s="213"/>
      <c r="G19">
        <f ca="1">_xll.ErOutput("18",'PAR CHD'!AA89)</f>
        <v>0.11611222892856138</v>
      </c>
    </row>
    <row r="20" spans="1:7" x14ac:dyDescent="0.35">
      <c r="A20" s="212" t="s">
        <v>143</v>
      </c>
      <c r="B20" s="212" t="s">
        <v>24</v>
      </c>
      <c r="C20" s="167">
        <v>19</v>
      </c>
      <c r="D20" s="167" t="s">
        <v>256</v>
      </c>
      <c r="E20" s="125" t="s">
        <v>12</v>
      </c>
      <c r="F20" s="213"/>
      <c r="G20">
        <f ca="1">_xll.ErOutput("19",'PAR CHD'!AA90)</f>
        <v>0.11121917087873075</v>
      </c>
    </row>
    <row r="21" spans="1:7" x14ac:dyDescent="0.35">
      <c r="A21" s="212" t="s">
        <v>143</v>
      </c>
      <c r="B21" s="212" t="s">
        <v>24</v>
      </c>
      <c r="C21" s="167">
        <v>20</v>
      </c>
      <c r="D21" s="167" t="s">
        <v>256</v>
      </c>
      <c r="E21" s="125" t="s">
        <v>13</v>
      </c>
      <c r="F21" s="213"/>
      <c r="G21">
        <f ca="1">_xll.ErOutput("20",'PAR CHD'!AA91)</f>
        <v>0.11121917087873075</v>
      </c>
    </row>
    <row r="22" spans="1:7" x14ac:dyDescent="0.35">
      <c r="A22" s="212" t="s">
        <v>143</v>
      </c>
      <c r="B22" s="212" t="s">
        <v>24</v>
      </c>
      <c r="C22" s="167">
        <v>21</v>
      </c>
      <c r="D22" s="167" t="s">
        <v>256</v>
      </c>
      <c r="E22" s="125" t="s">
        <v>14</v>
      </c>
      <c r="F22" s="213"/>
      <c r="G22">
        <f ca="1">_xll.ErOutput("21",'PAR CHD'!AA92)</f>
        <v>9.3681998665836097E-2</v>
      </c>
    </row>
    <row r="23" spans="1:7" x14ac:dyDescent="0.35">
      <c r="A23" s="212" t="s">
        <v>143</v>
      </c>
      <c r="B23" s="212" t="s">
        <v>24</v>
      </c>
      <c r="C23" s="167">
        <v>22</v>
      </c>
      <c r="D23" s="167" t="s">
        <v>256</v>
      </c>
      <c r="E23" s="125" t="s">
        <v>15</v>
      </c>
      <c r="F23" s="213"/>
      <c r="G23">
        <f ca="1">_xll.ErOutput("22",'PAR CHD'!AA93)</f>
        <v>9.3681998665836097E-2</v>
      </c>
    </row>
    <row r="24" spans="1:7" x14ac:dyDescent="0.35">
      <c r="A24" s="212" t="s">
        <v>143</v>
      </c>
      <c r="B24" s="212" t="s">
        <v>24</v>
      </c>
      <c r="C24" s="167">
        <v>23</v>
      </c>
      <c r="D24" s="167" t="s">
        <v>256</v>
      </c>
      <c r="E24" s="125" t="s">
        <v>16</v>
      </c>
      <c r="F24" s="213"/>
      <c r="G24">
        <f ca="1">_xll.ErOutput("23",'PAR CHD'!AA94)</f>
        <v>7.7666877079902732E-2</v>
      </c>
    </row>
    <row r="25" spans="1:7" x14ac:dyDescent="0.35">
      <c r="A25" s="212" t="s">
        <v>143</v>
      </c>
      <c r="B25" s="212" t="s">
        <v>24</v>
      </c>
      <c r="C25" s="167">
        <v>24</v>
      </c>
      <c r="D25" s="167" t="s">
        <v>256</v>
      </c>
      <c r="E25" s="125" t="s">
        <v>17</v>
      </c>
      <c r="F25" s="213"/>
      <c r="G25">
        <f ca="1">_xll.ErOutput("24",'PAR CHD'!AA95)</f>
        <v>7.7666877079902719E-2</v>
      </c>
    </row>
    <row r="26" spans="1:7" x14ac:dyDescent="0.35">
      <c r="A26" s="212" t="s">
        <v>143</v>
      </c>
      <c r="B26" s="212" t="s">
        <v>24</v>
      </c>
      <c r="C26" s="167">
        <v>25</v>
      </c>
      <c r="D26" s="167" t="s">
        <v>256</v>
      </c>
      <c r="E26" s="125" t="s">
        <v>18</v>
      </c>
      <c r="F26" s="213"/>
      <c r="G26">
        <f ca="1">_xll.ErOutput("25",'PAR CHD'!AA96)</f>
        <v>6.4260277299664811E-2</v>
      </c>
    </row>
    <row r="27" spans="1:7" x14ac:dyDescent="0.35">
      <c r="A27" s="212" t="s">
        <v>143</v>
      </c>
      <c r="B27" s="212" t="s">
        <v>24</v>
      </c>
      <c r="C27" s="167">
        <v>26</v>
      </c>
      <c r="D27" s="167" t="s">
        <v>256</v>
      </c>
      <c r="E27" s="125" t="s">
        <v>19</v>
      </c>
      <c r="F27" s="213"/>
      <c r="G27">
        <f ca="1">_xll.ErOutput("26",'PAR CHD'!AA97)</f>
        <v>6.4260277299664811E-2</v>
      </c>
    </row>
    <row r="28" spans="1:7" x14ac:dyDescent="0.35">
      <c r="A28" s="212" t="s">
        <v>143</v>
      </c>
      <c r="B28" s="212" t="s">
        <v>24</v>
      </c>
      <c r="C28" s="167">
        <v>27</v>
      </c>
      <c r="D28" s="167" t="s">
        <v>256</v>
      </c>
      <c r="E28" s="125" t="s">
        <v>20</v>
      </c>
      <c r="F28" s="213"/>
      <c r="G28">
        <f ca="1">_xll.ErOutput("27",'PAR CHD'!AA98)</f>
        <v>4.7633148699186771E-2</v>
      </c>
    </row>
    <row r="29" spans="1:7" ht="15" thickBot="1" x14ac:dyDescent="0.4">
      <c r="A29" s="212" t="s">
        <v>143</v>
      </c>
      <c r="B29" s="212" t="s">
        <v>24</v>
      </c>
      <c r="C29" s="167">
        <v>28</v>
      </c>
      <c r="D29" s="167" t="s">
        <v>256</v>
      </c>
      <c r="E29" s="125" t="s">
        <v>279</v>
      </c>
      <c r="F29" s="213"/>
      <c r="G29">
        <f ca="1">_xll.ErOutput("28",'PAR CHD'!AA99)</f>
        <v>4.7633148699186771E-2</v>
      </c>
    </row>
    <row r="30" spans="1:7" x14ac:dyDescent="0.35">
      <c r="A30" s="212" t="s">
        <v>144</v>
      </c>
      <c r="B30" s="212" t="s">
        <v>24</v>
      </c>
      <c r="C30" s="167">
        <v>29</v>
      </c>
      <c r="D30" s="167" t="s">
        <v>257</v>
      </c>
      <c r="E30" s="178" t="s">
        <v>8</v>
      </c>
      <c r="F30" s="213"/>
      <c r="G30">
        <f ca="1">_xll.ErOutput("29",'PAR CHD'!AA38)</f>
        <v>0</v>
      </c>
    </row>
    <row r="31" spans="1:7" x14ac:dyDescent="0.35">
      <c r="A31" s="212" t="s">
        <v>144</v>
      </c>
      <c r="B31" s="212" t="s">
        <v>24</v>
      </c>
      <c r="C31" s="167">
        <v>30</v>
      </c>
      <c r="D31" s="167" t="s">
        <v>257</v>
      </c>
      <c r="E31" s="125" t="s">
        <v>9</v>
      </c>
      <c r="F31" s="213"/>
      <c r="G31">
        <f ca="1">_xll.ErOutput("30",'PAR CHD'!AA39)</f>
        <v>0</v>
      </c>
    </row>
    <row r="32" spans="1:7" x14ac:dyDescent="0.35">
      <c r="A32" s="212" t="s">
        <v>144</v>
      </c>
      <c r="B32" s="212" t="s">
        <v>24</v>
      </c>
      <c r="C32" s="167">
        <v>31</v>
      </c>
      <c r="D32" s="167" t="s">
        <v>257</v>
      </c>
      <c r="E32" s="125" t="s">
        <v>10</v>
      </c>
      <c r="F32" s="213"/>
      <c r="G32">
        <f ca="1">_xll.ErOutput("31",'PAR CHD'!AA40)</f>
        <v>0</v>
      </c>
    </row>
    <row r="33" spans="1:7" x14ac:dyDescent="0.35">
      <c r="A33" s="212" t="s">
        <v>144</v>
      </c>
      <c r="B33" s="212" t="s">
        <v>24</v>
      </c>
      <c r="C33" s="167">
        <v>32</v>
      </c>
      <c r="D33" s="167" t="s">
        <v>257</v>
      </c>
      <c r="E33" s="125" t="s">
        <v>11</v>
      </c>
      <c r="F33" s="213"/>
      <c r="G33">
        <f ca="1">_xll.ErOutput("32",'PAR CHD'!AA41)</f>
        <v>0</v>
      </c>
    </row>
    <row r="34" spans="1:7" x14ac:dyDescent="0.35">
      <c r="A34" s="212" t="s">
        <v>144</v>
      </c>
      <c r="B34" s="212" t="s">
        <v>24</v>
      </c>
      <c r="C34" s="167">
        <v>33</v>
      </c>
      <c r="D34" s="167" t="s">
        <v>257</v>
      </c>
      <c r="E34" s="125" t="s">
        <v>12</v>
      </c>
      <c r="F34" s="213"/>
      <c r="G34">
        <f ca="1">_xll.ErOutput("33",'PAR CHD'!AA42)</f>
        <v>0</v>
      </c>
    </row>
    <row r="35" spans="1:7" x14ac:dyDescent="0.35">
      <c r="A35" s="212" t="s">
        <v>144</v>
      </c>
      <c r="B35" s="212" t="s">
        <v>24</v>
      </c>
      <c r="C35" s="167">
        <v>34</v>
      </c>
      <c r="D35" s="167" t="s">
        <v>257</v>
      </c>
      <c r="E35" s="125" t="s">
        <v>13</v>
      </c>
      <c r="F35" s="213"/>
      <c r="G35">
        <f ca="1">_xll.ErOutput("34",'PAR CHD'!AA43)</f>
        <v>0</v>
      </c>
    </row>
    <row r="36" spans="1:7" x14ac:dyDescent="0.35">
      <c r="A36" s="212" t="s">
        <v>144</v>
      </c>
      <c r="B36" s="212" t="s">
        <v>24</v>
      </c>
      <c r="C36" s="167">
        <v>35</v>
      </c>
      <c r="D36" s="167" t="s">
        <v>257</v>
      </c>
      <c r="E36" s="125" t="s">
        <v>14</v>
      </c>
      <c r="F36" s="213"/>
      <c r="G36">
        <f ca="1">_xll.ErOutput("35",'PAR CHD'!AA44)</f>
        <v>0</v>
      </c>
    </row>
    <row r="37" spans="1:7" x14ac:dyDescent="0.35">
      <c r="A37" s="212" t="s">
        <v>144</v>
      </c>
      <c r="B37" s="212" t="s">
        <v>24</v>
      </c>
      <c r="C37" s="167">
        <v>36</v>
      </c>
      <c r="D37" s="167" t="s">
        <v>257</v>
      </c>
      <c r="E37" s="125" t="s">
        <v>15</v>
      </c>
      <c r="F37" s="213"/>
      <c r="G37">
        <f ca="1">_xll.ErOutput("36",'PAR CHD'!AA45)</f>
        <v>0</v>
      </c>
    </row>
    <row r="38" spans="1:7" x14ac:dyDescent="0.35">
      <c r="A38" s="212" t="s">
        <v>144</v>
      </c>
      <c r="B38" s="212" t="s">
        <v>24</v>
      </c>
      <c r="C38" s="167">
        <v>37</v>
      </c>
      <c r="D38" s="167" t="s">
        <v>257</v>
      </c>
      <c r="E38" s="125" t="s">
        <v>16</v>
      </c>
      <c r="F38" s="213"/>
      <c r="G38">
        <f ca="1">_xll.ErOutput("37",'PAR CHD'!AA46)</f>
        <v>0</v>
      </c>
    </row>
    <row r="39" spans="1:7" x14ac:dyDescent="0.35">
      <c r="A39" s="212" t="s">
        <v>144</v>
      </c>
      <c r="B39" s="212" t="s">
        <v>24</v>
      </c>
      <c r="C39" s="167">
        <v>38</v>
      </c>
      <c r="D39" s="167" t="s">
        <v>257</v>
      </c>
      <c r="E39" s="125" t="s">
        <v>17</v>
      </c>
      <c r="F39" s="213"/>
      <c r="G39">
        <f ca="1">_xll.ErOutput("38",'PAR CHD'!AA47)</f>
        <v>0</v>
      </c>
    </row>
    <row r="40" spans="1:7" x14ac:dyDescent="0.35">
      <c r="A40" s="212" t="s">
        <v>144</v>
      </c>
      <c r="B40" s="212" t="s">
        <v>24</v>
      </c>
      <c r="C40" s="167">
        <v>39</v>
      </c>
      <c r="D40" s="167" t="s">
        <v>257</v>
      </c>
      <c r="E40" s="125" t="s">
        <v>18</v>
      </c>
      <c r="F40" s="213"/>
      <c r="G40">
        <f ca="1">_xll.ErOutput("39",'PAR CHD'!AA48)</f>
        <v>0</v>
      </c>
    </row>
    <row r="41" spans="1:7" x14ac:dyDescent="0.35">
      <c r="A41" s="212" t="s">
        <v>144</v>
      </c>
      <c r="B41" s="212" t="s">
        <v>24</v>
      </c>
      <c r="C41" s="167">
        <v>40</v>
      </c>
      <c r="D41" s="167" t="s">
        <v>257</v>
      </c>
      <c r="E41" s="125" t="s">
        <v>19</v>
      </c>
      <c r="F41" s="213"/>
      <c r="G41">
        <f ca="1">_xll.ErOutput("40",'PAR CHD'!AA49)</f>
        <v>0</v>
      </c>
    </row>
    <row r="42" spans="1:7" x14ac:dyDescent="0.35">
      <c r="A42" s="212" t="s">
        <v>144</v>
      </c>
      <c r="B42" s="212" t="s">
        <v>24</v>
      </c>
      <c r="C42" s="167">
        <v>41</v>
      </c>
      <c r="D42" s="167" t="s">
        <v>257</v>
      </c>
      <c r="E42" s="125" t="s">
        <v>20</v>
      </c>
      <c r="F42" s="213"/>
      <c r="G42">
        <f ca="1">_xll.ErOutput("41",'PAR CHD'!AA50)</f>
        <v>0</v>
      </c>
    </row>
    <row r="43" spans="1:7" ht="15" thickBot="1" x14ac:dyDescent="0.4">
      <c r="A43" s="212" t="s">
        <v>144</v>
      </c>
      <c r="B43" s="212" t="s">
        <v>24</v>
      </c>
      <c r="C43" s="167">
        <v>42</v>
      </c>
      <c r="D43" s="167" t="s">
        <v>257</v>
      </c>
      <c r="E43" s="125" t="s">
        <v>279</v>
      </c>
      <c r="F43" s="213"/>
      <c r="G43">
        <f ca="1">_xll.ErOutput("42",'PAR CHD'!AA51)</f>
        <v>0</v>
      </c>
    </row>
    <row r="44" spans="1:7" x14ac:dyDescent="0.35">
      <c r="A44" s="212" t="s">
        <v>144</v>
      </c>
      <c r="B44" s="212" t="s">
        <v>24</v>
      </c>
      <c r="C44" s="167">
        <v>43</v>
      </c>
      <c r="D44" s="167" t="s">
        <v>256</v>
      </c>
      <c r="E44" s="178" t="s">
        <v>8</v>
      </c>
      <c r="F44" s="213"/>
      <c r="G44">
        <f ca="1">_xll.ErOutput("43",'PAR CHD'!AA53)</f>
        <v>0</v>
      </c>
    </row>
    <row r="45" spans="1:7" x14ac:dyDescent="0.35">
      <c r="A45" s="212" t="s">
        <v>144</v>
      </c>
      <c r="B45" s="212" t="s">
        <v>24</v>
      </c>
      <c r="C45" s="167">
        <v>44</v>
      </c>
      <c r="D45" s="167" t="s">
        <v>256</v>
      </c>
      <c r="E45" s="125" t="s">
        <v>9</v>
      </c>
      <c r="F45" s="213"/>
      <c r="G45">
        <f ca="1">_xll.ErOutput("44",'PAR CHD'!AA54)</f>
        <v>0</v>
      </c>
    </row>
    <row r="46" spans="1:7" x14ac:dyDescent="0.35">
      <c r="A46" s="212" t="s">
        <v>144</v>
      </c>
      <c r="B46" s="212" t="s">
        <v>24</v>
      </c>
      <c r="C46" s="167">
        <v>45</v>
      </c>
      <c r="D46" s="167" t="s">
        <v>256</v>
      </c>
      <c r="E46" s="125" t="s">
        <v>10</v>
      </c>
      <c r="F46" s="213"/>
      <c r="G46">
        <f ca="1">_xll.ErOutput("45",'PAR CHD'!AA55)</f>
        <v>0</v>
      </c>
    </row>
    <row r="47" spans="1:7" x14ac:dyDescent="0.35">
      <c r="A47" s="212" t="s">
        <v>144</v>
      </c>
      <c r="B47" s="212" t="s">
        <v>24</v>
      </c>
      <c r="C47" s="167">
        <v>46</v>
      </c>
      <c r="D47" s="167" t="s">
        <v>256</v>
      </c>
      <c r="E47" s="125" t="s">
        <v>11</v>
      </c>
      <c r="F47" s="213"/>
      <c r="G47">
        <f ca="1">_xll.ErOutput("46",'PAR CHD'!AA56)</f>
        <v>0</v>
      </c>
    </row>
    <row r="48" spans="1:7" x14ac:dyDescent="0.35">
      <c r="A48" s="212" t="s">
        <v>144</v>
      </c>
      <c r="B48" s="212" t="s">
        <v>24</v>
      </c>
      <c r="C48" s="167">
        <v>47</v>
      </c>
      <c r="D48" s="167" t="s">
        <v>256</v>
      </c>
      <c r="E48" s="125" t="s">
        <v>12</v>
      </c>
      <c r="F48" s="213"/>
      <c r="G48">
        <f ca="1">_xll.ErOutput("47",'PAR CHD'!AA57)</f>
        <v>0</v>
      </c>
    </row>
    <row r="49" spans="1:7" x14ac:dyDescent="0.35">
      <c r="A49" s="212" t="s">
        <v>144</v>
      </c>
      <c r="B49" s="212" t="s">
        <v>24</v>
      </c>
      <c r="C49" s="167">
        <v>48</v>
      </c>
      <c r="D49" s="167" t="s">
        <v>256</v>
      </c>
      <c r="E49" s="125" t="s">
        <v>13</v>
      </c>
      <c r="F49" s="213"/>
      <c r="G49">
        <f ca="1">_xll.ErOutput("48",'PAR CHD'!AA58)</f>
        <v>0</v>
      </c>
    </row>
    <row r="50" spans="1:7" x14ac:dyDescent="0.35">
      <c r="A50" s="212" t="s">
        <v>144</v>
      </c>
      <c r="B50" s="212" t="s">
        <v>24</v>
      </c>
      <c r="C50" s="167">
        <v>49</v>
      </c>
      <c r="D50" s="167" t="s">
        <v>256</v>
      </c>
      <c r="E50" s="125" t="s">
        <v>14</v>
      </c>
      <c r="F50" s="213"/>
      <c r="G50">
        <f ca="1">_xll.ErOutput("49",'PAR CHD'!AA59)</f>
        <v>0</v>
      </c>
    </row>
    <row r="51" spans="1:7" x14ac:dyDescent="0.35">
      <c r="A51" s="212" t="s">
        <v>144</v>
      </c>
      <c r="B51" s="212" t="s">
        <v>24</v>
      </c>
      <c r="C51" s="167">
        <v>50</v>
      </c>
      <c r="D51" s="167" t="s">
        <v>256</v>
      </c>
      <c r="E51" s="125" t="s">
        <v>15</v>
      </c>
      <c r="F51" s="213"/>
      <c r="G51">
        <f ca="1">_xll.ErOutput("50",'PAR CHD'!AA60)</f>
        <v>0</v>
      </c>
    </row>
    <row r="52" spans="1:7" x14ac:dyDescent="0.35">
      <c r="A52" s="212" t="s">
        <v>144</v>
      </c>
      <c r="B52" s="212" t="s">
        <v>24</v>
      </c>
      <c r="C52" s="167">
        <v>51</v>
      </c>
      <c r="D52" s="167" t="s">
        <v>256</v>
      </c>
      <c r="E52" s="125" t="s">
        <v>16</v>
      </c>
      <c r="F52" s="213"/>
      <c r="G52">
        <f ca="1">_xll.ErOutput("51",'PAR CHD'!AA61)</f>
        <v>0</v>
      </c>
    </row>
    <row r="53" spans="1:7" x14ac:dyDescent="0.35">
      <c r="A53" s="212" t="s">
        <v>144</v>
      </c>
      <c r="B53" s="212" t="s">
        <v>24</v>
      </c>
      <c r="C53" s="167">
        <v>52</v>
      </c>
      <c r="D53" s="167" t="s">
        <v>256</v>
      </c>
      <c r="E53" s="125" t="s">
        <v>17</v>
      </c>
      <c r="F53" s="213"/>
      <c r="G53">
        <f ca="1">_xll.ErOutput("52",'PAR CHD'!AA62)</f>
        <v>0</v>
      </c>
    </row>
    <row r="54" spans="1:7" x14ac:dyDescent="0.35">
      <c r="A54" s="212" t="s">
        <v>144</v>
      </c>
      <c r="B54" s="212" t="s">
        <v>24</v>
      </c>
      <c r="C54" s="167">
        <v>53</v>
      </c>
      <c r="D54" s="167" t="s">
        <v>256</v>
      </c>
      <c r="E54" s="125" t="s">
        <v>18</v>
      </c>
      <c r="F54" s="213"/>
      <c r="G54">
        <f ca="1">_xll.ErOutput("53",'PAR CHD'!AA63)</f>
        <v>0</v>
      </c>
    </row>
    <row r="55" spans="1:7" x14ac:dyDescent="0.35">
      <c r="A55" s="212" t="s">
        <v>144</v>
      </c>
      <c r="B55" s="212" t="s">
        <v>24</v>
      </c>
      <c r="C55" s="167">
        <v>54</v>
      </c>
      <c r="D55" s="167" t="s">
        <v>256</v>
      </c>
      <c r="E55" s="125" t="s">
        <v>19</v>
      </c>
      <c r="F55" s="213"/>
      <c r="G55">
        <f ca="1">_xll.ErOutput("54",'PAR CHD'!AA64)</f>
        <v>0</v>
      </c>
    </row>
    <row r="56" spans="1:7" x14ac:dyDescent="0.35">
      <c r="A56" s="212" t="s">
        <v>144</v>
      </c>
      <c r="B56" s="212" t="s">
        <v>24</v>
      </c>
      <c r="C56" s="167">
        <v>55</v>
      </c>
      <c r="D56" s="167" t="s">
        <v>256</v>
      </c>
      <c r="E56" s="125" t="s">
        <v>20</v>
      </c>
      <c r="F56" s="213"/>
      <c r="G56">
        <f ca="1">_xll.ErOutput("55",'PAR CHD'!AA65)</f>
        <v>0</v>
      </c>
    </row>
    <row r="57" spans="1:7" ht="15" thickBot="1" x14ac:dyDescent="0.4">
      <c r="A57" s="212" t="s">
        <v>144</v>
      </c>
      <c r="B57" s="212" t="s">
        <v>24</v>
      </c>
      <c r="C57" s="167">
        <v>56</v>
      </c>
      <c r="D57" s="167" t="s">
        <v>256</v>
      </c>
      <c r="E57" s="125" t="s">
        <v>279</v>
      </c>
      <c r="F57" s="213"/>
      <c r="G57">
        <f ca="1">_xll.ErOutput("56",'PAR CHD'!AA66)</f>
        <v>0</v>
      </c>
    </row>
    <row r="58" spans="1:7" x14ac:dyDescent="0.35">
      <c r="A58" s="212" t="s">
        <v>143</v>
      </c>
      <c r="B58" s="212" t="s">
        <v>82</v>
      </c>
      <c r="C58" s="167">
        <v>57</v>
      </c>
      <c r="D58" s="167" t="s">
        <v>257</v>
      </c>
      <c r="E58" s="178" t="s">
        <v>8</v>
      </c>
      <c r="F58" s="213"/>
      <c r="G58">
        <f ca="1">_xll.ErOutput("57",'PAR Stroke'!AA71)</f>
        <v>-4.7175623112927594E-12</v>
      </c>
    </row>
    <row r="59" spans="1:7" x14ac:dyDescent="0.35">
      <c r="A59" s="212" t="s">
        <v>143</v>
      </c>
      <c r="B59" s="212" t="s">
        <v>82</v>
      </c>
      <c r="C59" s="167">
        <v>58</v>
      </c>
      <c r="D59" s="167" t="s">
        <v>257</v>
      </c>
      <c r="E59" s="125" t="s">
        <v>9</v>
      </c>
      <c r="F59" s="213"/>
      <c r="G59">
        <f ca="1">_xll.ErOutput("58",'PAR Stroke'!AA72)</f>
        <v>-4.7175623112927594E-12</v>
      </c>
    </row>
    <row r="60" spans="1:7" x14ac:dyDescent="0.35">
      <c r="A60" s="212" t="s">
        <v>143</v>
      </c>
      <c r="B60" s="212" t="s">
        <v>82</v>
      </c>
      <c r="C60" s="167">
        <v>59</v>
      </c>
      <c r="D60" s="167" t="s">
        <v>257</v>
      </c>
      <c r="E60" s="125" t="s">
        <v>10</v>
      </c>
      <c r="F60" s="213"/>
      <c r="G60">
        <f ca="1">_xll.ErOutput("59",'PAR Stroke'!AA73)</f>
        <v>6.1759158727746365E-2</v>
      </c>
    </row>
    <row r="61" spans="1:7" x14ac:dyDescent="0.35">
      <c r="A61" s="212" t="s">
        <v>143</v>
      </c>
      <c r="B61" s="212" t="s">
        <v>82</v>
      </c>
      <c r="C61" s="167">
        <v>60</v>
      </c>
      <c r="D61" s="167" t="s">
        <v>257</v>
      </c>
      <c r="E61" s="125" t="s">
        <v>11</v>
      </c>
      <c r="F61" s="213"/>
      <c r="G61">
        <f ca="1">_xll.ErOutput("60",'PAR Stroke'!AA74)</f>
        <v>6.1759158727746365E-2</v>
      </c>
    </row>
    <row r="62" spans="1:7" x14ac:dyDescent="0.35">
      <c r="A62" s="212" t="s">
        <v>143</v>
      </c>
      <c r="B62" s="212" t="s">
        <v>82</v>
      </c>
      <c r="C62" s="167">
        <v>61</v>
      </c>
      <c r="D62" s="167" t="s">
        <v>257</v>
      </c>
      <c r="E62" s="125" t="s">
        <v>12</v>
      </c>
      <c r="F62" s="213"/>
      <c r="G62">
        <f ca="1">_xll.ErOutput("61",'PAR Stroke'!AA75)</f>
        <v>5.901488262923979E-2</v>
      </c>
    </row>
    <row r="63" spans="1:7" x14ac:dyDescent="0.35">
      <c r="A63" s="212" t="s">
        <v>143</v>
      </c>
      <c r="B63" s="212" t="s">
        <v>82</v>
      </c>
      <c r="C63" s="167">
        <v>62</v>
      </c>
      <c r="D63" s="167" t="s">
        <v>257</v>
      </c>
      <c r="E63" s="125" t="s">
        <v>13</v>
      </c>
      <c r="F63" s="213"/>
      <c r="G63">
        <f ca="1">_xll.ErOutput("62",'PAR Stroke'!AA76)</f>
        <v>5.901488262923979E-2</v>
      </c>
    </row>
    <row r="64" spans="1:7" x14ac:dyDescent="0.35">
      <c r="A64" s="212" t="s">
        <v>143</v>
      </c>
      <c r="B64" s="212" t="s">
        <v>82</v>
      </c>
      <c r="C64" s="167">
        <v>63</v>
      </c>
      <c r="D64" s="167" t="s">
        <v>257</v>
      </c>
      <c r="E64" s="125" t="s">
        <v>14</v>
      </c>
      <c r="F64" s="213"/>
      <c r="G64">
        <f ca="1">_xll.ErOutput("63",'PAR Stroke'!AA77)</f>
        <v>4.9276797706768669E-2</v>
      </c>
    </row>
    <row r="65" spans="1:7" x14ac:dyDescent="0.35">
      <c r="A65" s="212" t="s">
        <v>143</v>
      </c>
      <c r="B65" s="212" t="s">
        <v>82</v>
      </c>
      <c r="C65" s="167">
        <v>64</v>
      </c>
      <c r="D65" s="167" t="s">
        <v>257</v>
      </c>
      <c r="E65" s="125" t="s">
        <v>15</v>
      </c>
      <c r="F65" s="213"/>
      <c r="G65">
        <f ca="1">_xll.ErOutput("64",'PAR Stroke'!AA78)</f>
        <v>4.9276797706768669E-2</v>
      </c>
    </row>
    <row r="66" spans="1:7" x14ac:dyDescent="0.35">
      <c r="A66" s="212" t="s">
        <v>143</v>
      </c>
      <c r="B66" s="212" t="s">
        <v>82</v>
      </c>
      <c r="C66" s="167">
        <v>65</v>
      </c>
      <c r="D66" s="167" t="s">
        <v>257</v>
      </c>
      <c r="E66" s="125" t="s">
        <v>16</v>
      </c>
      <c r="F66" s="213"/>
      <c r="G66">
        <f ca="1">_xll.ErOutput("65",'PAR Stroke'!AA79)</f>
        <v>4.0519959377550978E-2</v>
      </c>
    </row>
    <row r="67" spans="1:7" x14ac:dyDescent="0.35">
      <c r="A67" s="212" t="s">
        <v>143</v>
      </c>
      <c r="B67" s="212" t="s">
        <v>82</v>
      </c>
      <c r="C67" s="167">
        <v>66</v>
      </c>
      <c r="D67" s="167" t="s">
        <v>257</v>
      </c>
      <c r="E67" s="125" t="s">
        <v>17</v>
      </c>
      <c r="F67" s="213"/>
      <c r="G67">
        <f ca="1">_xll.ErOutput("66",'PAR Stroke'!AA80)</f>
        <v>4.0519959377550978E-2</v>
      </c>
    </row>
    <row r="68" spans="1:7" x14ac:dyDescent="0.35">
      <c r="A68" s="212" t="s">
        <v>143</v>
      </c>
      <c r="B68" s="212" t="s">
        <v>82</v>
      </c>
      <c r="C68" s="167">
        <v>67</v>
      </c>
      <c r="D68" s="167" t="s">
        <v>257</v>
      </c>
      <c r="E68" s="125" t="s">
        <v>18</v>
      </c>
      <c r="F68" s="213"/>
      <c r="G68">
        <f ca="1">_xll.ErOutput("67",'PAR Stroke'!AA81)</f>
        <v>3.3291717011220613E-2</v>
      </c>
    </row>
    <row r="69" spans="1:7" x14ac:dyDescent="0.35">
      <c r="A69" s="212" t="s">
        <v>143</v>
      </c>
      <c r="B69" s="212" t="s">
        <v>82</v>
      </c>
      <c r="C69" s="167">
        <v>68</v>
      </c>
      <c r="D69" s="167" t="s">
        <v>257</v>
      </c>
      <c r="E69" s="125" t="s">
        <v>19</v>
      </c>
      <c r="F69" s="213"/>
      <c r="G69">
        <f ca="1">_xll.ErOutput("68",'PAR Stroke'!AA82)</f>
        <v>3.3291717011220613E-2</v>
      </c>
    </row>
    <row r="70" spans="1:7" x14ac:dyDescent="0.35">
      <c r="A70" s="212" t="s">
        <v>143</v>
      </c>
      <c r="B70" s="212" t="s">
        <v>82</v>
      </c>
      <c r="C70" s="167">
        <v>69</v>
      </c>
      <c r="D70" s="167" t="s">
        <v>257</v>
      </c>
      <c r="E70" s="125" t="s">
        <v>20</v>
      </c>
      <c r="F70" s="213"/>
      <c r="G70">
        <f ca="1">_xll.ErOutput("69",'PAR Stroke'!AA83)</f>
        <v>2.4459591519117727E-2</v>
      </c>
    </row>
    <row r="71" spans="1:7" ht="15" thickBot="1" x14ac:dyDescent="0.4">
      <c r="A71" s="212" t="s">
        <v>143</v>
      </c>
      <c r="B71" s="212" t="s">
        <v>82</v>
      </c>
      <c r="C71" s="167">
        <v>70</v>
      </c>
      <c r="D71" s="167" t="s">
        <v>257</v>
      </c>
      <c r="E71" s="125" t="s">
        <v>279</v>
      </c>
      <c r="F71" s="213"/>
      <c r="G71">
        <f ca="1">_xll.ErOutput("70",'PAR Stroke'!AA84)</f>
        <v>2.4459591519117727E-2</v>
      </c>
    </row>
    <row r="72" spans="1:7" x14ac:dyDescent="0.35">
      <c r="A72" s="212" t="s">
        <v>143</v>
      </c>
      <c r="B72" s="212" t="s">
        <v>82</v>
      </c>
      <c r="C72" s="167">
        <v>71</v>
      </c>
      <c r="D72" s="167" t="s">
        <v>256</v>
      </c>
      <c r="E72" s="178" t="s">
        <v>8</v>
      </c>
      <c r="F72" s="213"/>
      <c r="G72">
        <f ca="1">_xll.ErOutput("71",'PAR Stroke'!AA86)</f>
        <v>-4.7175623112927594E-12</v>
      </c>
    </row>
    <row r="73" spans="1:7" x14ac:dyDescent="0.35">
      <c r="A73" s="212" t="s">
        <v>143</v>
      </c>
      <c r="B73" s="212" t="s">
        <v>82</v>
      </c>
      <c r="C73" s="167">
        <v>72</v>
      </c>
      <c r="D73" s="167" t="s">
        <v>256</v>
      </c>
      <c r="E73" s="125" t="s">
        <v>9</v>
      </c>
      <c r="F73" s="213"/>
      <c r="G73">
        <f ca="1">_xll.ErOutput("72",'PAR Stroke'!AA87)</f>
        <v>-4.7175623112927594E-12</v>
      </c>
    </row>
    <row r="74" spans="1:7" x14ac:dyDescent="0.35">
      <c r="A74" s="212" t="s">
        <v>143</v>
      </c>
      <c r="B74" s="212" t="s">
        <v>82</v>
      </c>
      <c r="C74" s="167">
        <v>73</v>
      </c>
      <c r="D74" s="167" t="s">
        <v>256</v>
      </c>
      <c r="E74" s="125" t="s">
        <v>10</v>
      </c>
      <c r="F74" s="213"/>
      <c r="G74">
        <f ca="1">_xll.ErOutput("73",'PAR Stroke'!AA88)</f>
        <v>6.1759158727746365E-2</v>
      </c>
    </row>
    <row r="75" spans="1:7" x14ac:dyDescent="0.35">
      <c r="A75" s="212" t="s">
        <v>143</v>
      </c>
      <c r="B75" s="212" t="s">
        <v>82</v>
      </c>
      <c r="C75" s="167">
        <v>74</v>
      </c>
      <c r="D75" s="167" t="s">
        <v>256</v>
      </c>
      <c r="E75" s="125" t="s">
        <v>11</v>
      </c>
      <c r="F75" s="213"/>
      <c r="G75">
        <f ca="1">_xll.ErOutput("74",'PAR Stroke'!AA89)</f>
        <v>6.1759158727746365E-2</v>
      </c>
    </row>
    <row r="76" spans="1:7" x14ac:dyDescent="0.35">
      <c r="A76" s="212" t="s">
        <v>143</v>
      </c>
      <c r="B76" s="212" t="s">
        <v>82</v>
      </c>
      <c r="C76" s="167">
        <v>75</v>
      </c>
      <c r="D76" s="167" t="s">
        <v>256</v>
      </c>
      <c r="E76" s="125" t="s">
        <v>12</v>
      </c>
      <c r="F76" s="213"/>
      <c r="G76">
        <f ca="1">_xll.ErOutput("75",'PAR Stroke'!AA90)</f>
        <v>5.901488262923979E-2</v>
      </c>
    </row>
    <row r="77" spans="1:7" x14ac:dyDescent="0.35">
      <c r="A77" s="212" t="s">
        <v>143</v>
      </c>
      <c r="B77" s="212" t="s">
        <v>82</v>
      </c>
      <c r="C77" s="167">
        <v>76</v>
      </c>
      <c r="D77" s="167" t="s">
        <v>256</v>
      </c>
      <c r="E77" s="125" t="s">
        <v>13</v>
      </c>
      <c r="F77" s="213"/>
      <c r="G77">
        <f ca="1">_xll.ErOutput("76",'PAR Stroke'!AA91)</f>
        <v>5.901488262923979E-2</v>
      </c>
    </row>
    <row r="78" spans="1:7" x14ac:dyDescent="0.35">
      <c r="A78" s="212" t="s">
        <v>143</v>
      </c>
      <c r="B78" s="212" t="s">
        <v>82</v>
      </c>
      <c r="C78" s="167">
        <v>77</v>
      </c>
      <c r="D78" s="167" t="s">
        <v>256</v>
      </c>
      <c r="E78" s="125" t="s">
        <v>14</v>
      </c>
      <c r="F78" s="213"/>
      <c r="G78">
        <f ca="1">_xll.ErOutput("77",'PAR Stroke'!AA92)</f>
        <v>4.9276797706768669E-2</v>
      </c>
    </row>
    <row r="79" spans="1:7" x14ac:dyDescent="0.35">
      <c r="A79" s="212" t="s">
        <v>143</v>
      </c>
      <c r="B79" s="212" t="s">
        <v>82</v>
      </c>
      <c r="C79" s="167">
        <v>78</v>
      </c>
      <c r="D79" s="167" t="s">
        <v>256</v>
      </c>
      <c r="E79" s="125" t="s">
        <v>15</v>
      </c>
      <c r="F79" s="213"/>
      <c r="G79">
        <f ca="1">_xll.ErOutput("78",'PAR Stroke'!AA93)</f>
        <v>4.9276797706768669E-2</v>
      </c>
    </row>
    <row r="80" spans="1:7" x14ac:dyDescent="0.35">
      <c r="A80" s="212" t="s">
        <v>143</v>
      </c>
      <c r="B80" s="212" t="s">
        <v>82</v>
      </c>
      <c r="C80" s="167">
        <v>79</v>
      </c>
      <c r="D80" s="167" t="s">
        <v>256</v>
      </c>
      <c r="E80" s="125" t="s">
        <v>16</v>
      </c>
      <c r="F80" s="213"/>
      <c r="G80">
        <f ca="1">_xll.ErOutput("79",'PAR Stroke'!AA94)</f>
        <v>4.0519959377550978E-2</v>
      </c>
    </row>
    <row r="81" spans="1:7" x14ac:dyDescent="0.35">
      <c r="A81" s="212" t="s">
        <v>143</v>
      </c>
      <c r="B81" s="212" t="s">
        <v>82</v>
      </c>
      <c r="C81" s="167">
        <v>80</v>
      </c>
      <c r="D81" s="167" t="s">
        <v>256</v>
      </c>
      <c r="E81" s="125" t="s">
        <v>17</v>
      </c>
      <c r="F81" s="213"/>
      <c r="G81">
        <f ca="1">_xll.ErOutput("80",'PAR Stroke'!AA95)</f>
        <v>4.0519959377550978E-2</v>
      </c>
    </row>
    <row r="82" spans="1:7" x14ac:dyDescent="0.35">
      <c r="A82" s="212" t="s">
        <v>143</v>
      </c>
      <c r="B82" s="212" t="s">
        <v>82</v>
      </c>
      <c r="C82" s="167">
        <v>81</v>
      </c>
      <c r="D82" s="167" t="s">
        <v>256</v>
      </c>
      <c r="E82" s="125" t="s">
        <v>18</v>
      </c>
      <c r="F82" s="213"/>
      <c r="G82">
        <f ca="1">_xll.ErOutput("81",'PAR Stroke'!AA96)</f>
        <v>3.3291717011220613E-2</v>
      </c>
    </row>
    <row r="83" spans="1:7" x14ac:dyDescent="0.35">
      <c r="A83" s="212" t="s">
        <v>143</v>
      </c>
      <c r="B83" s="212" t="s">
        <v>82</v>
      </c>
      <c r="C83" s="167">
        <v>82</v>
      </c>
      <c r="D83" s="167" t="s">
        <v>256</v>
      </c>
      <c r="E83" s="125" t="s">
        <v>19</v>
      </c>
      <c r="F83" s="213"/>
      <c r="G83">
        <f ca="1">_xll.ErOutput("82",'PAR Stroke'!AA97)</f>
        <v>3.3291717011220613E-2</v>
      </c>
    </row>
    <row r="84" spans="1:7" x14ac:dyDescent="0.35">
      <c r="A84" s="212" t="s">
        <v>143</v>
      </c>
      <c r="B84" s="212" t="s">
        <v>82</v>
      </c>
      <c r="C84" s="167">
        <v>83</v>
      </c>
      <c r="D84" s="167" t="s">
        <v>256</v>
      </c>
      <c r="E84" s="125" t="s">
        <v>20</v>
      </c>
      <c r="F84" s="213"/>
      <c r="G84">
        <f ca="1">_xll.ErOutput("83",'PAR Stroke'!AA98)</f>
        <v>2.4459591519117727E-2</v>
      </c>
    </row>
    <row r="85" spans="1:7" ht="15" thickBot="1" x14ac:dyDescent="0.4">
      <c r="A85" s="212" t="s">
        <v>143</v>
      </c>
      <c r="B85" s="212" t="s">
        <v>82</v>
      </c>
      <c r="C85" s="167">
        <v>84</v>
      </c>
      <c r="D85" s="167" t="s">
        <v>256</v>
      </c>
      <c r="E85" s="125" t="s">
        <v>279</v>
      </c>
      <c r="F85" s="213"/>
      <c r="G85">
        <f ca="1">_xll.ErOutput("84",'PAR Stroke'!AA99)</f>
        <v>2.4459591519117727E-2</v>
      </c>
    </row>
    <row r="86" spans="1:7" x14ac:dyDescent="0.35">
      <c r="A86" s="212" t="s">
        <v>144</v>
      </c>
      <c r="B86" s="212" t="s">
        <v>82</v>
      </c>
      <c r="C86" s="167">
        <v>85</v>
      </c>
      <c r="D86" s="167" t="s">
        <v>257</v>
      </c>
      <c r="E86" s="178" t="s">
        <v>8</v>
      </c>
      <c r="F86" s="213"/>
      <c r="G86">
        <f ca="1">_xll.ErOutput("85",'PAR Stroke'!AA38)</f>
        <v>0</v>
      </c>
    </row>
    <row r="87" spans="1:7" x14ac:dyDescent="0.35">
      <c r="A87" s="212" t="s">
        <v>144</v>
      </c>
      <c r="B87" s="212" t="s">
        <v>82</v>
      </c>
      <c r="C87" s="167">
        <v>86</v>
      </c>
      <c r="D87" s="167" t="s">
        <v>257</v>
      </c>
      <c r="E87" s="125" t="s">
        <v>9</v>
      </c>
      <c r="F87" s="213"/>
      <c r="G87">
        <f ca="1">_xll.ErOutput("86",'PAR Stroke'!AA39)</f>
        <v>0</v>
      </c>
    </row>
    <row r="88" spans="1:7" x14ac:dyDescent="0.35">
      <c r="A88" s="212" t="s">
        <v>144</v>
      </c>
      <c r="B88" s="212" t="s">
        <v>82</v>
      </c>
      <c r="C88" s="167">
        <v>87</v>
      </c>
      <c r="D88" s="167" t="s">
        <v>257</v>
      </c>
      <c r="E88" s="125" t="s">
        <v>10</v>
      </c>
      <c r="F88" s="213"/>
      <c r="G88">
        <f ca="1">_xll.ErOutput("87",'PAR Stroke'!AA40)</f>
        <v>0</v>
      </c>
    </row>
    <row r="89" spans="1:7" x14ac:dyDescent="0.35">
      <c r="A89" s="212" t="s">
        <v>144</v>
      </c>
      <c r="B89" s="212" t="s">
        <v>82</v>
      </c>
      <c r="C89" s="167">
        <v>88</v>
      </c>
      <c r="D89" s="167" t="s">
        <v>257</v>
      </c>
      <c r="E89" s="125" t="s">
        <v>11</v>
      </c>
      <c r="F89" s="213"/>
      <c r="G89">
        <f ca="1">_xll.ErOutput("88",'PAR Stroke'!AA41)</f>
        <v>0</v>
      </c>
    </row>
    <row r="90" spans="1:7" x14ac:dyDescent="0.35">
      <c r="A90" s="212" t="s">
        <v>144</v>
      </c>
      <c r="B90" s="212" t="s">
        <v>82</v>
      </c>
      <c r="C90" s="167">
        <v>89</v>
      </c>
      <c r="D90" s="167" t="s">
        <v>257</v>
      </c>
      <c r="E90" s="125" t="s">
        <v>12</v>
      </c>
      <c r="F90" s="213"/>
      <c r="G90">
        <f ca="1">_xll.ErOutput("89",'PAR Stroke'!AA42)</f>
        <v>0</v>
      </c>
    </row>
    <row r="91" spans="1:7" x14ac:dyDescent="0.35">
      <c r="A91" s="212" t="s">
        <v>144</v>
      </c>
      <c r="B91" s="212" t="s">
        <v>82</v>
      </c>
      <c r="C91" s="167">
        <v>90</v>
      </c>
      <c r="D91" s="167" t="s">
        <v>257</v>
      </c>
      <c r="E91" s="125" t="s">
        <v>13</v>
      </c>
      <c r="F91" s="213"/>
      <c r="G91">
        <f ca="1">_xll.ErOutput("90",'PAR Stroke'!AA43)</f>
        <v>0</v>
      </c>
    </row>
    <row r="92" spans="1:7" x14ac:dyDescent="0.35">
      <c r="A92" s="212" t="s">
        <v>144</v>
      </c>
      <c r="B92" s="212" t="s">
        <v>82</v>
      </c>
      <c r="C92" s="167">
        <v>91</v>
      </c>
      <c r="D92" s="167" t="s">
        <v>257</v>
      </c>
      <c r="E92" s="125" t="s">
        <v>14</v>
      </c>
      <c r="F92" s="213"/>
      <c r="G92">
        <f ca="1">_xll.ErOutput("91",'PAR Stroke'!AA44)</f>
        <v>0</v>
      </c>
    </row>
    <row r="93" spans="1:7" x14ac:dyDescent="0.35">
      <c r="A93" s="212" t="s">
        <v>144</v>
      </c>
      <c r="B93" s="212" t="s">
        <v>82</v>
      </c>
      <c r="C93" s="167">
        <v>92</v>
      </c>
      <c r="D93" s="167" t="s">
        <v>257</v>
      </c>
      <c r="E93" s="125" t="s">
        <v>15</v>
      </c>
      <c r="F93" s="213"/>
      <c r="G93">
        <f ca="1">_xll.ErOutput("92",'PAR Stroke'!AA45)</f>
        <v>0</v>
      </c>
    </row>
    <row r="94" spans="1:7" x14ac:dyDescent="0.35">
      <c r="A94" s="212" t="s">
        <v>144</v>
      </c>
      <c r="B94" s="212" t="s">
        <v>82</v>
      </c>
      <c r="C94" s="167">
        <v>93</v>
      </c>
      <c r="D94" s="167" t="s">
        <v>257</v>
      </c>
      <c r="E94" s="125" t="s">
        <v>16</v>
      </c>
      <c r="F94" s="213"/>
      <c r="G94">
        <f ca="1">_xll.ErOutput("93",'PAR Stroke'!AA46)</f>
        <v>0</v>
      </c>
    </row>
    <row r="95" spans="1:7" x14ac:dyDescent="0.35">
      <c r="A95" s="212" t="s">
        <v>144</v>
      </c>
      <c r="B95" s="212" t="s">
        <v>82</v>
      </c>
      <c r="C95" s="167">
        <v>94</v>
      </c>
      <c r="D95" s="167" t="s">
        <v>257</v>
      </c>
      <c r="E95" s="125" t="s">
        <v>17</v>
      </c>
      <c r="F95" s="213"/>
      <c r="G95">
        <f ca="1">_xll.ErOutput("94",'PAR Stroke'!AA47)</f>
        <v>0</v>
      </c>
    </row>
    <row r="96" spans="1:7" x14ac:dyDescent="0.35">
      <c r="A96" s="212" t="s">
        <v>144</v>
      </c>
      <c r="B96" s="212" t="s">
        <v>82</v>
      </c>
      <c r="C96" s="167">
        <v>95</v>
      </c>
      <c r="D96" s="167" t="s">
        <v>257</v>
      </c>
      <c r="E96" s="125" t="s">
        <v>18</v>
      </c>
      <c r="F96" s="213"/>
      <c r="G96">
        <f ca="1">_xll.ErOutput("95",'PAR Stroke'!AA48)</f>
        <v>0</v>
      </c>
    </row>
    <row r="97" spans="1:7" x14ac:dyDescent="0.35">
      <c r="A97" s="212" t="s">
        <v>144</v>
      </c>
      <c r="B97" s="212" t="s">
        <v>82</v>
      </c>
      <c r="C97" s="167">
        <v>96</v>
      </c>
      <c r="D97" s="167" t="s">
        <v>257</v>
      </c>
      <c r="E97" s="125" t="s">
        <v>19</v>
      </c>
      <c r="F97" s="213"/>
      <c r="G97">
        <f ca="1">_xll.ErOutput("96",'PAR Stroke'!AA49)</f>
        <v>0</v>
      </c>
    </row>
    <row r="98" spans="1:7" x14ac:dyDescent="0.35">
      <c r="A98" s="212" t="s">
        <v>144</v>
      </c>
      <c r="B98" s="212" t="s">
        <v>82</v>
      </c>
      <c r="C98" s="167">
        <v>97</v>
      </c>
      <c r="D98" s="167" t="s">
        <v>257</v>
      </c>
      <c r="E98" s="125" t="s">
        <v>20</v>
      </c>
      <c r="F98" s="213"/>
      <c r="G98">
        <f ca="1">_xll.ErOutput("97",'PAR Stroke'!AA50)</f>
        <v>0</v>
      </c>
    </row>
    <row r="99" spans="1:7" ht="15" thickBot="1" x14ac:dyDescent="0.4">
      <c r="A99" s="212" t="s">
        <v>144</v>
      </c>
      <c r="B99" s="212" t="s">
        <v>82</v>
      </c>
      <c r="C99" s="167">
        <v>98</v>
      </c>
      <c r="D99" s="167" t="s">
        <v>257</v>
      </c>
      <c r="E99" s="125" t="s">
        <v>279</v>
      </c>
      <c r="F99" s="213"/>
      <c r="G99">
        <f ca="1">_xll.ErOutput("98",'PAR Stroke'!AA51)</f>
        <v>0</v>
      </c>
    </row>
    <row r="100" spans="1:7" x14ac:dyDescent="0.35">
      <c r="A100" s="212" t="s">
        <v>144</v>
      </c>
      <c r="B100" s="212" t="s">
        <v>82</v>
      </c>
      <c r="C100" s="167">
        <v>99</v>
      </c>
      <c r="D100" s="167" t="s">
        <v>256</v>
      </c>
      <c r="E100" s="178" t="s">
        <v>8</v>
      </c>
      <c r="F100" s="213"/>
      <c r="G100">
        <f ca="1">_xll.ErOutput("99",'PAR Stroke'!AA53)</f>
        <v>0</v>
      </c>
    </row>
    <row r="101" spans="1:7" x14ac:dyDescent="0.35">
      <c r="A101" s="212" t="s">
        <v>144</v>
      </c>
      <c r="B101" s="212" t="s">
        <v>82</v>
      </c>
      <c r="C101" s="167">
        <v>100</v>
      </c>
      <c r="D101" s="167" t="s">
        <v>256</v>
      </c>
      <c r="E101" s="125" t="s">
        <v>9</v>
      </c>
      <c r="F101" s="213"/>
      <c r="G101">
        <f ca="1">_xll.ErOutput("100",'PAR Stroke'!AA54)</f>
        <v>0</v>
      </c>
    </row>
    <row r="102" spans="1:7" x14ac:dyDescent="0.35">
      <c r="A102" s="212" t="s">
        <v>144</v>
      </c>
      <c r="B102" s="212" t="s">
        <v>82</v>
      </c>
      <c r="C102" s="167">
        <v>101</v>
      </c>
      <c r="D102" s="167" t="s">
        <v>256</v>
      </c>
      <c r="E102" s="125" t="s">
        <v>10</v>
      </c>
      <c r="F102" s="213"/>
      <c r="G102">
        <f ca="1">_xll.ErOutput("101",'PAR Stroke'!AA55)</f>
        <v>0</v>
      </c>
    </row>
    <row r="103" spans="1:7" x14ac:dyDescent="0.35">
      <c r="A103" s="212" t="s">
        <v>144</v>
      </c>
      <c r="B103" s="212" t="s">
        <v>82</v>
      </c>
      <c r="C103" s="167">
        <v>102</v>
      </c>
      <c r="D103" s="167" t="s">
        <v>256</v>
      </c>
      <c r="E103" s="125" t="s">
        <v>11</v>
      </c>
      <c r="F103" s="213"/>
      <c r="G103">
        <f ca="1">_xll.ErOutput("102",'PAR Stroke'!AA56)</f>
        <v>0</v>
      </c>
    </row>
    <row r="104" spans="1:7" x14ac:dyDescent="0.35">
      <c r="A104" s="212" t="s">
        <v>144</v>
      </c>
      <c r="B104" s="212" t="s">
        <v>82</v>
      </c>
      <c r="C104" s="167">
        <v>103</v>
      </c>
      <c r="D104" s="167" t="s">
        <v>256</v>
      </c>
      <c r="E104" s="125" t="s">
        <v>12</v>
      </c>
      <c r="F104" s="213"/>
      <c r="G104">
        <f ca="1">_xll.ErOutput("103",'PAR Stroke'!AA57)</f>
        <v>0</v>
      </c>
    </row>
    <row r="105" spans="1:7" x14ac:dyDescent="0.35">
      <c r="A105" s="212" t="s">
        <v>144</v>
      </c>
      <c r="B105" s="212" t="s">
        <v>82</v>
      </c>
      <c r="C105" s="167">
        <v>104</v>
      </c>
      <c r="D105" s="167" t="s">
        <v>256</v>
      </c>
      <c r="E105" s="125" t="s">
        <v>13</v>
      </c>
      <c r="F105" s="213"/>
      <c r="G105">
        <f ca="1">_xll.ErOutput("104",'PAR Stroke'!AA58)</f>
        <v>0</v>
      </c>
    </row>
    <row r="106" spans="1:7" x14ac:dyDescent="0.35">
      <c r="A106" s="212" t="s">
        <v>144</v>
      </c>
      <c r="B106" s="212" t="s">
        <v>82</v>
      </c>
      <c r="C106" s="167">
        <v>105</v>
      </c>
      <c r="D106" s="167" t="s">
        <v>256</v>
      </c>
      <c r="E106" s="125" t="s">
        <v>14</v>
      </c>
      <c r="F106" s="213"/>
      <c r="G106">
        <f ca="1">_xll.ErOutput("105",'PAR Stroke'!AA59)</f>
        <v>0</v>
      </c>
    </row>
    <row r="107" spans="1:7" x14ac:dyDescent="0.35">
      <c r="A107" s="212" t="s">
        <v>144</v>
      </c>
      <c r="B107" s="212" t="s">
        <v>82</v>
      </c>
      <c r="C107" s="167">
        <v>106</v>
      </c>
      <c r="D107" s="167" t="s">
        <v>256</v>
      </c>
      <c r="E107" s="125" t="s">
        <v>15</v>
      </c>
      <c r="F107" s="213"/>
      <c r="G107">
        <f ca="1">_xll.ErOutput("106",'PAR Stroke'!AA60)</f>
        <v>0</v>
      </c>
    </row>
    <row r="108" spans="1:7" x14ac:dyDescent="0.35">
      <c r="A108" s="212" t="s">
        <v>144</v>
      </c>
      <c r="B108" s="212" t="s">
        <v>82</v>
      </c>
      <c r="C108" s="167">
        <v>107</v>
      </c>
      <c r="D108" s="167" t="s">
        <v>256</v>
      </c>
      <c r="E108" s="125" t="s">
        <v>16</v>
      </c>
      <c r="F108" s="213"/>
      <c r="G108">
        <f ca="1">_xll.ErOutput("107",'PAR Stroke'!AA61)</f>
        <v>0</v>
      </c>
    </row>
    <row r="109" spans="1:7" x14ac:dyDescent="0.35">
      <c r="A109" s="212" t="s">
        <v>144</v>
      </c>
      <c r="B109" s="212" t="s">
        <v>82</v>
      </c>
      <c r="C109" s="167">
        <v>108</v>
      </c>
      <c r="D109" s="167" t="s">
        <v>256</v>
      </c>
      <c r="E109" s="125" t="s">
        <v>17</v>
      </c>
      <c r="F109" s="213"/>
      <c r="G109">
        <f ca="1">_xll.ErOutput("108",'PAR Stroke'!AA62)</f>
        <v>0</v>
      </c>
    </row>
    <row r="110" spans="1:7" x14ac:dyDescent="0.35">
      <c r="A110" s="212" t="s">
        <v>144</v>
      </c>
      <c r="B110" s="212" t="s">
        <v>82</v>
      </c>
      <c r="C110" s="167">
        <v>109</v>
      </c>
      <c r="D110" s="167" t="s">
        <v>256</v>
      </c>
      <c r="E110" s="125" t="s">
        <v>18</v>
      </c>
      <c r="F110" s="213"/>
      <c r="G110">
        <f ca="1">_xll.ErOutput("109",'PAR Stroke'!AA63)</f>
        <v>0</v>
      </c>
    </row>
    <row r="111" spans="1:7" x14ac:dyDescent="0.35">
      <c r="A111" s="212" t="s">
        <v>144</v>
      </c>
      <c r="B111" s="212" t="s">
        <v>82</v>
      </c>
      <c r="C111" s="167">
        <v>110</v>
      </c>
      <c r="D111" s="167" t="s">
        <v>256</v>
      </c>
      <c r="E111" s="125" t="s">
        <v>19</v>
      </c>
      <c r="F111" s="213"/>
      <c r="G111">
        <f ca="1">_xll.ErOutput("110",'PAR Stroke'!AA64)</f>
        <v>0</v>
      </c>
    </row>
    <row r="112" spans="1:7" x14ac:dyDescent="0.35">
      <c r="A112" s="212" t="s">
        <v>144</v>
      </c>
      <c r="B112" s="212" t="s">
        <v>82</v>
      </c>
      <c r="C112" s="167">
        <v>111</v>
      </c>
      <c r="D112" s="167" t="s">
        <v>256</v>
      </c>
      <c r="E112" s="125" t="s">
        <v>20</v>
      </c>
      <c r="F112" s="213"/>
      <c r="G112">
        <f ca="1">_xll.ErOutput("111",'PAR Stroke'!AA65)</f>
        <v>0</v>
      </c>
    </row>
    <row r="113" spans="1:7" x14ac:dyDescent="0.35">
      <c r="A113" s="212" t="s">
        <v>144</v>
      </c>
      <c r="B113" s="212" t="s">
        <v>82</v>
      </c>
      <c r="C113" s="167">
        <v>112</v>
      </c>
      <c r="D113" s="167" t="s">
        <v>256</v>
      </c>
      <c r="E113" s="125" t="s">
        <v>279</v>
      </c>
      <c r="F113" s="213"/>
      <c r="G113">
        <f ca="1">_xll.ErOutput("112",'PAR Stroke'!AA66)</f>
        <v>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rgb="FFFFC000"/>
  </sheetPr>
  <dimension ref="A1:AJ45"/>
  <sheetViews>
    <sheetView workbookViewId="0">
      <selection activeCell="J40" sqref="J40"/>
    </sheetView>
  </sheetViews>
  <sheetFormatPr defaultRowHeight="14.5" x14ac:dyDescent="0.35"/>
  <cols>
    <col min="1" max="1" width="16.54296875" customWidth="1"/>
    <col min="2" max="3" width="15.54296875" customWidth="1"/>
    <col min="4" max="4" width="16" hidden="1" customWidth="1"/>
    <col min="5" max="5" width="16.453125" hidden="1" customWidth="1"/>
    <col min="6" max="6" width="15.54296875" hidden="1" customWidth="1"/>
    <col min="7" max="7" width="15.54296875" customWidth="1"/>
    <col min="8" max="8" width="16.453125" bestFit="1" customWidth="1"/>
    <col min="10" max="10" width="15.54296875" customWidth="1"/>
    <col min="11" max="13" width="15.54296875" hidden="1" customWidth="1"/>
    <col min="14" max="14" width="15.54296875" customWidth="1"/>
    <col min="16" max="19" width="9.26953125" bestFit="1" customWidth="1"/>
    <col min="20" max="23" width="16.453125" hidden="1" customWidth="1"/>
    <col min="24" max="24" width="18.26953125" hidden="1" customWidth="1"/>
    <col min="25" max="25" width="18.54296875" hidden="1" customWidth="1"/>
    <col min="26" max="26" width="18.26953125" customWidth="1"/>
    <col min="27" max="27" width="18.54296875" customWidth="1"/>
    <col min="29" max="29" width="17" hidden="1" customWidth="1"/>
    <col min="30" max="30" width="12.7265625" hidden="1" customWidth="1"/>
    <col min="31" max="34" width="16.26953125" hidden="1" customWidth="1"/>
    <col min="35" max="36" width="16.26953125" customWidth="1"/>
  </cols>
  <sheetData>
    <row r="1" spans="1:36" x14ac:dyDescent="0.35">
      <c r="A1" s="1"/>
      <c r="P1" t="s">
        <v>152</v>
      </c>
      <c r="U1" t="s">
        <v>96</v>
      </c>
      <c r="Z1" t="s">
        <v>254</v>
      </c>
      <c r="AC1" t="s">
        <v>94</v>
      </c>
      <c r="AH1" t="s">
        <v>91</v>
      </c>
      <c r="AI1" t="s">
        <v>127</v>
      </c>
    </row>
    <row r="2" spans="1:36" x14ac:dyDescent="0.35">
      <c r="C2" t="s">
        <v>168</v>
      </c>
      <c r="J2" t="s">
        <v>91</v>
      </c>
      <c r="P2" s="229" t="s">
        <v>6</v>
      </c>
      <c r="Q2" s="230"/>
      <c r="R2" s="229" t="s">
        <v>25</v>
      </c>
      <c r="S2" s="230"/>
      <c r="T2" s="229" t="s">
        <v>87</v>
      </c>
      <c r="U2" s="230"/>
      <c r="V2" s="229" t="s">
        <v>92</v>
      </c>
      <c r="W2" s="230"/>
      <c r="X2" s="229" t="s">
        <v>88</v>
      </c>
      <c r="Y2" s="230"/>
      <c r="Z2" s="229" t="s">
        <v>255</v>
      </c>
      <c r="AA2" s="230"/>
      <c r="AC2" s="229" t="s">
        <v>87</v>
      </c>
      <c r="AD2" s="230"/>
      <c r="AE2" s="229" t="s">
        <v>92</v>
      </c>
      <c r="AF2" s="230"/>
      <c r="AG2" s="229" t="s">
        <v>88</v>
      </c>
      <c r="AH2" s="230"/>
      <c r="AI2" s="229" t="s">
        <v>95</v>
      </c>
      <c r="AJ2" s="230"/>
    </row>
    <row r="3" spans="1:36" s="77" customFormat="1" x14ac:dyDescent="0.35">
      <c r="A3" s="78"/>
      <c r="B3" s="78" t="s">
        <v>6</v>
      </c>
      <c r="C3" s="78" t="s">
        <v>25</v>
      </c>
      <c r="D3" s="78" t="s">
        <v>87</v>
      </c>
      <c r="E3" s="78" t="s">
        <v>90</v>
      </c>
      <c r="F3" s="78" t="s">
        <v>88</v>
      </c>
      <c r="G3" s="78" t="s">
        <v>252</v>
      </c>
      <c r="H3" s="78" t="s">
        <v>253</v>
      </c>
      <c r="I3" s="78"/>
      <c r="J3" s="78" t="s">
        <v>25</v>
      </c>
      <c r="K3" s="78" t="s">
        <v>87</v>
      </c>
      <c r="L3" s="78" t="s">
        <v>90</v>
      </c>
      <c r="M3" s="78" t="s">
        <v>88</v>
      </c>
      <c r="N3" s="78" t="s">
        <v>169</v>
      </c>
      <c r="P3" s="88"/>
      <c r="Q3" s="89"/>
      <c r="R3" s="88"/>
      <c r="S3" s="89"/>
      <c r="T3" s="88"/>
      <c r="U3" s="89"/>
      <c r="V3" s="88"/>
      <c r="W3" s="89"/>
      <c r="X3" s="88"/>
      <c r="Y3" s="89"/>
      <c r="Z3" s="88"/>
      <c r="AA3" s="89"/>
      <c r="AC3" s="88"/>
      <c r="AD3" s="89"/>
      <c r="AE3" s="88"/>
      <c r="AF3" s="89"/>
      <c r="AG3" s="88"/>
      <c r="AH3" s="89"/>
      <c r="AI3" s="88"/>
      <c r="AJ3" s="89"/>
    </row>
    <row r="4" spans="1:36" s="77" customFormat="1" x14ac:dyDescent="0.35">
      <c r="A4" s="77" t="s">
        <v>89</v>
      </c>
      <c r="B4" s="79">
        <f>'DALY YLL'!H38</f>
        <v>90767.12353775595</v>
      </c>
      <c r="C4" s="79">
        <f>C38+C21</f>
        <v>27772.313567411464</v>
      </c>
      <c r="D4" s="79" t="e">
        <f t="shared" ref="D4:G4" si="0">D38+D21</f>
        <v>#REF!</v>
      </c>
      <c r="E4" s="79" t="e">
        <f t="shared" si="0"/>
        <v>#REF!</v>
      </c>
      <c r="F4" s="79" t="e">
        <f t="shared" si="0"/>
        <v>#REF!</v>
      </c>
      <c r="G4" s="79">
        <f t="shared" si="0"/>
        <v>703861515.05247617</v>
      </c>
      <c r="H4" s="166">
        <f>(H38+H21)</f>
        <v>3.4268208350952241E-2</v>
      </c>
      <c r="J4" s="79">
        <f>J38+J21</f>
        <v>219613577.23946214</v>
      </c>
      <c r="K4" s="79" t="e">
        <f>K38+K21</f>
        <v>#REF!</v>
      </c>
      <c r="L4" s="79" t="e">
        <f>L38+L21</f>
        <v>#REF!</v>
      </c>
      <c r="M4" s="79" t="e">
        <f>M38+M21</f>
        <v>#REF!</v>
      </c>
      <c r="N4" s="79">
        <f>N38+N21</f>
        <v>7.9938032722452566E-3</v>
      </c>
      <c r="P4" s="95" t="e">
        <f>B4*Results!#REF!/Results!#REF!</f>
        <v>#REF!</v>
      </c>
      <c r="Q4" s="95" t="e">
        <f>B4*Results!#REF!/Results!#REF!</f>
        <v>#REF!</v>
      </c>
      <c r="R4" s="95" t="e">
        <f>C4*Results!#REF!/Results!#REF!</f>
        <v>#REF!</v>
      </c>
      <c r="S4" s="95" t="e">
        <f>C4*Results!#REF!/Results!#REF!</f>
        <v>#REF!</v>
      </c>
      <c r="T4" s="95" t="e">
        <f t="shared" ref="T4:Y4" si="1">T40</f>
        <v>#REF!</v>
      </c>
      <c r="U4" s="95" t="e">
        <f t="shared" si="1"/>
        <v>#REF!</v>
      </c>
      <c r="V4" s="95" t="e">
        <f t="shared" si="1"/>
        <v>#REF!</v>
      </c>
      <c r="W4" s="95" t="e">
        <f t="shared" si="1"/>
        <v>#REF!</v>
      </c>
      <c r="X4" s="95" t="e">
        <f t="shared" si="1"/>
        <v>#REF!</v>
      </c>
      <c r="Y4" s="95" t="e">
        <f t="shared" si="1"/>
        <v>#REF!</v>
      </c>
      <c r="Z4" s="95" t="e">
        <f>G4*Results!#REF!/Results!#REF!</f>
        <v>#REF!</v>
      </c>
      <c r="AA4" s="95" t="e">
        <f>G4*Results!#REF!/Results!#REF!</f>
        <v>#REF!</v>
      </c>
      <c r="AC4" s="95" t="e">
        <f t="shared" ref="AC4:AH4" si="2">AC40</f>
        <v>#REF!</v>
      </c>
      <c r="AD4" s="95" t="e">
        <f t="shared" si="2"/>
        <v>#REF!</v>
      </c>
      <c r="AE4" s="95" t="e">
        <f t="shared" si="2"/>
        <v>#REF!</v>
      </c>
      <c r="AF4" s="95" t="e">
        <f t="shared" si="2"/>
        <v>#REF!</v>
      </c>
      <c r="AG4" s="95" t="e">
        <f t="shared" si="2"/>
        <v>#REF!</v>
      </c>
      <c r="AH4" s="95" t="e">
        <f t="shared" si="2"/>
        <v>#REF!</v>
      </c>
      <c r="AI4" s="95" t="e">
        <f>J4*Results!#REF!/Results!#REF!</f>
        <v>#REF!</v>
      </c>
      <c r="AJ4" s="95" t="e">
        <f>J4*Results!#REF!/Results!#REF!</f>
        <v>#REF!</v>
      </c>
    </row>
    <row r="5" spans="1:36" s="77" customFormat="1" x14ac:dyDescent="0.35">
      <c r="P5" s="88"/>
      <c r="Q5" s="89"/>
      <c r="R5" s="88"/>
      <c r="S5" s="89"/>
      <c r="T5" s="88"/>
      <c r="U5" s="89"/>
      <c r="V5" s="88"/>
      <c r="W5" s="89"/>
      <c r="X5" s="88"/>
      <c r="Y5" s="89"/>
      <c r="Z5" s="88"/>
      <c r="AA5" s="89"/>
      <c r="AC5" s="88"/>
      <c r="AD5" s="89"/>
      <c r="AE5" s="88"/>
      <c r="AF5" s="89"/>
      <c r="AG5" s="88"/>
      <c r="AH5" s="89"/>
      <c r="AI5" s="88"/>
      <c r="AJ5" s="89"/>
    </row>
    <row r="6" spans="1:36" x14ac:dyDescent="0.35">
      <c r="A6" s="5" t="s">
        <v>257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P6" s="26"/>
      <c r="Q6" s="28"/>
      <c r="R6" s="26"/>
      <c r="S6" s="28"/>
      <c r="T6" s="26"/>
      <c r="U6" s="28"/>
      <c r="V6" s="26"/>
      <c r="W6" s="28"/>
      <c r="X6" s="26"/>
      <c r="Y6" s="28"/>
      <c r="Z6" s="26"/>
      <c r="AA6" s="28"/>
      <c r="AC6" s="26"/>
      <c r="AD6" s="28"/>
      <c r="AE6" s="26"/>
      <c r="AF6" s="28"/>
      <c r="AG6" s="26"/>
      <c r="AH6" s="28"/>
      <c r="AI6" s="26"/>
      <c r="AJ6" s="28"/>
    </row>
    <row r="7" spans="1:36" x14ac:dyDescent="0.35">
      <c r="A7" s="86" t="s">
        <v>260</v>
      </c>
      <c r="B7" s="87">
        <f>'DALY YLL'!H5</f>
        <v>-1.4071282062693401E-8</v>
      </c>
      <c r="C7" s="87">
        <f>YPLL!K3</f>
        <v>-1.3502756371343474E-8</v>
      </c>
      <c r="D7" s="87" t="e">
        <f>#REF!</f>
        <v>#REF!</v>
      </c>
      <c r="E7" s="87" t="e">
        <f>#REF!</f>
        <v>#REF!</v>
      </c>
      <c r="F7" s="87" t="e">
        <f>('Baseline and counterfactual'!$L$18+'Baseline and counterfactual'!$L$19+'Baseline and counterfactual'!$L$20+'Baseline and counterfactual'!$L$21)*D7/$D$40</f>
        <v>#REF!</v>
      </c>
      <c r="G7" s="87">
        <f>YPLL!L3</f>
        <v>-3.4221385747532903E-4</v>
      </c>
      <c r="H7" s="166">
        <f>YPLL!O3*100</f>
        <v>-1.666102708808187E-14</v>
      </c>
      <c r="I7" s="27"/>
      <c r="J7" s="87">
        <f>YPLL!N3</f>
        <v>-1.0677499453208394E-4</v>
      </c>
      <c r="K7" s="87" t="e">
        <f>D7/'Baseline and counterfactual'!$L$4</f>
        <v>#REF!</v>
      </c>
      <c r="L7" s="87" t="e">
        <f>E7/'Baseline and counterfactual'!$L$4</f>
        <v>#REF!</v>
      </c>
      <c r="M7" s="87" t="e">
        <f>F7/'Baseline and counterfactual'!$L$4</f>
        <v>#REF!</v>
      </c>
      <c r="N7" s="87">
        <f>H7/'Baseline and counterfactual'!$L$4</f>
        <v>-5.1984483894171203E-15</v>
      </c>
      <c r="P7" s="95" t="e">
        <f>B7*Results!#REF!/Results!#REF!</f>
        <v>#REF!</v>
      </c>
      <c r="Q7" s="95" t="e">
        <f>B7*Results!#REF!/Results!#REF!</f>
        <v>#REF!</v>
      </c>
      <c r="R7" s="95" t="e">
        <f>C7*Results!#REF!/Results!#REF!</f>
        <v>#REF!</v>
      </c>
      <c r="S7" s="95" t="e">
        <f>C7*Results!#REF!/Results!#REF!</f>
        <v>#REF!</v>
      </c>
      <c r="T7" s="92" t="e">
        <f>#REF!</f>
        <v>#REF!</v>
      </c>
      <c r="U7" s="92" t="e">
        <f>#REF!</f>
        <v>#REF!</v>
      </c>
      <c r="V7" s="92" t="e">
        <f>#REF!</f>
        <v>#REF!</v>
      </c>
      <c r="W7" s="92" t="e">
        <f>#REF!</f>
        <v>#REF!</v>
      </c>
      <c r="X7" s="92" t="e">
        <f>#REF!</f>
        <v>#REF!</v>
      </c>
      <c r="Y7" s="92" t="e">
        <f>#REF!</f>
        <v>#REF!</v>
      </c>
      <c r="Z7" s="95" t="e">
        <f>G7*Results!#REF!/Results!#REF!</f>
        <v>#REF!</v>
      </c>
      <c r="AA7" s="95" t="e">
        <f>G7*Results!#REF!/Results!#REF!</f>
        <v>#REF!</v>
      </c>
      <c r="AC7" s="92" t="e">
        <f>T7/'Baseline and counterfactual'!$L$4</f>
        <v>#REF!</v>
      </c>
      <c r="AD7" s="92" t="e">
        <f>U7/'Baseline and counterfactual'!$L$4</f>
        <v>#REF!</v>
      </c>
      <c r="AE7" s="92" t="e">
        <f>V7/'Baseline and counterfactual'!$L$4</f>
        <v>#REF!</v>
      </c>
      <c r="AF7" s="92" t="e">
        <f>W7/'Baseline and counterfactual'!$L$4</f>
        <v>#REF!</v>
      </c>
      <c r="AG7" s="92" t="e">
        <f>X7/'Baseline and counterfactual'!$L$4</f>
        <v>#REF!</v>
      </c>
      <c r="AH7" s="92" t="e">
        <f>Y7/'Baseline and counterfactual'!$L$4</f>
        <v>#REF!</v>
      </c>
      <c r="AI7" s="95" t="e">
        <f>J7*Results!#REF!/Results!#REF!</f>
        <v>#REF!</v>
      </c>
      <c r="AJ7" s="95" t="e">
        <f>J7*Results!#REF!/Results!#REF!</f>
        <v>#REF!</v>
      </c>
    </row>
    <row r="8" spans="1:36" x14ac:dyDescent="0.35">
      <c r="A8" s="1" t="s">
        <v>261</v>
      </c>
      <c r="B8" s="15">
        <f>'DALY YLL'!H6</f>
        <v>-2.3460547600018385E-8</v>
      </c>
      <c r="C8" s="87">
        <f>YPLL!K4</f>
        <v>-2.0933390859228559E-8</v>
      </c>
      <c r="D8" s="87" t="e">
        <f>#REF!</f>
        <v>#REF!</v>
      </c>
      <c r="E8" s="87" t="e">
        <f>#REF!</f>
        <v>#REF!</v>
      </c>
      <c r="F8" s="87" t="e">
        <f>('Baseline and counterfactual'!$L$18+'Baseline and counterfactual'!$L$19+'Baseline and counterfactual'!$L$20+'Baseline and counterfactual'!$L$21)*D8/$D$40</f>
        <v>#REF!</v>
      </c>
      <c r="G8" s="87">
        <f>YPLL!L4</f>
        <v>-5.3053585793628858E-4</v>
      </c>
      <c r="H8" s="166">
        <f>YPLL!O4*100</f>
        <v>-2.5829673776178109E-14</v>
      </c>
      <c r="I8" s="27"/>
      <c r="J8" s="87">
        <f>YPLL!N4</f>
        <v>-1.6553380902848317E-4</v>
      </c>
      <c r="K8" s="87" t="e">
        <f>D8/'Baseline and counterfactual'!$L$4</f>
        <v>#REF!</v>
      </c>
      <c r="L8" s="87" t="e">
        <f>E8/'Baseline and counterfactual'!$L$4</f>
        <v>#REF!</v>
      </c>
      <c r="M8" s="87" t="e">
        <f>F8/'Baseline and counterfactual'!$L$4</f>
        <v>#REF!</v>
      </c>
      <c r="N8" s="87">
        <f>H8/'Baseline and counterfactual'!$L$4</f>
        <v>-8.0591805853909855E-15</v>
      </c>
      <c r="P8" s="95" t="e">
        <f>B8*Results!#REF!/Results!#REF!</f>
        <v>#REF!</v>
      </c>
      <c r="Q8" s="95" t="e">
        <f>B8*Results!#REF!/Results!#REF!</f>
        <v>#REF!</v>
      </c>
      <c r="R8" s="95" t="e">
        <f>C8*Results!#REF!/Results!#REF!</f>
        <v>#REF!</v>
      </c>
      <c r="S8" s="95" t="e">
        <f>C8*Results!#REF!/Results!#REF!</f>
        <v>#REF!</v>
      </c>
      <c r="T8" s="92" t="e">
        <f>#REF!</f>
        <v>#REF!</v>
      </c>
      <c r="U8" s="92" t="e">
        <f>#REF!</f>
        <v>#REF!</v>
      </c>
      <c r="V8" s="92" t="e">
        <f>#REF!</f>
        <v>#REF!</v>
      </c>
      <c r="W8" s="92" t="e">
        <f>#REF!</f>
        <v>#REF!</v>
      </c>
      <c r="X8" s="92" t="e">
        <f>#REF!</f>
        <v>#REF!</v>
      </c>
      <c r="Y8" s="92" t="e">
        <f>#REF!</f>
        <v>#REF!</v>
      </c>
      <c r="Z8" s="95" t="e">
        <f>G8*Results!#REF!/Results!#REF!</f>
        <v>#REF!</v>
      </c>
      <c r="AA8" s="95" t="e">
        <f>G8*Results!#REF!/Results!#REF!</f>
        <v>#REF!</v>
      </c>
      <c r="AC8" s="92" t="e">
        <f>T8/'Baseline and counterfactual'!$L$4</f>
        <v>#REF!</v>
      </c>
      <c r="AD8" s="92" t="e">
        <f>U8/'Baseline and counterfactual'!$L$4</f>
        <v>#REF!</v>
      </c>
      <c r="AE8" s="92" t="e">
        <f>V8/'Baseline and counterfactual'!$L$4</f>
        <v>#REF!</v>
      </c>
      <c r="AF8" s="92" t="e">
        <f>W8/'Baseline and counterfactual'!$L$4</f>
        <v>#REF!</v>
      </c>
      <c r="AG8" s="92" t="e">
        <f>X8/'Baseline and counterfactual'!$L$4</f>
        <v>#REF!</v>
      </c>
      <c r="AH8" s="92" t="e">
        <f>Y8/'Baseline and counterfactual'!$L$4</f>
        <v>#REF!</v>
      </c>
      <c r="AI8" s="95" t="e">
        <f>J8*Results!#REF!/Results!#REF!</f>
        <v>#REF!</v>
      </c>
      <c r="AJ8" s="95" t="e">
        <f>J8*Results!#REF!/Results!#REF!</f>
        <v>#REF!</v>
      </c>
    </row>
    <row r="9" spans="1:36" x14ac:dyDescent="0.35">
      <c r="A9" s="1" t="s">
        <v>262</v>
      </c>
      <c r="B9" s="15">
        <f>'DALY YLL'!H7</f>
        <v>1300.843643502436</v>
      </c>
      <c r="C9" s="87">
        <f>YPLL!K5</f>
        <v>1073.0895401911134</v>
      </c>
      <c r="D9" s="87" t="e">
        <f>#REF!</f>
        <v>#REF!</v>
      </c>
      <c r="E9" s="87" t="e">
        <f>#REF!</f>
        <v>#REF!</v>
      </c>
      <c r="F9" s="87" t="e">
        <f>('Baseline and counterfactual'!$L$18+'Baseline and counterfactual'!$L$19+'Baseline and counterfactual'!$L$20+'Baseline and counterfactual'!$L$21)*D9/$D$40</f>
        <v>#REF!</v>
      </c>
      <c r="G9" s="87">
        <f>YPLL!L5</f>
        <v>27196381.306603577</v>
      </c>
      <c r="H9" s="166">
        <f>YPLL!O5*100</f>
        <v>1.3240832764342164E-3</v>
      </c>
      <c r="I9" s="27"/>
      <c r="J9" s="87">
        <f>YPLL!N5</f>
        <v>8485610.3920759987</v>
      </c>
      <c r="K9" s="87" t="e">
        <f>D9/'Baseline and counterfactual'!$L$4</f>
        <v>#REF!</v>
      </c>
      <c r="L9" s="87" t="e">
        <f>E9/'Baseline and counterfactual'!$L$4</f>
        <v>#REF!</v>
      </c>
      <c r="M9" s="87" t="e">
        <f>F9/'Baseline and counterfactual'!$L$4</f>
        <v>#REF!</v>
      </c>
      <c r="N9" s="87">
        <f>H9/'Baseline and counterfactual'!$L$4</f>
        <v>4.1313050746777423E-4</v>
      </c>
      <c r="P9" s="95" t="e">
        <f>B9*Results!#REF!/Results!#REF!</f>
        <v>#REF!</v>
      </c>
      <c r="Q9" s="95" t="e">
        <f>B9*Results!#REF!/Results!#REF!</f>
        <v>#REF!</v>
      </c>
      <c r="R9" s="95" t="e">
        <f>C9*Results!#REF!/Results!#REF!</f>
        <v>#REF!</v>
      </c>
      <c r="S9" s="95" t="e">
        <f>C9*Results!#REF!/Results!#REF!</f>
        <v>#REF!</v>
      </c>
      <c r="T9" s="92" t="e">
        <f>#REF!</f>
        <v>#REF!</v>
      </c>
      <c r="U9" s="92" t="e">
        <f>#REF!</f>
        <v>#REF!</v>
      </c>
      <c r="V9" s="92" t="e">
        <f>#REF!</f>
        <v>#REF!</v>
      </c>
      <c r="W9" s="92" t="e">
        <f>#REF!</f>
        <v>#REF!</v>
      </c>
      <c r="X9" s="92" t="e">
        <f>#REF!</f>
        <v>#REF!</v>
      </c>
      <c r="Y9" s="92" t="e">
        <f>#REF!</f>
        <v>#REF!</v>
      </c>
      <c r="Z9" s="95" t="e">
        <f>G9*Results!#REF!/Results!#REF!</f>
        <v>#REF!</v>
      </c>
      <c r="AA9" s="95" t="e">
        <f>G9*Results!#REF!/Results!#REF!</f>
        <v>#REF!</v>
      </c>
      <c r="AC9" s="92" t="e">
        <f>T9/'Baseline and counterfactual'!$L$4</f>
        <v>#REF!</v>
      </c>
      <c r="AD9" s="92" t="e">
        <f>U9/'Baseline and counterfactual'!$L$4</f>
        <v>#REF!</v>
      </c>
      <c r="AE9" s="92" t="e">
        <f>V9/'Baseline and counterfactual'!$L$4</f>
        <v>#REF!</v>
      </c>
      <c r="AF9" s="92" t="e">
        <f>W9/'Baseline and counterfactual'!$L$4</f>
        <v>#REF!</v>
      </c>
      <c r="AG9" s="92" t="e">
        <f>X9/'Baseline and counterfactual'!$L$4</f>
        <v>#REF!</v>
      </c>
      <c r="AH9" s="92" t="e">
        <f>Y9/'Baseline and counterfactual'!$L$4</f>
        <v>#REF!</v>
      </c>
      <c r="AI9" s="95" t="e">
        <f>J9*Results!#REF!/Results!#REF!</f>
        <v>#REF!</v>
      </c>
      <c r="AJ9" s="95" t="e">
        <f>J9*Results!#REF!/Results!#REF!</f>
        <v>#REF!</v>
      </c>
    </row>
    <row r="10" spans="1:36" x14ac:dyDescent="0.35">
      <c r="A10" s="1" t="s">
        <v>263</v>
      </c>
      <c r="B10" s="15">
        <f>'DALY YLL'!H8</f>
        <v>2323.2829261809843</v>
      </c>
      <c r="C10" s="87">
        <f>YPLL!K6</f>
        <v>1758.5913220575167</v>
      </c>
      <c r="D10" s="87" t="e">
        <f>#REF!</f>
        <v>#REF!</v>
      </c>
      <c r="E10" s="87" t="e">
        <f>#REF!</f>
        <v>#REF!</v>
      </c>
      <c r="F10" s="87" t="e">
        <f>('Baseline and counterfactual'!$L$18+'Baseline and counterfactual'!$L$19+'Baseline and counterfactual'!$L$20+'Baseline and counterfactual'!$L$21)*D10/$D$40</f>
        <v>#REF!</v>
      </c>
      <c r="G10" s="87">
        <f>YPLL!L6</f>
        <v>44569738.466225699</v>
      </c>
      <c r="H10" s="166">
        <f>YPLL!O6*100</f>
        <v>2.1699227067333037E-3</v>
      </c>
      <c r="I10" s="27"/>
      <c r="J10" s="87">
        <f>YPLL!N6</f>
        <v>13906314.654048579</v>
      </c>
      <c r="K10" s="87" t="e">
        <f>D10/'Baseline and counterfactual'!$L$4</f>
        <v>#REF!</v>
      </c>
      <c r="L10" s="87" t="e">
        <f>E10/'Baseline and counterfactual'!$L$4</f>
        <v>#REF!</v>
      </c>
      <c r="M10" s="87" t="e">
        <f>F10/'Baseline and counterfactual'!$L$4</f>
        <v>#REF!</v>
      </c>
      <c r="N10" s="87">
        <f>H10/'Baseline and counterfactual'!$L$4</f>
        <v>6.7704296621943951E-4</v>
      </c>
      <c r="P10" s="95" t="e">
        <f>B10*Results!#REF!/Results!#REF!</f>
        <v>#REF!</v>
      </c>
      <c r="Q10" s="95" t="e">
        <f>B10*Results!#REF!/Results!#REF!</f>
        <v>#REF!</v>
      </c>
      <c r="R10" s="95" t="e">
        <f>C10*Results!#REF!/Results!#REF!</f>
        <v>#REF!</v>
      </c>
      <c r="S10" s="95" t="e">
        <f>C10*Results!#REF!/Results!#REF!</f>
        <v>#REF!</v>
      </c>
      <c r="T10" s="92" t="e">
        <f>#REF!</f>
        <v>#REF!</v>
      </c>
      <c r="U10" s="92" t="e">
        <f>#REF!</f>
        <v>#REF!</v>
      </c>
      <c r="V10" s="92" t="e">
        <f>#REF!</f>
        <v>#REF!</v>
      </c>
      <c r="W10" s="92" t="e">
        <f>#REF!</f>
        <v>#REF!</v>
      </c>
      <c r="X10" s="92" t="e">
        <f>#REF!</f>
        <v>#REF!</v>
      </c>
      <c r="Y10" s="92" t="e">
        <f>#REF!</f>
        <v>#REF!</v>
      </c>
      <c r="Z10" s="95" t="e">
        <f>G10*Results!#REF!/Results!#REF!</f>
        <v>#REF!</v>
      </c>
      <c r="AA10" s="95" t="e">
        <f>G10*Results!#REF!/Results!#REF!</f>
        <v>#REF!</v>
      </c>
      <c r="AC10" s="92" t="e">
        <f>T10/'Baseline and counterfactual'!$L$4</f>
        <v>#REF!</v>
      </c>
      <c r="AD10" s="92" t="e">
        <f>U10/'Baseline and counterfactual'!$L$4</f>
        <v>#REF!</v>
      </c>
      <c r="AE10" s="92" t="e">
        <f>V10/'Baseline and counterfactual'!$L$4</f>
        <v>#REF!</v>
      </c>
      <c r="AF10" s="92" t="e">
        <f>W10/'Baseline and counterfactual'!$L$4</f>
        <v>#REF!</v>
      </c>
      <c r="AG10" s="92" t="e">
        <f>X10/'Baseline and counterfactual'!$L$4</f>
        <v>#REF!</v>
      </c>
      <c r="AH10" s="92" t="e">
        <f>Y10/'Baseline and counterfactual'!$L$4</f>
        <v>#REF!</v>
      </c>
      <c r="AI10" s="95" t="e">
        <f>J10*Results!#REF!/Results!#REF!</f>
        <v>#REF!</v>
      </c>
      <c r="AJ10" s="95" t="e">
        <f>J10*Results!#REF!/Results!#REF!</f>
        <v>#REF!</v>
      </c>
    </row>
    <row r="11" spans="1:36" x14ac:dyDescent="0.35">
      <c r="A11" s="1" t="s">
        <v>264</v>
      </c>
      <c r="B11" s="15">
        <f>'DALY YLL'!H9</f>
        <v>3368.9577223182246</v>
      </c>
      <c r="C11" s="87">
        <f>YPLL!K7</f>
        <v>2315.9034258646057</v>
      </c>
      <c r="D11" s="87" t="e">
        <f>#REF!</f>
        <v>#REF!</v>
      </c>
      <c r="E11" s="87" t="e">
        <f>#REF!</f>
        <v>#REF!</v>
      </c>
      <c r="F11" s="87" t="e">
        <f>('Baseline and counterfactual'!$L$18+'Baseline and counterfactual'!$L$19+'Baseline and counterfactual'!$L$20+'Baseline and counterfactual'!$L$21)*D11/$D$40</f>
        <v>#REF!</v>
      </c>
      <c r="G11" s="87">
        <f>YPLL!L7</f>
        <v>58694256.42511256</v>
      </c>
      <c r="H11" s="166">
        <f>YPLL!O7*100</f>
        <v>2.8575891211071814E-3</v>
      </c>
      <c r="I11" s="27"/>
      <c r="J11" s="87">
        <f>YPLL!N7</f>
        <v>18313340.538256649</v>
      </c>
      <c r="K11" s="87" t="e">
        <f>D11/'Baseline and counterfactual'!$L$4</f>
        <v>#REF!</v>
      </c>
      <c r="L11" s="87" t="e">
        <f>E11/'Baseline and counterfactual'!$L$4</f>
        <v>#REF!</v>
      </c>
      <c r="M11" s="87" t="e">
        <f>F11/'Baseline and counterfactual'!$L$4</f>
        <v>#REF!</v>
      </c>
      <c r="N11" s="87">
        <f>H11/'Baseline and counterfactual'!$L$4</f>
        <v>8.9160346992423758E-4</v>
      </c>
      <c r="P11" s="95" t="e">
        <f>B11*Results!#REF!/Results!#REF!</f>
        <v>#REF!</v>
      </c>
      <c r="Q11" s="95" t="e">
        <f>B11*Results!#REF!/Results!#REF!</f>
        <v>#REF!</v>
      </c>
      <c r="R11" s="95" t="e">
        <f>C11*Results!#REF!/Results!#REF!</f>
        <v>#REF!</v>
      </c>
      <c r="S11" s="95" t="e">
        <f>C11*Results!#REF!/Results!#REF!</f>
        <v>#REF!</v>
      </c>
      <c r="T11" s="92" t="e">
        <f>#REF!</f>
        <v>#REF!</v>
      </c>
      <c r="U11" s="92" t="e">
        <f>#REF!</f>
        <v>#REF!</v>
      </c>
      <c r="V11" s="92" t="e">
        <f>#REF!</f>
        <v>#REF!</v>
      </c>
      <c r="W11" s="92" t="e">
        <f>#REF!</f>
        <v>#REF!</v>
      </c>
      <c r="X11" s="92" t="e">
        <f>#REF!</f>
        <v>#REF!</v>
      </c>
      <c r="Y11" s="92" t="e">
        <f>#REF!</f>
        <v>#REF!</v>
      </c>
      <c r="Z11" s="95" t="e">
        <f>G11*Results!#REF!/Results!#REF!</f>
        <v>#REF!</v>
      </c>
      <c r="AA11" s="95" t="e">
        <f>G11*Results!#REF!/Results!#REF!</f>
        <v>#REF!</v>
      </c>
      <c r="AC11" s="92" t="e">
        <f>T11/'Baseline and counterfactual'!$L$4</f>
        <v>#REF!</v>
      </c>
      <c r="AD11" s="92" t="e">
        <f>U11/'Baseline and counterfactual'!$L$4</f>
        <v>#REF!</v>
      </c>
      <c r="AE11" s="92" t="e">
        <f>V11/'Baseline and counterfactual'!$L$4</f>
        <v>#REF!</v>
      </c>
      <c r="AF11" s="92" t="e">
        <f>W11/'Baseline and counterfactual'!$L$4</f>
        <v>#REF!</v>
      </c>
      <c r="AG11" s="92" t="e">
        <f>X11/'Baseline and counterfactual'!$L$4</f>
        <v>#REF!</v>
      </c>
      <c r="AH11" s="92" t="e">
        <f>Y11/'Baseline and counterfactual'!$L$4</f>
        <v>#REF!</v>
      </c>
      <c r="AI11" s="95" t="e">
        <f>J11*Results!#REF!/Results!#REF!</f>
        <v>#REF!</v>
      </c>
      <c r="AJ11" s="95" t="e">
        <f>J11*Results!#REF!/Results!#REF!</f>
        <v>#REF!</v>
      </c>
    </row>
    <row r="12" spans="1:36" x14ac:dyDescent="0.35">
      <c r="A12" s="1" t="s">
        <v>265</v>
      </c>
      <c r="B12" s="15">
        <f>'DALY YLL'!H10</f>
        <v>5589.9675341264674</v>
      </c>
      <c r="C12" s="87">
        <f>YPLL!K8</f>
        <v>3436.5966169637541</v>
      </c>
      <c r="D12" s="87" t="e">
        <f>#REF!</f>
        <v>#REF!</v>
      </c>
      <c r="E12" s="87" t="e">
        <f>#REF!</f>
        <v>#REF!</v>
      </c>
      <c r="F12" s="87" t="e">
        <f>('Baseline and counterfactual'!$L$18+'Baseline and counterfactual'!$L$19+'Baseline and counterfactual'!$L$20+'Baseline and counterfactual'!$L$21)*D12/$D$40</f>
        <v>#REF!</v>
      </c>
      <c r="G12" s="87">
        <f>YPLL!L8</f>
        <v>87097104.660329387</v>
      </c>
      <c r="H12" s="166">
        <f>YPLL!O8*100</f>
        <v>4.2404104577906075E-3</v>
      </c>
      <c r="I12" s="27"/>
      <c r="J12" s="87">
        <f>YPLL!N8</f>
        <v>27175383.669369541</v>
      </c>
      <c r="K12" s="87" t="e">
        <f>D12/'Baseline and counterfactual'!$L$4</f>
        <v>#REF!</v>
      </c>
      <c r="L12" s="87" t="e">
        <f>E12/'Baseline and counterfactual'!$L$4</f>
        <v>#REF!</v>
      </c>
      <c r="M12" s="87" t="e">
        <f>F12/'Baseline and counterfactual'!$L$4</f>
        <v>#REF!</v>
      </c>
      <c r="N12" s="87">
        <f>H12/'Baseline and counterfactual'!$L$4</f>
        <v>1.3230609852700804E-3</v>
      </c>
      <c r="P12" s="95" t="e">
        <f>B12*Results!#REF!/Results!#REF!</f>
        <v>#REF!</v>
      </c>
      <c r="Q12" s="95" t="e">
        <f>B12*Results!#REF!/Results!#REF!</f>
        <v>#REF!</v>
      </c>
      <c r="R12" s="95" t="e">
        <f>C12*Results!#REF!/Results!#REF!</f>
        <v>#REF!</v>
      </c>
      <c r="S12" s="95" t="e">
        <f>C12*Results!#REF!/Results!#REF!</f>
        <v>#REF!</v>
      </c>
      <c r="T12" s="92" t="e">
        <f>#REF!</f>
        <v>#REF!</v>
      </c>
      <c r="U12" s="92" t="e">
        <f>#REF!</f>
        <v>#REF!</v>
      </c>
      <c r="V12" s="92" t="e">
        <f>#REF!</f>
        <v>#REF!</v>
      </c>
      <c r="W12" s="92" t="e">
        <f>#REF!</f>
        <v>#REF!</v>
      </c>
      <c r="X12" s="92" t="e">
        <f>#REF!</f>
        <v>#REF!</v>
      </c>
      <c r="Y12" s="92" t="e">
        <f>#REF!</f>
        <v>#REF!</v>
      </c>
      <c r="Z12" s="95" t="e">
        <f>G12*Results!#REF!/Results!#REF!</f>
        <v>#REF!</v>
      </c>
      <c r="AA12" s="95" t="e">
        <f>G12*Results!#REF!/Results!#REF!</f>
        <v>#REF!</v>
      </c>
      <c r="AC12" s="92" t="e">
        <f>T12/'Baseline and counterfactual'!$L$4</f>
        <v>#REF!</v>
      </c>
      <c r="AD12" s="92" t="e">
        <f>U12/'Baseline and counterfactual'!$L$4</f>
        <v>#REF!</v>
      </c>
      <c r="AE12" s="92" t="e">
        <f>V12/'Baseline and counterfactual'!$L$4</f>
        <v>#REF!</v>
      </c>
      <c r="AF12" s="92" t="e">
        <f>W12/'Baseline and counterfactual'!$L$4</f>
        <v>#REF!</v>
      </c>
      <c r="AG12" s="92" t="e">
        <f>X12/'Baseline and counterfactual'!$L$4</f>
        <v>#REF!</v>
      </c>
      <c r="AH12" s="92" t="e">
        <f>Y12/'Baseline and counterfactual'!$L$4</f>
        <v>#REF!</v>
      </c>
      <c r="AI12" s="95" t="e">
        <f>J12*Results!#REF!/Results!#REF!</f>
        <v>#REF!</v>
      </c>
      <c r="AJ12" s="95" t="e">
        <f>J12*Results!#REF!/Results!#REF!</f>
        <v>#REF!</v>
      </c>
    </row>
    <row r="13" spans="1:36" x14ac:dyDescent="0.35">
      <c r="A13" s="1" t="s">
        <v>266</v>
      </c>
      <c r="B13" s="15">
        <f>'DALY YLL'!H11</f>
        <v>7115.1033052847515</v>
      </c>
      <c r="C13" s="87">
        <f>YPLL!K9</f>
        <v>3814.6134206281372</v>
      </c>
      <c r="D13" s="87" t="e">
        <f>#REF!</f>
        <v>#REF!</v>
      </c>
      <c r="E13" s="87" t="e">
        <f>#REF!</f>
        <v>#REF!</v>
      </c>
      <c r="F13" s="87" t="e">
        <f>('Baseline and counterfactual'!$L$18+'Baseline and counterfactual'!$L$19+'Baseline and counterfactual'!$L$20+'Baseline and counterfactual'!$L$21)*D13/$D$40</f>
        <v>#REF!</v>
      </c>
      <c r="G13" s="87">
        <f>YPLL!L9</f>
        <v>96677562.532399505</v>
      </c>
      <c r="H13" s="166">
        <f>YPLL!O9*100</f>
        <v>4.7068447199808666E-3</v>
      </c>
      <c r="I13" s="27"/>
      <c r="J13" s="87">
        <f>YPLL!N9</f>
        <v>30164606.09435242</v>
      </c>
      <c r="K13" s="87" t="e">
        <f>D13/'Baseline and counterfactual'!$L$4</f>
        <v>#REF!</v>
      </c>
      <c r="L13" s="87" t="e">
        <f>E13/'Baseline and counterfactual'!$L$4</f>
        <v>#REF!</v>
      </c>
      <c r="M13" s="87" t="e">
        <f>F13/'Baseline and counterfactual'!$L$4</f>
        <v>#REF!</v>
      </c>
      <c r="N13" s="87">
        <f>H13/'Baseline and counterfactual'!$L$4</f>
        <v>1.4685942964058865E-3</v>
      </c>
      <c r="P13" s="95" t="e">
        <f>B13*Results!#REF!/Results!#REF!</f>
        <v>#REF!</v>
      </c>
      <c r="Q13" s="95" t="e">
        <f>B13*Results!#REF!/Results!#REF!</f>
        <v>#REF!</v>
      </c>
      <c r="R13" s="95" t="e">
        <f>C13*Results!#REF!/Results!#REF!</f>
        <v>#REF!</v>
      </c>
      <c r="S13" s="95" t="e">
        <f>C13*Results!#REF!/Results!#REF!</f>
        <v>#REF!</v>
      </c>
      <c r="T13" s="92" t="e">
        <f>#REF!</f>
        <v>#REF!</v>
      </c>
      <c r="U13" s="92" t="e">
        <f>#REF!</f>
        <v>#REF!</v>
      </c>
      <c r="V13" s="92" t="e">
        <f>#REF!</f>
        <v>#REF!</v>
      </c>
      <c r="W13" s="92" t="e">
        <f>#REF!</f>
        <v>#REF!</v>
      </c>
      <c r="X13" s="92" t="e">
        <f>#REF!</f>
        <v>#REF!</v>
      </c>
      <c r="Y13" s="92" t="e">
        <f>#REF!</f>
        <v>#REF!</v>
      </c>
      <c r="Z13" s="95" t="e">
        <f>G13*Results!#REF!/Results!#REF!</f>
        <v>#REF!</v>
      </c>
      <c r="AA13" s="95" t="e">
        <f>G13*Results!#REF!/Results!#REF!</f>
        <v>#REF!</v>
      </c>
      <c r="AC13" s="92" t="e">
        <f>T13/'Baseline and counterfactual'!$L$4</f>
        <v>#REF!</v>
      </c>
      <c r="AD13" s="92" t="e">
        <f>U13/'Baseline and counterfactual'!$L$4</f>
        <v>#REF!</v>
      </c>
      <c r="AE13" s="92" t="e">
        <f>V13/'Baseline and counterfactual'!$L$4</f>
        <v>#REF!</v>
      </c>
      <c r="AF13" s="92" t="e">
        <f>W13/'Baseline and counterfactual'!$L$4</f>
        <v>#REF!</v>
      </c>
      <c r="AG13" s="92" t="e">
        <f>X13/'Baseline and counterfactual'!$L$4</f>
        <v>#REF!</v>
      </c>
      <c r="AH13" s="92" t="e">
        <f>Y13/'Baseline and counterfactual'!$L$4</f>
        <v>#REF!</v>
      </c>
      <c r="AI13" s="95" t="e">
        <f>J13*Results!#REF!/Results!#REF!</f>
        <v>#REF!</v>
      </c>
      <c r="AJ13" s="95" t="e">
        <f>J13*Results!#REF!/Results!#REF!</f>
        <v>#REF!</v>
      </c>
    </row>
    <row r="14" spans="1:36" x14ac:dyDescent="0.35">
      <c r="A14" s="1" t="s">
        <v>267</v>
      </c>
      <c r="B14" s="15">
        <f>'DALY YLL'!H12</f>
        <v>9738.243542599861</v>
      </c>
      <c r="C14" s="87">
        <f>YPLL!K10</f>
        <v>4340.6244591362756</v>
      </c>
      <c r="D14" s="87" t="e">
        <f>#REF!</f>
        <v>#REF!</v>
      </c>
      <c r="E14" s="87" t="e">
        <f>#REF!</f>
        <v>#REF!</v>
      </c>
      <c r="F14" s="87" t="e">
        <f>('Baseline and counterfactual'!$L$18+'Baseline and counterfactual'!$L$19+'Baseline and counterfactual'!$L$20+'Baseline and counterfactual'!$L$21)*D14/$D$40</f>
        <v>#REF!</v>
      </c>
      <c r="G14" s="87">
        <f>YPLL!L10</f>
        <v>110008786.29234977</v>
      </c>
      <c r="H14" s="166">
        <f>YPLL!O10*100</f>
        <v>5.3558888055139139E-3</v>
      </c>
      <c r="I14" s="27"/>
      <c r="J14" s="87">
        <f>YPLL!N10</f>
        <v>34324114.287784636</v>
      </c>
      <c r="K14" s="87" t="e">
        <f>D14/'Baseline and counterfactual'!$L$4</f>
        <v>#REF!</v>
      </c>
      <c r="L14" s="87" t="e">
        <f>E14/'Baseline and counterfactual'!$L$4</f>
        <v>#REF!</v>
      </c>
      <c r="M14" s="87" t="e">
        <f>F14/'Baseline and counterfactual'!$L$4</f>
        <v>#REF!</v>
      </c>
      <c r="N14" s="87">
        <f>H14/'Baseline and counterfactual'!$L$4</f>
        <v>1.6711041514864005E-3</v>
      </c>
      <c r="P14" s="95" t="e">
        <f>B14*Results!#REF!/Results!#REF!</f>
        <v>#REF!</v>
      </c>
      <c r="Q14" s="95" t="e">
        <f>B14*Results!#REF!/Results!#REF!</f>
        <v>#REF!</v>
      </c>
      <c r="R14" s="95" t="e">
        <f>C14*Results!#REF!/Results!#REF!</f>
        <v>#REF!</v>
      </c>
      <c r="S14" s="95" t="e">
        <f>C14*Results!#REF!/Results!#REF!</f>
        <v>#REF!</v>
      </c>
      <c r="T14" s="92" t="e">
        <f>#REF!</f>
        <v>#REF!</v>
      </c>
      <c r="U14" s="92" t="e">
        <f>#REF!</f>
        <v>#REF!</v>
      </c>
      <c r="V14" s="92" t="e">
        <f>#REF!</f>
        <v>#REF!</v>
      </c>
      <c r="W14" s="92" t="e">
        <f>#REF!</f>
        <v>#REF!</v>
      </c>
      <c r="X14" s="92" t="e">
        <f>#REF!</f>
        <v>#REF!</v>
      </c>
      <c r="Y14" s="92" t="e">
        <f>#REF!</f>
        <v>#REF!</v>
      </c>
      <c r="Z14" s="95" t="e">
        <f>G14*Results!#REF!/Results!#REF!</f>
        <v>#REF!</v>
      </c>
      <c r="AA14" s="95" t="e">
        <f>G14*Results!#REF!/Results!#REF!</f>
        <v>#REF!</v>
      </c>
      <c r="AC14" s="92" t="e">
        <f>T14/'Baseline and counterfactual'!$L$4</f>
        <v>#REF!</v>
      </c>
      <c r="AD14" s="92" t="e">
        <f>U14/'Baseline and counterfactual'!$L$4</f>
        <v>#REF!</v>
      </c>
      <c r="AE14" s="92" t="e">
        <f>V14/'Baseline and counterfactual'!$L$4</f>
        <v>#REF!</v>
      </c>
      <c r="AF14" s="92" t="e">
        <f>W14/'Baseline and counterfactual'!$L$4</f>
        <v>#REF!</v>
      </c>
      <c r="AG14" s="92" t="e">
        <f>X14/'Baseline and counterfactual'!$L$4</f>
        <v>#REF!</v>
      </c>
      <c r="AH14" s="92" t="e">
        <f>Y14/'Baseline and counterfactual'!$L$4</f>
        <v>#REF!</v>
      </c>
      <c r="AI14" s="95" t="e">
        <f>J14*Results!#REF!/Results!#REF!</f>
        <v>#REF!</v>
      </c>
      <c r="AJ14" s="95" t="e">
        <f>J14*Results!#REF!/Results!#REF!</f>
        <v>#REF!</v>
      </c>
    </row>
    <row r="15" spans="1:36" x14ac:dyDescent="0.35">
      <c r="A15" s="1" t="s">
        <v>268</v>
      </c>
      <c r="B15" s="15">
        <f>'DALY YLL'!H13</f>
        <v>8639.6430861289846</v>
      </c>
      <c r="C15" s="87">
        <f>YPLL!K11</f>
        <v>2854.2090634078822</v>
      </c>
      <c r="D15" s="87" t="e">
        <f>#REF!</f>
        <v>#REF!</v>
      </c>
      <c r="E15" s="87" t="e">
        <f>#REF!</f>
        <v>#REF!</v>
      </c>
      <c r="F15" s="87" t="e">
        <f>('Baseline and counterfactual'!$L$18+'Baseline and counterfactual'!$L$19+'Baseline and counterfactual'!$L$20+'Baseline and counterfactual'!$L$21)*D15/$D$40</f>
        <v>#REF!</v>
      </c>
      <c r="G15" s="87">
        <f>YPLL!L11</f>
        <v>72337074.503009379</v>
      </c>
      <c r="H15" s="166">
        <f>YPLL!O11*100</f>
        <v>3.5218034905384337E-3</v>
      </c>
      <c r="I15" s="27"/>
      <c r="J15" s="87">
        <f>YPLL!N11</f>
        <v>22570070.047740836</v>
      </c>
      <c r="K15" s="87" t="e">
        <f>D15/'Baseline and counterfactual'!$L$4</f>
        <v>#REF!</v>
      </c>
      <c r="L15" s="87" t="e">
        <f>E15/'Baseline and counterfactual'!$L$4</f>
        <v>#REF!</v>
      </c>
      <c r="M15" s="87" t="e">
        <f>F15/'Baseline and counterfactual'!$L$4</f>
        <v>#REF!</v>
      </c>
      <c r="N15" s="87">
        <f>H15/'Baseline and counterfactual'!$L$4</f>
        <v>1.0988466429137078E-3</v>
      </c>
      <c r="P15" s="95" t="e">
        <f>B15*Results!#REF!/Results!#REF!</f>
        <v>#REF!</v>
      </c>
      <c r="Q15" s="95" t="e">
        <f>B15*Results!#REF!/Results!#REF!</f>
        <v>#REF!</v>
      </c>
      <c r="R15" s="95" t="e">
        <f>C15*Results!#REF!/Results!#REF!</f>
        <v>#REF!</v>
      </c>
      <c r="S15" s="95" t="e">
        <f>C15*Results!#REF!/Results!#REF!</f>
        <v>#REF!</v>
      </c>
      <c r="T15" s="92" t="e">
        <f>#REF!</f>
        <v>#REF!</v>
      </c>
      <c r="U15" s="92" t="e">
        <f>#REF!</f>
        <v>#REF!</v>
      </c>
      <c r="V15" s="92" t="e">
        <f>#REF!</f>
        <v>#REF!</v>
      </c>
      <c r="W15" s="92" t="e">
        <f>#REF!</f>
        <v>#REF!</v>
      </c>
      <c r="X15" s="92" t="e">
        <f>#REF!</f>
        <v>#REF!</v>
      </c>
      <c r="Y15" s="92" t="e">
        <f>#REF!</f>
        <v>#REF!</v>
      </c>
      <c r="Z15" s="95" t="e">
        <f>G15*Results!#REF!/Results!#REF!</f>
        <v>#REF!</v>
      </c>
      <c r="AA15" s="95" t="e">
        <f>G15*Results!#REF!/Results!#REF!</f>
        <v>#REF!</v>
      </c>
      <c r="AC15" s="92" t="e">
        <f>T15/'Baseline and counterfactual'!$L$4</f>
        <v>#REF!</v>
      </c>
      <c r="AD15" s="92" t="e">
        <f>U15/'Baseline and counterfactual'!$L$4</f>
        <v>#REF!</v>
      </c>
      <c r="AE15" s="92" t="e">
        <f>V15/'Baseline and counterfactual'!$L$4</f>
        <v>#REF!</v>
      </c>
      <c r="AF15" s="92" t="e">
        <f>W15/'Baseline and counterfactual'!$L$4</f>
        <v>#REF!</v>
      </c>
      <c r="AG15" s="92" t="e">
        <f>X15/'Baseline and counterfactual'!$L$4</f>
        <v>#REF!</v>
      </c>
      <c r="AH15" s="92" t="e">
        <f>Y15/'Baseline and counterfactual'!$L$4</f>
        <v>#REF!</v>
      </c>
      <c r="AI15" s="95" t="e">
        <f>J15*Results!#REF!/Results!#REF!</f>
        <v>#REF!</v>
      </c>
      <c r="AJ15" s="95" t="e">
        <f>J15*Results!#REF!/Results!#REF!</f>
        <v>#REF!</v>
      </c>
    </row>
    <row r="16" spans="1:36" x14ac:dyDescent="0.35">
      <c r="A16" s="1" t="s">
        <v>269</v>
      </c>
      <c r="B16" s="15">
        <f>'DALY YLL'!H14</f>
        <v>7719.9755637435401</v>
      </c>
      <c r="C16" s="87">
        <f>YPLL!K12</f>
        <v>1169.9481228988348</v>
      </c>
      <c r="D16" s="87" t="e">
        <f>#REF!</f>
        <v>#REF!</v>
      </c>
      <c r="E16" s="87" t="e">
        <f>#REF!</f>
        <v>#REF!</v>
      </c>
      <c r="F16" s="87" t="e">
        <f>('Baseline and counterfactual'!$L$18+'Baseline and counterfactual'!$L$19+'Baseline and counterfactual'!$L$20+'Baseline and counterfactual'!$L$21)*D16/$D$40</f>
        <v>#REF!</v>
      </c>
      <c r="G16" s="87">
        <f>YPLL!L12</f>
        <v>29651165.226748068</v>
      </c>
      <c r="H16" s="166">
        <f>YPLL!O12*100</f>
        <v>1.4435969094900129E-3</v>
      </c>
      <c r="I16" s="27"/>
      <c r="J16" s="87">
        <f>YPLL!N12</f>
        <v>9251533.6120898798</v>
      </c>
      <c r="K16" s="87" t="e">
        <f>D16/'Baseline and counterfactual'!$L$4</f>
        <v>#REF!</v>
      </c>
      <c r="L16" s="87" t="e">
        <f>E16/'Baseline and counterfactual'!$L$4</f>
        <v>#REF!</v>
      </c>
      <c r="M16" s="87" t="e">
        <f>F16/'Baseline and counterfactual'!$L$4</f>
        <v>#REF!</v>
      </c>
      <c r="N16" s="87">
        <f>H16/'Baseline and counterfactual'!$L$4</f>
        <v>4.5042025257098684E-4</v>
      </c>
      <c r="P16" s="95" t="e">
        <f>B16*Results!#REF!/Results!#REF!</f>
        <v>#REF!</v>
      </c>
      <c r="Q16" s="95" t="e">
        <f>B16*Results!#REF!/Results!#REF!</f>
        <v>#REF!</v>
      </c>
      <c r="R16" s="95" t="e">
        <f>C16*Results!#REF!/Results!#REF!</f>
        <v>#REF!</v>
      </c>
      <c r="S16" s="95" t="e">
        <f>C16*Results!#REF!/Results!#REF!</f>
        <v>#REF!</v>
      </c>
      <c r="T16" s="92" t="e">
        <f>#REF!</f>
        <v>#REF!</v>
      </c>
      <c r="U16" s="92" t="e">
        <f>#REF!</f>
        <v>#REF!</v>
      </c>
      <c r="V16" s="92" t="e">
        <f>#REF!</f>
        <v>#REF!</v>
      </c>
      <c r="W16" s="92" t="e">
        <f>#REF!</f>
        <v>#REF!</v>
      </c>
      <c r="X16" s="92" t="e">
        <f>#REF!</f>
        <v>#REF!</v>
      </c>
      <c r="Y16" s="92" t="e">
        <f>#REF!</f>
        <v>#REF!</v>
      </c>
      <c r="Z16" s="95" t="e">
        <f>G16*Results!#REF!/Results!#REF!</f>
        <v>#REF!</v>
      </c>
      <c r="AA16" s="95" t="e">
        <f>G16*Results!#REF!/Results!#REF!</f>
        <v>#REF!</v>
      </c>
      <c r="AC16" s="92" t="e">
        <f>T16/'Baseline and counterfactual'!$L$4</f>
        <v>#REF!</v>
      </c>
      <c r="AD16" s="92" t="e">
        <f>U16/'Baseline and counterfactual'!$L$4</f>
        <v>#REF!</v>
      </c>
      <c r="AE16" s="92" t="e">
        <f>V16/'Baseline and counterfactual'!$L$4</f>
        <v>#REF!</v>
      </c>
      <c r="AF16" s="92" t="e">
        <f>W16/'Baseline and counterfactual'!$L$4</f>
        <v>#REF!</v>
      </c>
      <c r="AG16" s="92" t="e">
        <f>X16/'Baseline and counterfactual'!$L$4</f>
        <v>#REF!</v>
      </c>
      <c r="AH16" s="92" t="e">
        <f>Y16/'Baseline and counterfactual'!$L$4</f>
        <v>#REF!</v>
      </c>
      <c r="AI16" s="95" t="e">
        <f>J16*Results!#REF!/Results!#REF!</f>
        <v>#REF!</v>
      </c>
      <c r="AJ16" s="95" t="e">
        <f>J16*Results!#REF!/Results!#REF!</f>
        <v>#REF!</v>
      </c>
    </row>
    <row r="17" spans="1:36" x14ac:dyDescent="0.35">
      <c r="A17" s="1" t="s">
        <v>270</v>
      </c>
      <c r="B17" s="15">
        <f>'DALY YLL'!H15</f>
        <v>4007.5041288519233</v>
      </c>
      <c r="C17" s="87">
        <f>YPLL!K13</f>
        <v>0</v>
      </c>
      <c r="D17" s="87" t="e">
        <f>#REF!</f>
        <v>#REF!</v>
      </c>
      <c r="E17" s="87" t="e">
        <f>#REF!</f>
        <v>#REF!</v>
      </c>
      <c r="F17" s="87" t="e">
        <f>('Baseline and counterfactual'!$L$18+'Baseline and counterfactual'!$L$19+'Baseline and counterfactual'!$L$20+'Baseline and counterfactual'!$L$21)*D17/$D$40</f>
        <v>#REF!</v>
      </c>
      <c r="G17" s="87">
        <f>YPLL!L13</f>
        <v>0</v>
      </c>
      <c r="H17" s="166">
        <f>YPLL!O13*100</f>
        <v>0</v>
      </c>
      <c r="I17" s="27"/>
      <c r="J17" s="87">
        <f>YPLL!N13</f>
        <v>0</v>
      </c>
      <c r="K17" s="87" t="e">
        <f>D17/'Baseline and counterfactual'!$L$4</f>
        <v>#REF!</v>
      </c>
      <c r="L17" s="87" t="e">
        <f>E17/'Baseline and counterfactual'!$L$4</f>
        <v>#REF!</v>
      </c>
      <c r="M17" s="87" t="e">
        <f>F17/'Baseline and counterfactual'!$L$4</f>
        <v>#REF!</v>
      </c>
      <c r="N17" s="87">
        <f>H17/'Baseline and counterfactual'!$L$4</f>
        <v>0</v>
      </c>
      <c r="P17" s="88"/>
      <c r="Q17" s="90"/>
      <c r="R17" s="26"/>
      <c r="S17" s="28"/>
      <c r="T17" s="92" t="e">
        <f>#REF!</f>
        <v>#REF!</v>
      </c>
      <c r="U17" s="92" t="e">
        <f>#REF!</f>
        <v>#REF!</v>
      </c>
      <c r="V17" s="92" t="e">
        <f>#REF!</f>
        <v>#REF!</v>
      </c>
      <c r="W17" s="92" t="e">
        <f>#REF!</f>
        <v>#REF!</v>
      </c>
      <c r="X17" s="92" t="e">
        <f>#REF!</f>
        <v>#REF!</v>
      </c>
      <c r="Y17" s="92" t="e">
        <f>#REF!</f>
        <v>#REF!</v>
      </c>
      <c r="Z17" s="26"/>
      <c r="AA17" s="35"/>
      <c r="AC17" s="92" t="e">
        <f>T17/'Baseline and counterfactual'!$L$4</f>
        <v>#REF!</v>
      </c>
      <c r="AD17" s="92" t="e">
        <f>U17/'Baseline and counterfactual'!$L$4</f>
        <v>#REF!</v>
      </c>
      <c r="AE17" s="92" t="e">
        <f>V17/'Baseline and counterfactual'!$L$4</f>
        <v>#REF!</v>
      </c>
      <c r="AF17" s="92" t="e">
        <f>W17/'Baseline and counterfactual'!$L$4</f>
        <v>#REF!</v>
      </c>
      <c r="AG17" s="92" t="e">
        <f>X17/'Baseline and counterfactual'!$L$4</f>
        <v>#REF!</v>
      </c>
      <c r="AH17" s="92" t="e">
        <f>Y17/'Baseline and counterfactual'!$L$4</f>
        <v>#REF!</v>
      </c>
      <c r="AI17" s="92">
        <f>Z17/'Baseline and counterfactual'!$L$4</f>
        <v>0</v>
      </c>
      <c r="AJ17" s="92">
        <f>AA17/'Baseline and counterfactual'!$L$4</f>
        <v>0</v>
      </c>
    </row>
    <row r="18" spans="1:36" x14ac:dyDescent="0.35">
      <c r="A18" s="1" t="s">
        <v>271</v>
      </c>
      <c r="B18" s="15">
        <f>'DALY YLL'!H16</f>
        <v>391.0224881970255</v>
      </c>
      <c r="C18" s="87">
        <f>YPLL!K14</f>
        <v>0</v>
      </c>
      <c r="D18" s="87" t="e">
        <f>#REF!</f>
        <v>#REF!</v>
      </c>
      <c r="E18" s="87" t="e">
        <f>#REF!</f>
        <v>#REF!</v>
      </c>
      <c r="F18" s="87" t="e">
        <f>('Baseline and counterfactual'!$L$18+'Baseline and counterfactual'!$L$19+'Baseline and counterfactual'!$L$20+'Baseline and counterfactual'!$L$21)*D18/$D$40</f>
        <v>#REF!</v>
      </c>
      <c r="G18" s="87">
        <f>YPLL!L14</f>
        <v>0</v>
      </c>
      <c r="H18" s="166">
        <f>YPLL!O14*100</f>
        <v>0</v>
      </c>
      <c r="I18" s="27"/>
      <c r="J18" s="87">
        <f>YPLL!N14</f>
        <v>0</v>
      </c>
      <c r="K18" s="87" t="e">
        <f>D18/'Baseline and counterfactual'!$L$4</f>
        <v>#REF!</v>
      </c>
      <c r="L18" s="87" t="e">
        <f>E18/'Baseline and counterfactual'!$L$4</f>
        <v>#REF!</v>
      </c>
      <c r="M18" s="87" t="e">
        <f>F18/'Baseline and counterfactual'!$L$4</f>
        <v>#REF!</v>
      </c>
      <c r="N18" s="87">
        <f>H18/'Baseline and counterfactual'!$L$4</f>
        <v>0</v>
      </c>
      <c r="P18" s="88"/>
      <c r="Q18" s="90"/>
      <c r="R18" s="26"/>
      <c r="S18" s="28"/>
      <c r="T18" s="92" t="e">
        <f>#REF!</f>
        <v>#REF!</v>
      </c>
      <c r="U18" s="92" t="e">
        <f>#REF!</f>
        <v>#REF!</v>
      </c>
      <c r="V18" s="92" t="e">
        <f>#REF!</f>
        <v>#REF!</v>
      </c>
      <c r="W18" s="92" t="e">
        <f>#REF!</f>
        <v>#REF!</v>
      </c>
      <c r="X18" s="92" t="e">
        <f>#REF!</f>
        <v>#REF!</v>
      </c>
      <c r="Y18" s="92" t="e">
        <f>#REF!</f>
        <v>#REF!</v>
      </c>
      <c r="Z18" s="26"/>
      <c r="AA18" s="35"/>
      <c r="AC18" s="92" t="e">
        <f>T18/'Baseline and counterfactual'!$L$4</f>
        <v>#REF!</v>
      </c>
      <c r="AD18" s="92" t="e">
        <f>U18/'Baseline and counterfactual'!$L$4</f>
        <v>#REF!</v>
      </c>
      <c r="AE18" s="92" t="e">
        <f>V18/'Baseline and counterfactual'!$L$4</f>
        <v>#REF!</v>
      </c>
      <c r="AF18" s="92" t="e">
        <f>W18/'Baseline and counterfactual'!$L$4</f>
        <v>#REF!</v>
      </c>
      <c r="AG18" s="92" t="e">
        <f>X18/'Baseline and counterfactual'!$L$4</f>
        <v>#REF!</v>
      </c>
      <c r="AH18" s="92" t="e">
        <f>Y18/'Baseline and counterfactual'!$L$4</f>
        <v>#REF!</v>
      </c>
      <c r="AI18" s="92">
        <f>Z18/'Baseline and counterfactual'!$L$4</f>
        <v>0</v>
      </c>
      <c r="AJ18" s="92">
        <f>AA18/'Baseline and counterfactual'!$L$4</f>
        <v>0</v>
      </c>
    </row>
    <row r="19" spans="1:36" x14ac:dyDescent="0.35">
      <c r="A19" s="1" t="s">
        <v>272</v>
      </c>
      <c r="B19" s="15">
        <f>'DALY YLL'!H17</f>
        <v>0</v>
      </c>
      <c r="C19" s="87">
        <f>YPLL!K15</f>
        <v>0</v>
      </c>
      <c r="D19" s="87" t="e">
        <f>#REF!</f>
        <v>#REF!</v>
      </c>
      <c r="E19" s="87" t="e">
        <f>#REF!</f>
        <v>#REF!</v>
      </c>
      <c r="F19" s="87" t="e">
        <f>('Baseline and counterfactual'!$L$18+'Baseline and counterfactual'!$L$19+'Baseline and counterfactual'!$L$20+'Baseline and counterfactual'!$L$21)*D19/$D$40</f>
        <v>#REF!</v>
      </c>
      <c r="G19" s="87">
        <f>YPLL!L15</f>
        <v>0</v>
      </c>
      <c r="H19" s="166">
        <f>YPLL!O15*100</f>
        <v>0</v>
      </c>
      <c r="I19" s="27"/>
      <c r="J19" s="87">
        <f>YPLL!N15</f>
        <v>0</v>
      </c>
      <c r="K19" s="87" t="e">
        <f>D19/'Baseline and counterfactual'!$L$4</f>
        <v>#REF!</v>
      </c>
      <c r="L19" s="87" t="e">
        <f>E19/'Baseline and counterfactual'!$L$4</f>
        <v>#REF!</v>
      </c>
      <c r="M19" s="87" t="e">
        <f>F19/'Baseline and counterfactual'!$L$4</f>
        <v>#REF!</v>
      </c>
      <c r="N19" s="87">
        <f>H19/'Baseline and counterfactual'!$L$4</f>
        <v>0</v>
      </c>
      <c r="P19" s="88"/>
      <c r="Q19" s="90"/>
      <c r="R19" s="26"/>
      <c r="S19" s="28"/>
      <c r="T19" s="92" t="e">
        <f>#REF!</f>
        <v>#REF!</v>
      </c>
      <c r="U19" s="92" t="e">
        <f>#REF!</f>
        <v>#REF!</v>
      </c>
      <c r="V19" s="92" t="e">
        <f>#REF!</f>
        <v>#REF!</v>
      </c>
      <c r="W19" s="92" t="e">
        <f>#REF!</f>
        <v>#REF!</v>
      </c>
      <c r="X19" s="92" t="e">
        <f>#REF!</f>
        <v>#REF!</v>
      </c>
      <c r="Y19" s="92" t="e">
        <f>#REF!</f>
        <v>#REF!</v>
      </c>
      <c r="Z19" s="26"/>
      <c r="AA19" s="35"/>
      <c r="AC19" s="92" t="e">
        <f>T19/'Baseline and counterfactual'!$L$4</f>
        <v>#REF!</v>
      </c>
      <c r="AD19" s="92" t="e">
        <f>U19/'Baseline and counterfactual'!$L$4</f>
        <v>#REF!</v>
      </c>
      <c r="AE19" s="92" t="e">
        <f>V19/'Baseline and counterfactual'!$L$4</f>
        <v>#REF!</v>
      </c>
      <c r="AF19" s="92" t="e">
        <f>W19/'Baseline and counterfactual'!$L$4</f>
        <v>#REF!</v>
      </c>
      <c r="AG19" s="92" t="e">
        <f>X19/'Baseline and counterfactual'!$L$4</f>
        <v>#REF!</v>
      </c>
      <c r="AH19" s="92" t="e">
        <f>Y19/'Baseline and counterfactual'!$L$4</f>
        <v>#REF!</v>
      </c>
      <c r="AI19" s="92">
        <f>Z19/'Baseline and counterfactual'!$L$4</f>
        <v>0</v>
      </c>
      <c r="AJ19" s="92">
        <f>AA19/'Baseline and counterfactual'!$L$4</f>
        <v>0</v>
      </c>
    </row>
    <row r="20" spans="1:36" x14ac:dyDescent="0.35">
      <c r="A20" s="1" t="s">
        <v>21</v>
      </c>
      <c r="B20" s="15">
        <f>'DALY YLL'!H18</f>
        <v>0</v>
      </c>
      <c r="C20" s="87">
        <f>YPLL!K16</f>
        <v>0</v>
      </c>
      <c r="D20" s="87" t="e">
        <f>#REF!</f>
        <v>#REF!</v>
      </c>
      <c r="E20" s="87" t="e">
        <f>#REF!</f>
        <v>#REF!</v>
      </c>
      <c r="F20" s="87" t="e">
        <f>('Baseline and counterfactual'!$L$18+'Baseline and counterfactual'!$L$19+'Baseline and counterfactual'!$L$20+'Baseline and counterfactual'!$L$21)*D20/$D$40</f>
        <v>#REF!</v>
      </c>
      <c r="G20" s="87">
        <f>YPLL!L16</f>
        <v>0</v>
      </c>
      <c r="H20" s="166">
        <f>YPLL!O16*100</f>
        <v>0</v>
      </c>
      <c r="I20" s="27"/>
      <c r="J20" s="87">
        <f>YPLL!N16</f>
        <v>0</v>
      </c>
      <c r="K20" s="87" t="e">
        <f>D20/'Baseline and counterfactual'!$L$4</f>
        <v>#REF!</v>
      </c>
      <c r="L20" s="87" t="e">
        <f>E20/'Baseline and counterfactual'!$L$4</f>
        <v>#REF!</v>
      </c>
      <c r="M20" s="87" t="e">
        <f>F20/'Baseline and counterfactual'!$L$4</f>
        <v>#REF!</v>
      </c>
      <c r="N20" s="87">
        <f>H20/'Baseline and counterfactual'!$L$4</f>
        <v>0</v>
      </c>
      <c r="P20" s="29"/>
      <c r="Q20" s="91"/>
      <c r="R20" s="26"/>
      <c r="S20" s="28"/>
      <c r="T20" s="92" t="e">
        <f>#REF!</f>
        <v>#REF!</v>
      </c>
      <c r="U20" s="92" t="e">
        <f>#REF!</f>
        <v>#REF!</v>
      </c>
      <c r="V20" s="92" t="e">
        <f>#REF!</f>
        <v>#REF!</v>
      </c>
      <c r="W20" s="92" t="e">
        <f>#REF!</f>
        <v>#REF!</v>
      </c>
      <c r="X20" s="92" t="e">
        <f>#REF!</f>
        <v>#REF!</v>
      </c>
      <c r="Y20" s="92" t="e">
        <f>#REF!</f>
        <v>#REF!</v>
      </c>
      <c r="Z20" s="26"/>
      <c r="AA20" s="35"/>
      <c r="AC20" s="92" t="e">
        <f>T20/'Baseline and counterfactual'!$L$4</f>
        <v>#REF!</v>
      </c>
      <c r="AD20" s="92" t="e">
        <f>U20/'Baseline and counterfactual'!$L$4</f>
        <v>#REF!</v>
      </c>
      <c r="AE20" s="92" t="e">
        <f>V20/'Baseline and counterfactual'!$L$4</f>
        <v>#REF!</v>
      </c>
      <c r="AF20" s="92" t="e">
        <f>W20/'Baseline and counterfactual'!$L$4</f>
        <v>#REF!</v>
      </c>
      <c r="AG20" s="92" t="e">
        <f>X20/'Baseline and counterfactual'!$L$4</f>
        <v>#REF!</v>
      </c>
      <c r="AH20" s="92" t="e">
        <f>Y20/'Baseline and counterfactual'!$L$4</f>
        <v>#REF!</v>
      </c>
      <c r="AI20" s="92">
        <f>Z20/'Baseline and counterfactual'!$L$4</f>
        <v>0</v>
      </c>
      <c r="AJ20" s="92">
        <f>AA20/'Baseline and counterfactual'!$L$4</f>
        <v>0</v>
      </c>
    </row>
    <row r="21" spans="1:36" x14ac:dyDescent="0.35">
      <c r="A21" s="9" t="s">
        <v>259</v>
      </c>
      <c r="B21" s="80">
        <f>'DALY YLL'!H19</f>
        <v>50194.543940896663</v>
      </c>
      <c r="C21" s="80">
        <f t="shared" ref="C21:H21" si="3">SUM(C7:C20)</f>
        <v>20763.575971113682</v>
      </c>
      <c r="D21" s="80" t="e">
        <f t="shared" si="3"/>
        <v>#REF!</v>
      </c>
      <c r="E21" s="80" t="e">
        <f t="shared" si="3"/>
        <v>#REF!</v>
      </c>
      <c r="F21" s="80" t="e">
        <f t="shared" si="3"/>
        <v>#REF!</v>
      </c>
      <c r="G21" s="80">
        <f t="shared" si="3"/>
        <v>526232069.41190517</v>
      </c>
      <c r="H21" s="9">
        <f t="shared" si="3"/>
        <v>2.5620139487546045E-2</v>
      </c>
      <c r="I21" s="9"/>
      <c r="J21" s="80">
        <f>SUM(J7:J20)</f>
        <v>164190973.29544625</v>
      </c>
      <c r="K21" s="80" t="e">
        <f>D21/'Baseline and counterfactual'!$L$4</f>
        <v>#REF!</v>
      </c>
      <c r="L21" s="80" t="e">
        <f>E21/'Baseline and counterfactual'!$L$4</f>
        <v>#REF!</v>
      </c>
      <c r="M21" s="80" t="e">
        <f>SUM(M7:M20)</f>
        <v>#REF!</v>
      </c>
      <c r="N21" s="80">
        <f>SUM(N7:N20)</f>
        <v>7.9938032722452566E-3</v>
      </c>
      <c r="O21" s="80"/>
      <c r="P21" s="93" t="e">
        <f t="shared" ref="P21:AA21" si="4">SUM(P7:P19)</f>
        <v>#REF!</v>
      </c>
      <c r="Q21" s="94" t="e">
        <f t="shared" si="4"/>
        <v>#REF!</v>
      </c>
      <c r="R21" s="93" t="e">
        <f t="shared" si="4"/>
        <v>#REF!</v>
      </c>
      <c r="S21" s="94" t="e">
        <f t="shared" si="4"/>
        <v>#REF!</v>
      </c>
      <c r="T21" s="93" t="e">
        <f t="shared" si="4"/>
        <v>#REF!</v>
      </c>
      <c r="U21" s="94" t="e">
        <f t="shared" si="4"/>
        <v>#REF!</v>
      </c>
      <c r="V21" s="93" t="e">
        <f t="shared" si="4"/>
        <v>#REF!</v>
      </c>
      <c r="W21" s="94" t="e">
        <f t="shared" si="4"/>
        <v>#REF!</v>
      </c>
      <c r="X21" s="93" t="e">
        <f t="shared" si="4"/>
        <v>#REF!</v>
      </c>
      <c r="Y21" s="94" t="e">
        <f t="shared" si="4"/>
        <v>#REF!</v>
      </c>
      <c r="Z21" s="93" t="e">
        <f t="shared" si="4"/>
        <v>#REF!</v>
      </c>
      <c r="AA21" s="94" t="e">
        <f t="shared" si="4"/>
        <v>#REF!</v>
      </c>
      <c r="AC21" s="93" t="e">
        <f t="shared" ref="AC21:AJ21" si="5">SUM(AC7:AC19)</f>
        <v>#REF!</v>
      </c>
      <c r="AD21" s="94" t="e">
        <f t="shared" si="5"/>
        <v>#REF!</v>
      </c>
      <c r="AE21" s="93" t="e">
        <f t="shared" si="5"/>
        <v>#REF!</v>
      </c>
      <c r="AF21" s="94" t="e">
        <f t="shared" si="5"/>
        <v>#REF!</v>
      </c>
      <c r="AG21" s="93" t="e">
        <f t="shared" si="5"/>
        <v>#REF!</v>
      </c>
      <c r="AH21" s="94" t="e">
        <f t="shared" si="5"/>
        <v>#REF!</v>
      </c>
      <c r="AI21" s="93" t="e">
        <f t="shared" si="5"/>
        <v>#REF!</v>
      </c>
      <c r="AJ21" s="94" t="e">
        <f t="shared" si="5"/>
        <v>#REF!</v>
      </c>
    </row>
    <row r="22" spans="1:36" x14ac:dyDescent="0.35">
      <c r="A22" s="1"/>
      <c r="H22" s="166"/>
      <c r="P22" s="26"/>
      <c r="Q22" s="28"/>
      <c r="R22" s="26"/>
      <c r="S22" s="28"/>
      <c r="T22" s="26"/>
      <c r="U22" s="28"/>
      <c r="V22" s="26"/>
      <c r="W22" s="28"/>
      <c r="X22" s="26"/>
      <c r="Y22" s="28"/>
      <c r="Z22" s="26"/>
      <c r="AA22" s="28"/>
      <c r="AC22" s="26"/>
      <c r="AD22" s="28"/>
      <c r="AE22" s="26"/>
      <c r="AF22" s="28"/>
      <c r="AG22" s="26"/>
      <c r="AH22" s="28"/>
      <c r="AI22" s="26"/>
      <c r="AJ22" s="28"/>
    </row>
    <row r="23" spans="1:36" x14ac:dyDescent="0.35">
      <c r="A23" s="12" t="s">
        <v>256</v>
      </c>
      <c r="H23" s="166"/>
      <c r="P23" s="26"/>
      <c r="Q23" s="28"/>
      <c r="R23" s="88"/>
      <c r="S23" s="90"/>
      <c r="T23" s="26"/>
      <c r="U23" s="28"/>
      <c r="V23" s="26"/>
      <c r="W23" s="28"/>
      <c r="X23" s="26"/>
      <c r="Y23" s="28"/>
      <c r="Z23" s="26"/>
      <c r="AA23" s="28"/>
      <c r="AC23" s="26"/>
      <c r="AD23" s="28"/>
      <c r="AE23" s="26"/>
      <c r="AF23" s="28"/>
      <c r="AG23" s="26"/>
      <c r="AH23" s="28"/>
      <c r="AI23" s="26"/>
      <c r="AJ23" s="28"/>
    </row>
    <row r="24" spans="1:36" x14ac:dyDescent="0.35">
      <c r="A24" s="1" t="s">
        <v>260</v>
      </c>
      <c r="B24" s="15">
        <f>'DALY YLL'!H22</f>
        <v>-4.4887144514172793E-9</v>
      </c>
      <c r="C24" s="87">
        <f>YPLL!K20</f>
        <v>-3.6928345852864034E-9</v>
      </c>
      <c r="D24" s="87">
        <f>YPLL!L20</f>
        <v>-9.3591199729498611E-5</v>
      </c>
      <c r="E24" s="87">
        <f>YPLL!M20</f>
        <v>3.2050000000000001</v>
      </c>
      <c r="F24" s="87">
        <f>YPLL!N20</f>
        <v>-2.9201622380498786E-5</v>
      </c>
      <c r="G24" s="87">
        <f>YPLL!L20</f>
        <v>-9.3591199729498611E-5</v>
      </c>
      <c r="H24" s="166">
        <f>YPLL!O20*100</f>
        <v>-4.5565820314908556E-15</v>
      </c>
      <c r="I24" s="87">
        <f>YPLL!Q20</f>
        <v>0</v>
      </c>
      <c r="J24" s="87">
        <f>YPLL!N20</f>
        <v>-2.9201622380498786E-5</v>
      </c>
      <c r="K24" s="87">
        <f>YPLL!S20</f>
        <v>0</v>
      </c>
      <c r="L24" s="87">
        <f>YPLL!T20</f>
        <v>0</v>
      </c>
      <c r="M24" s="87">
        <f>YPLL!U20</f>
        <v>0</v>
      </c>
      <c r="N24" s="87">
        <f>YPLL!V20</f>
        <v>0</v>
      </c>
      <c r="P24" s="95" t="e">
        <f>B24*Results!#REF!/Results!#REF!</f>
        <v>#REF!</v>
      </c>
      <c r="Q24" s="95" t="e">
        <f>B24*Results!#REF!/Results!#REF!</f>
        <v>#REF!</v>
      </c>
      <c r="R24" s="95" t="e">
        <f>C24*Results!#REF!/Results!#REF!</f>
        <v>#REF!</v>
      </c>
      <c r="S24" s="95" t="e">
        <f>C24*Results!#REF!/Results!#REF!</f>
        <v>#REF!</v>
      </c>
      <c r="T24" s="92" t="e">
        <f>#REF!</f>
        <v>#REF!</v>
      </c>
      <c r="U24" s="92" t="e">
        <f>#REF!</f>
        <v>#REF!</v>
      </c>
      <c r="V24" s="92" t="e">
        <f>#REF!</f>
        <v>#REF!</v>
      </c>
      <c r="W24" s="92" t="e">
        <f>#REF!</f>
        <v>#REF!</v>
      </c>
      <c r="X24" s="92" t="e">
        <f>#REF!</f>
        <v>#REF!</v>
      </c>
      <c r="Y24" s="92" t="e">
        <f>#REF!</f>
        <v>#REF!</v>
      </c>
      <c r="Z24" s="95" t="e">
        <f>G24*Results!#REF!/Results!#REF!</f>
        <v>#REF!</v>
      </c>
      <c r="AA24" s="95" t="e">
        <f>G24*Results!#REF!/Results!#REF!</f>
        <v>#REF!</v>
      </c>
      <c r="AC24" s="92" t="e">
        <f>T24/'Baseline and counterfactual'!$L$4</f>
        <v>#REF!</v>
      </c>
      <c r="AD24" s="92" t="e">
        <f>U24/'Baseline and counterfactual'!$L$4</f>
        <v>#REF!</v>
      </c>
      <c r="AE24" s="92" t="e">
        <f>V24/'Baseline and counterfactual'!$L$4</f>
        <v>#REF!</v>
      </c>
      <c r="AF24" s="92" t="e">
        <f>W24/'Baseline and counterfactual'!$L$4</f>
        <v>#REF!</v>
      </c>
      <c r="AG24" s="92" t="e">
        <f>X24/'Baseline and counterfactual'!$L$4</f>
        <v>#REF!</v>
      </c>
      <c r="AH24" s="92" t="e">
        <f>Y24/'Baseline and counterfactual'!$L$4</f>
        <v>#REF!</v>
      </c>
      <c r="AI24" s="95" t="e">
        <f>J24*Results!#REF!/Results!#REF!</f>
        <v>#REF!</v>
      </c>
      <c r="AJ24" s="95" t="e">
        <f>J24*Results!#REF!/Results!#REF!</f>
        <v>#REF!</v>
      </c>
    </row>
    <row r="25" spans="1:36" x14ac:dyDescent="0.35">
      <c r="A25" s="1" t="s">
        <v>261</v>
      </c>
      <c r="B25" s="15">
        <f>'DALY YLL'!H23</f>
        <v>-7.8110278445796354E-9</v>
      </c>
      <c r="C25" s="87">
        <f>YPLL!K21</f>
        <v>-5.8419247180618231E-9</v>
      </c>
      <c r="D25" s="87">
        <f>YPLL!L21</f>
        <v>-1.4805774005455884E-4</v>
      </c>
      <c r="E25" s="87">
        <f>YPLL!M21</f>
        <v>3.2050000000000001</v>
      </c>
      <c r="F25" s="87">
        <f>YPLL!N21</f>
        <v>-4.6195862731531615E-5</v>
      </c>
      <c r="G25" s="87">
        <f>YPLL!L21</f>
        <v>-1.4805774005455884E-4</v>
      </c>
      <c r="H25" s="166">
        <f>YPLL!O21*100</f>
        <v>-7.2083405267334207E-15</v>
      </c>
      <c r="I25" s="87">
        <f>YPLL!Q21</f>
        <v>0</v>
      </c>
      <c r="J25" s="87">
        <f>YPLL!N21</f>
        <v>-4.6195862731531615E-5</v>
      </c>
      <c r="K25" s="87">
        <f>YPLL!S21</f>
        <v>0</v>
      </c>
      <c r="L25" s="87">
        <f>YPLL!T21</f>
        <v>0</v>
      </c>
      <c r="M25" s="87">
        <f>YPLL!U21</f>
        <v>0</v>
      </c>
      <c r="N25" s="87">
        <f>YPLL!V21</f>
        <v>0</v>
      </c>
      <c r="P25" s="95" t="e">
        <f>B25*Results!#REF!/Results!#REF!</f>
        <v>#REF!</v>
      </c>
      <c r="Q25" s="95" t="e">
        <f>B25*Results!#REF!/Results!#REF!</f>
        <v>#REF!</v>
      </c>
      <c r="R25" s="95" t="e">
        <f>C25*Results!#REF!/Results!#REF!</f>
        <v>#REF!</v>
      </c>
      <c r="S25" s="95" t="e">
        <f>C25*Results!#REF!/Results!#REF!</f>
        <v>#REF!</v>
      </c>
      <c r="T25" s="92" t="e">
        <f>#REF!</f>
        <v>#REF!</v>
      </c>
      <c r="U25" s="92" t="e">
        <f>#REF!</f>
        <v>#REF!</v>
      </c>
      <c r="V25" s="92" t="e">
        <f>#REF!</f>
        <v>#REF!</v>
      </c>
      <c r="W25" s="92" t="e">
        <f>#REF!</f>
        <v>#REF!</v>
      </c>
      <c r="X25" s="92" t="e">
        <f>#REF!</f>
        <v>#REF!</v>
      </c>
      <c r="Y25" s="92" t="e">
        <f>#REF!</f>
        <v>#REF!</v>
      </c>
      <c r="Z25" s="95" t="e">
        <f>G25*Results!#REF!/Results!#REF!</f>
        <v>#REF!</v>
      </c>
      <c r="AA25" s="95" t="e">
        <f>G25*Results!#REF!/Results!#REF!</f>
        <v>#REF!</v>
      </c>
      <c r="AC25" s="92" t="e">
        <f>T25/'Baseline and counterfactual'!$L$4</f>
        <v>#REF!</v>
      </c>
      <c r="AD25" s="92" t="e">
        <f>U25/'Baseline and counterfactual'!$L$4</f>
        <v>#REF!</v>
      </c>
      <c r="AE25" s="92" t="e">
        <f>V25/'Baseline and counterfactual'!$L$4</f>
        <v>#REF!</v>
      </c>
      <c r="AF25" s="92" t="e">
        <f>W25/'Baseline and counterfactual'!$L$4</f>
        <v>#REF!</v>
      </c>
      <c r="AG25" s="92" t="e">
        <f>X25/'Baseline and counterfactual'!$L$4</f>
        <v>#REF!</v>
      </c>
      <c r="AH25" s="92" t="e">
        <f>Y25/'Baseline and counterfactual'!$L$4</f>
        <v>#REF!</v>
      </c>
      <c r="AI25" s="95" t="e">
        <f>J25*Results!#REF!/Results!#REF!</f>
        <v>#REF!</v>
      </c>
      <c r="AJ25" s="95" t="e">
        <f>J25*Results!#REF!/Results!#REF!</f>
        <v>#REF!</v>
      </c>
    </row>
    <row r="26" spans="1:36" x14ac:dyDescent="0.35">
      <c r="A26" s="1" t="s">
        <v>262</v>
      </c>
      <c r="B26" s="15">
        <f>'DALY YLL'!H24</f>
        <v>530.67706117904595</v>
      </c>
      <c r="C26" s="87">
        <f>YPLL!K22</f>
        <v>356.53262747862351</v>
      </c>
      <c r="D26" s="87">
        <f>YPLL!L22</f>
        <v>9035962.9108182341</v>
      </c>
      <c r="E26" s="87">
        <f>YPLL!M22</f>
        <v>3.2050000000000001</v>
      </c>
      <c r="F26" s="87">
        <f>YPLL!N22</f>
        <v>2819333.201503349</v>
      </c>
      <c r="G26" s="87">
        <f>YPLL!L22</f>
        <v>9035962.9108182341</v>
      </c>
      <c r="H26" s="166">
        <f>YPLL!O22*100</f>
        <v>4.3992497537858786E-4</v>
      </c>
      <c r="I26" s="87">
        <f>YPLL!Q22</f>
        <v>0</v>
      </c>
      <c r="J26" s="87">
        <f>YPLL!N22</f>
        <v>2819333.201503349</v>
      </c>
      <c r="K26" s="87">
        <f>YPLL!S22</f>
        <v>0</v>
      </c>
      <c r="L26" s="87">
        <f>YPLL!T22</f>
        <v>0</v>
      </c>
      <c r="M26" s="87">
        <f>YPLL!U22</f>
        <v>0</v>
      </c>
      <c r="N26" s="87">
        <f>YPLL!V22</f>
        <v>0</v>
      </c>
      <c r="P26" s="95" t="e">
        <f>B26*Results!#REF!/Results!#REF!</f>
        <v>#REF!</v>
      </c>
      <c r="Q26" s="95" t="e">
        <f>B26*Results!#REF!/Results!#REF!</f>
        <v>#REF!</v>
      </c>
      <c r="R26" s="95" t="e">
        <f>C26*Results!#REF!/Results!#REF!</f>
        <v>#REF!</v>
      </c>
      <c r="S26" s="95" t="e">
        <f>C26*Results!#REF!/Results!#REF!</f>
        <v>#REF!</v>
      </c>
      <c r="T26" s="92" t="e">
        <f>#REF!</f>
        <v>#REF!</v>
      </c>
      <c r="U26" s="92" t="e">
        <f>#REF!</f>
        <v>#REF!</v>
      </c>
      <c r="V26" s="92" t="e">
        <f>#REF!</f>
        <v>#REF!</v>
      </c>
      <c r="W26" s="92" t="e">
        <f>#REF!</f>
        <v>#REF!</v>
      </c>
      <c r="X26" s="92" t="e">
        <f>#REF!</f>
        <v>#REF!</v>
      </c>
      <c r="Y26" s="92" t="e">
        <f>#REF!</f>
        <v>#REF!</v>
      </c>
      <c r="Z26" s="95" t="e">
        <f>G26*Results!#REF!/Results!#REF!</f>
        <v>#REF!</v>
      </c>
      <c r="AA26" s="95" t="e">
        <f>G26*Results!#REF!/Results!#REF!</f>
        <v>#REF!</v>
      </c>
      <c r="AC26" s="92" t="e">
        <f>T26/'Baseline and counterfactual'!$L$4</f>
        <v>#REF!</v>
      </c>
      <c r="AD26" s="92" t="e">
        <f>U26/'Baseline and counterfactual'!$L$4</f>
        <v>#REF!</v>
      </c>
      <c r="AE26" s="92" t="e">
        <f>V26/'Baseline and counterfactual'!$L$4</f>
        <v>#REF!</v>
      </c>
      <c r="AF26" s="92" t="e">
        <f>W26/'Baseline and counterfactual'!$L$4</f>
        <v>#REF!</v>
      </c>
      <c r="AG26" s="92" t="e">
        <f>X26/'Baseline and counterfactual'!$L$4</f>
        <v>#REF!</v>
      </c>
      <c r="AH26" s="92" t="e">
        <f>Y26/'Baseline and counterfactual'!$L$4</f>
        <v>#REF!</v>
      </c>
      <c r="AI26" s="95" t="e">
        <f>J26*Results!#REF!/Results!#REF!</f>
        <v>#REF!</v>
      </c>
      <c r="AJ26" s="95" t="e">
        <f>J26*Results!#REF!/Results!#REF!</f>
        <v>#REF!</v>
      </c>
    </row>
    <row r="27" spans="1:36" x14ac:dyDescent="0.35">
      <c r="A27" s="1" t="s">
        <v>263</v>
      </c>
      <c r="B27" s="15">
        <f>'DALY YLL'!H25</f>
        <v>1193.9513517798646</v>
      </c>
      <c r="C27" s="87">
        <f>YPLL!K23</f>
        <v>708.79996075349948</v>
      </c>
      <c r="D27" s="87">
        <f>YPLL!L23</f>
        <v>17963826.20533669</v>
      </c>
      <c r="E27" s="87">
        <f>YPLL!M23</f>
        <v>3.2050000000000001</v>
      </c>
      <c r="F27" s="87">
        <f>YPLL!N23</f>
        <v>5604937.9735839907</v>
      </c>
      <c r="G27" s="87">
        <f>YPLL!L23</f>
        <v>17963826.20533669</v>
      </c>
      <c r="H27" s="166">
        <f>YPLL!O23*100</f>
        <v>8.7458701181990109E-4</v>
      </c>
      <c r="I27" s="87">
        <f>YPLL!Q23</f>
        <v>0</v>
      </c>
      <c r="J27" s="87">
        <f>YPLL!N23</f>
        <v>5604937.9735839907</v>
      </c>
      <c r="K27" s="87">
        <f>YPLL!S23</f>
        <v>0</v>
      </c>
      <c r="L27" s="87">
        <f>YPLL!T23</f>
        <v>0</v>
      </c>
      <c r="M27" s="87">
        <f>YPLL!U23</f>
        <v>0</v>
      </c>
      <c r="N27" s="87">
        <f>YPLL!V23</f>
        <v>0</v>
      </c>
      <c r="P27" s="95" t="e">
        <f>B27*Results!#REF!/Results!#REF!</f>
        <v>#REF!</v>
      </c>
      <c r="Q27" s="95" t="e">
        <f>B27*Results!#REF!/Results!#REF!</f>
        <v>#REF!</v>
      </c>
      <c r="R27" s="95" t="e">
        <f>C27*Results!#REF!/Results!#REF!</f>
        <v>#REF!</v>
      </c>
      <c r="S27" s="95" t="e">
        <f>C27*Results!#REF!/Results!#REF!</f>
        <v>#REF!</v>
      </c>
      <c r="T27" s="92" t="e">
        <f>#REF!</f>
        <v>#REF!</v>
      </c>
      <c r="U27" s="92" t="e">
        <f>#REF!</f>
        <v>#REF!</v>
      </c>
      <c r="V27" s="92" t="e">
        <f>#REF!</f>
        <v>#REF!</v>
      </c>
      <c r="W27" s="92" t="e">
        <f>#REF!</f>
        <v>#REF!</v>
      </c>
      <c r="X27" s="92" t="e">
        <f>#REF!</f>
        <v>#REF!</v>
      </c>
      <c r="Y27" s="92" t="e">
        <f>#REF!</f>
        <v>#REF!</v>
      </c>
      <c r="Z27" s="95" t="e">
        <f>G27*Results!#REF!/Results!#REF!</f>
        <v>#REF!</v>
      </c>
      <c r="AA27" s="95" t="e">
        <f>G27*Results!#REF!/Results!#REF!</f>
        <v>#REF!</v>
      </c>
      <c r="AC27" s="92" t="e">
        <f>T27/'Baseline and counterfactual'!$L$4</f>
        <v>#REF!</v>
      </c>
      <c r="AD27" s="92" t="e">
        <f>U27/'Baseline and counterfactual'!$L$4</f>
        <v>#REF!</v>
      </c>
      <c r="AE27" s="92" t="e">
        <f>V27/'Baseline and counterfactual'!$L$4</f>
        <v>#REF!</v>
      </c>
      <c r="AF27" s="92" t="e">
        <f>W27/'Baseline and counterfactual'!$L$4</f>
        <v>#REF!</v>
      </c>
      <c r="AG27" s="92" t="e">
        <f>X27/'Baseline and counterfactual'!$L$4</f>
        <v>#REF!</v>
      </c>
      <c r="AH27" s="92" t="e">
        <f>Y27/'Baseline and counterfactual'!$L$4</f>
        <v>#REF!</v>
      </c>
      <c r="AI27" s="95" t="e">
        <f>J27*Results!#REF!/Results!#REF!</f>
        <v>#REF!</v>
      </c>
      <c r="AJ27" s="95" t="e">
        <f>J27*Results!#REF!/Results!#REF!</f>
        <v>#REF!</v>
      </c>
    </row>
    <row r="28" spans="1:36" x14ac:dyDescent="0.35">
      <c r="A28" s="1" t="s">
        <v>264</v>
      </c>
      <c r="B28" s="15">
        <f>'DALY YLL'!H26</f>
        <v>2190.3110185348337</v>
      </c>
      <c r="C28" s="87">
        <f>YPLL!K24</f>
        <v>1121.5868574445528</v>
      </c>
      <c r="D28" s="87">
        <f>YPLL!L24</f>
        <v>28425497.315074746</v>
      </c>
      <c r="E28" s="87">
        <f>YPLL!M24</f>
        <v>3.2050000000000001</v>
      </c>
      <c r="F28" s="87">
        <f>YPLL!N24</f>
        <v>8869109.926700389</v>
      </c>
      <c r="G28" s="87">
        <f>YPLL!L24</f>
        <v>28425497.315074746</v>
      </c>
      <c r="H28" s="166">
        <f>YPLL!O24*100</f>
        <v>1.3839240299987022E-3</v>
      </c>
      <c r="I28" s="87">
        <f>YPLL!Q24</f>
        <v>0</v>
      </c>
      <c r="J28" s="87">
        <f>YPLL!N24</f>
        <v>8869109.926700389</v>
      </c>
      <c r="K28" s="87">
        <f>YPLL!S24</f>
        <v>0</v>
      </c>
      <c r="L28" s="87">
        <f>YPLL!T24</f>
        <v>0</v>
      </c>
      <c r="M28" s="87">
        <f>YPLL!U24</f>
        <v>0</v>
      </c>
      <c r="N28" s="87">
        <f>YPLL!V24</f>
        <v>0</v>
      </c>
      <c r="P28" s="95" t="e">
        <f>B28*Results!#REF!/Results!#REF!</f>
        <v>#REF!</v>
      </c>
      <c r="Q28" s="95" t="e">
        <f>B28*Results!#REF!/Results!#REF!</f>
        <v>#REF!</v>
      </c>
      <c r="R28" s="95" t="e">
        <f>C28*Results!#REF!/Results!#REF!</f>
        <v>#REF!</v>
      </c>
      <c r="S28" s="95" t="e">
        <f>C28*Results!#REF!/Results!#REF!</f>
        <v>#REF!</v>
      </c>
      <c r="T28" s="92" t="e">
        <f>#REF!</f>
        <v>#REF!</v>
      </c>
      <c r="U28" s="92" t="e">
        <f>#REF!</f>
        <v>#REF!</v>
      </c>
      <c r="V28" s="92" t="e">
        <f>#REF!</f>
        <v>#REF!</v>
      </c>
      <c r="W28" s="92" t="e">
        <f>#REF!</f>
        <v>#REF!</v>
      </c>
      <c r="X28" s="92" t="e">
        <f>#REF!</f>
        <v>#REF!</v>
      </c>
      <c r="Y28" s="92" t="e">
        <f>#REF!</f>
        <v>#REF!</v>
      </c>
      <c r="Z28" s="95" t="e">
        <f>G28*Results!#REF!/Results!#REF!</f>
        <v>#REF!</v>
      </c>
      <c r="AA28" s="95" t="e">
        <f>G28*Results!#REF!/Results!#REF!</f>
        <v>#REF!</v>
      </c>
      <c r="AC28" s="92" t="e">
        <f>T28/'Baseline and counterfactual'!$L$4</f>
        <v>#REF!</v>
      </c>
      <c r="AD28" s="92" t="e">
        <f>U28/'Baseline and counterfactual'!$L$4</f>
        <v>#REF!</v>
      </c>
      <c r="AE28" s="92" t="e">
        <f>V28/'Baseline and counterfactual'!$L$4</f>
        <v>#REF!</v>
      </c>
      <c r="AF28" s="92" t="e">
        <f>W28/'Baseline and counterfactual'!$L$4</f>
        <v>#REF!</v>
      </c>
      <c r="AG28" s="92" t="e">
        <f>X28/'Baseline and counterfactual'!$L$4</f>
        <v>#REF!</v>
      </c>
      <c r="AH28" s="92" t="e">
        <f>Y28/'Baseline and counterfactual'!$L$4</f>
        <v>#REF!</v>
      </c>
      <c r="AI28" s="95" t="e">
        <f>J28*Results!#REF!/Results!#REF!</f>
        <v>#REF!</v>
      </c>
      <c r="AJ28" s="95" t="e">
        <f>J28*Results!#REF!/Results!#REF!</f>
        <v>#REF!</v>
      </c>
    </row>
    <row r="29" spans="1:36" x14ac:dyDescent="0.35">
      <c r="A29" s="1" t="s">
        <v>265</v>
      </c>
      <c r="B29" s="15">
        <f>'DALY YLL'!H27</f>
        <v>3543.3056843851859</v>
      </c>
      <c r="C29" s="87">
        <f>YPLL!K25</f>
        <v>1506.1248160892221</v>
      </c>
      <c r="D29" s="87">
        <f>YPLL!L25</f>
        <v>38171227.338965245</v>
      </c>
      <c r="E29" s="87">
        <f>YPLL!M25</f>
        <v>3.2050000000000001</v>
      </c>
      <c r="F29" s="87">
        <f>YPLL!N25</f>
        <v>11909899.325730186</v>
      </c>
      <c r="G29" s="87">
        <f>YPLL!L25</f>
        <v>38171227.338965245</v>
      </c>
      <c r="H29" s="166">
        <f>YPLL!O25*100</f>
        <v>1.8584047337290538E-3</v>
      </c>
      <c r="I29" s="87">
        <f>YPLL!Q25</f>
        <v>0</v>
      </c>
      <c r="J29" s="87">
        <f>YPLL!N25</f>
        <v>11909899.325730186</v>
      </c>
      <c r="K29" s="87">
        <f>YPLL!S25</f>
        <v>0</v>
      </c>
      <c r="L29" s="87">
        <f>YPLL!T25</f>
        <v>0</v>
      </c>
      <c r="M29" s="87">
        <f>YPLL!U25</f>
        <v>0</v>
      </c>
      <c r="N29" s="87">
        <f>YPLL!V25</f>
        <v>0</v>
      </c>
      <c r="P29" s="95" t="e">
        <f>B29*Results!#REF!/Results!#REF!</f>
        <v>#REF!</v>
      </c>
      <c r="Q29" s="95" t="e">
        <f>B29*Results!#REF!/Results!#REF!</f>
        <v>#REF!</v>
      </c>
      <c r="R29" s="95" t="e">
        <f>C29*Results!#REF!/Results!#REF!</f>
        <v>#REF!</v>
      </c>
      <c r="S29" s="95" t="e">
        <f>C29*Results!#REF!/Results!#REF!</f>
        <v>#REF!</v>
      </c>
      <c r="T29" s="92" t="e">
        <f>#REF!</f>
        <v>#REF!</v>
      </c>
      <c r="U29" s="92" t="e">
        <f>#REF!</f>
        <v>#REF!</v>
      </c>
      <c r="V29" s="92" t="e">
        <f>#REF!</f>
        <v>#REF!</v>
      </c>
      <c r="W29" s="92" t="e">
        <f>#REF!</f>
        <v>#REF!</v>
      </c>
      <c r="X29" s="92" t="e">
        <f>#REF!</f>
        <v>#REF!</v>
      </c>
      <c r="Y29" s="92" t="e">
        <f>#REF!</f>
        <v>#REF!</v>
      </c>
      <c r="Z29" s="95" t="e">
        <f>G29*Results!#REF!/Results!#REF!</f>
        <v>#REF!</v>
      </c>
      <c r="AA29" s="95" t="e">
        <f>G29*Results!#REF!/Results!#REF!</f>
        <v>#REF!</v>
      </c>
      <c r="AC29" s="92" t="e">
        <f>T29/'Baseline and counterfactual'!$L$4</f>
        <v>#REF!</v>
      </c>
      <c r="AD29" s="92" t="e">
        <f>U29/'Baseline and counterfactual'!$L$4</f>
        <v>#REF!</v>
      </c>
      <c r="AE29" s="92" t="e">
        <f>V29/'Baseline and counterfactual'!$L$4</f>
        <v>#REF!</v>
      </c>
      <c r="AF29" s="92" t="e">
        <f>W29/'Baseline and counterfactual'!$L$4</f>
        <v>#REF!</v>
      </c>
      <c r="AG29" s="92" t="e">
        <f>X29/'Baseline and counterfactual'!$L$4</f>
        <v>#REF!</v>
      </c>
      <c r="AH29" s="92" t="e">
        <f>Y29/'Baseline and counterfactual'!$L$4</f>
        <v>#REF!</v>
      </c>
      <c r="AI29" s="95" t="e">
        <f>J29*Results!#REF!/Results!#REF!</f>
        <v>#REF!</v>
      </c>
      <c r="AJ29" s="95" t="e">
        <f>J29*Results!#REF!/Results!#REF!</f>
        <v>#REF!</v>
      </c>
    </row>
    <row r="30" spans="1:36" x14ac:dyDescent="0.35">
      <c r="A30" s="1" t="s">
        <v>266</v>
      </c>
      <c r="B30" s="15">
        <f>'DALY YLL'!H28</f>
        <v>4525.4519800908338</v>
      </c>
      <c r="C30" s="87">
        <f>YPLL!K26</f>
        <v>1490.4688646866471</v>
      </c>
      <c r="D30" s="87">
        <f>YPLL!L26</f>
        <v>37774442.906618387</v>
      </c>
      <c r="E30" s="87">
        <f>YPLL!M26</f>
        <v>3.2050000000000001</v>
      </c>
      <c r="F30" s="87">
        <f>YPLL!N26</f>
        <v>11786097.630770167</v>
      </c>
      <c r="G30" s="87">
        <f>YPLL!L26</f>
        <v>37774442.906618387</v>
      </c>
      <c r="H30" s="166">
        <f>YPLL!O26*100</f>
        <v>1.8390868831188202E-3</v>
      </c>
      <c r="I30" s="87">
        <f>YPLL!Q26</f>
        <v>0</v>
      </c>
      <c r="J30" s="87">
        <f>YPLL!N26</f>
        <v>11786097.630770167</v>
      </c>
      <c r="K30" s="87">
        <f>YPLL!S26</f>
        <v>0</v>
      </c>
      <c r="L30" s="87">
        <f>YPLL!T26</f>
        <v>0</v>
      </c>
      <c r="M30" s="87">
        <f>YPLL!U26</f>
        <v>0</v>
      </c>
      <c r="N30" s="87">
        <f>YPLL!V26</f>
        <v>0</v>
      </c>
      <c r="P30" s="95" t="e">
        <f>B30*Results!#REF!/Results!#REF!</f>
        <v>#REF!</v>
      </c>
      <c r="Q30" s="95" t="e">
        <f>B30*Results!#REF!/Results!#REF!</f>
        <v>#REF!</v>
      </c>
      <c r="R30" s="95" t="e">
        <f>C30*Results!#REF!/Results!#REF!</f>
        <v>#REF!</v>
      </c>
      <c r="S30" s="95" t="e">
        <f>C30*Results!#REF!/Results!#REF!</f>
        <v>#REF!</v>
      </c>
      <c r="T30" s="92" t="e">
        <f>#REF!</f>
        <v>#REF!</v>
      </c>
      <c r="U30" s="92" t="e">
        <f>#REF!</f>
        <v>#REF!</v>
      </c>
      <c r="V30" s="92" t="e">
        <f>#REF!</f>
        <v>#REF!</v>
      </c>
      <c r="W30" s="92" t="e">
        <f>#REF!</f>
        <v>#REF!</v>
      </c>
      <c r="X30" s="92" t="e">
        <f>#REF!</f>
        <v>#REF!</v>
      </c>
      <c r="Y30" s="92" t="e">
        <f>#REF!</f>
        <v>#REF!</v>
      </c>
      <c r="Z30" s="95" t="e">
        <f>G30*Results!#REF!/Results!#REF!</f>
        <v>#REF!</v>
      </c>
      <c r="AA30" s="95" t="e">
        <f>G30*Results!#REF!/Results!#REF!</f>
        <v>#REF!</v>
      </c>
      <c r="AC30" s="92" t="e">
        <f>T30/'Baseline and counterfactual'!$L$4</f>
        <v>#REF!</v>
      </c>
      <c r="AD30" s="92" t="e">
        <f>U30/'Baseline and counterfactual'!$L$4</f>
        <v>#REF!</v>
      </c>
      <c r="AE30" s="92" t="e">
        <f>V30/'Baseline and counterfactual'!$L$4</f>
        <v>#REF!</v>
      </c>
      <c r="AF30" s="92" t="e">
        <f>W30/'Baseline and counterfactual'!$L$4</f>
        <v>#REF!</v>
      </c>
      <c r="AG30" s="92" t="e">
        <f>X30/'Baseline and counterfactual'!$L$4</f>
        <v>#REF!</v>
      </c>
      <c r="AH30" s="92" t="e">
        <f>Y30/'Baseline and counterfactual'!$L$4</f>
        <v>#REF!</v>
      </c>
      <c r="AI30" s="95" t="e">
        <f>J30*Results!#REF!/Results!#REF!</f>
        <v>#REF!</v>
      </c>
      <c r="AJ30" s="95" t="e">
        <f>J30*Results!#REF!/Results!#REF!</f>
        <v>#REF!</v>
      </c>
    </row>
    <row r="31" spans="1:36" x14ac:dyDescent="0.35">
      <c r="A31" s="1" t="s">
        <v>267</v>
      </c>
      <c r="B31" s="15">
        <f>'DALY YLL'!H29</f>
        <v>6036.073657457785</v>
      </c>
      <c r="C31" s="87">
        <f>YPLL!K27</f>
        <v>1323.1043988802348</v>
      </c>
      <c r="D31" s="87">
        <f>YPLL!L27</f>
        <v>33532757.885220673</v>
      </c>
      <c r="E31" s="87">
        <f>YPLL!M27</f>
        <v>3.2050000000000001</v>
      </c>
      <c r="F31" s="87">
        <f>YPLL!N27</f>
        <v>10462638.965747479</v>
      </c>
      <c r="G31" s="87">
        <f>YPLL!L27</f>
        <v>33532757.885220673</v>
      </c>
      <c r="H31" s="166">
        <f>YPLL!O27*100</f>
        <v>1.63257616621802E-3</v>
      </c>
      <c r="I31" s="87">
        <f>YPLL!Q27</f>
        <v>0</v>
      </c>
      <c r="J31" s="87">
        <f>YPLL!N27</f>
        <v>10462638.965747479</v>
      </c>
      <c r="K31" s="87">
        <f>YPLL!S27</f>
        <v>0</v>
      </c>
      <c r="L31" s="87">
        <f>YPLL!T27</f>
        <v>0</v>
      </c>
      <c r="M31" s="87">
        <f>YPLL!U27</f>
        <v>0</v>
      </c>
      <c r="N31" s="87">
        <f>YPLL!V27</f>
        <v>0</v>
      </c>
      <c r="P31" s="95" t="e">
        <f>B31*Results!#REF!/Results!#REF!</f>
        <v>#REF!</v>
      </c>
      <c r="Q31" s="95" t="e">
        <f>B31*Results!#REF!/Results!#REF!</f>
        <v>#REF!</v>
      </c>
      <c r="R31" s="95" t="e">
        <f>C31*Results!#REF!/Results!#REF!</f>
        <v>#REF!</v>
      </c>
      <c r="S31" s="95" t="e">
        <f>C31*Results!#REF!/Results!#REF!</f>
        <v>#REF!</v>
      </c>
      <c r="T31" s="92" t="e">
        <f>#REF!</f>
        <v>#REF!</v>
      </c>
      <c r="U31" s="92" t="e">
        <f>#REF!</f>
        <v>#REF!</v>
      </c>
      <c r="V31" s="92" t="e">
        <f>#REF!</f>
        <v>#REF!</v>
      </c>
      <c r="W31" s="92" t="e">
        <f>#REF!</f>
        <v>#REF!</v>
      </c>
      <c r="X31" s="92" t="e">
        <f>#REF!</f>
        <v>#REF!</v>
      </c>
      <c r="Y31" s="92" t="e">
        <f>#REF!</f>
        <v>#REF!</v>
      </c>
      <c r="Z31" s="95" t="e">
        <f>G31*Results!#REF!/Results!#REF!</f>
        <v>#REF!</v>
      </c>
      <c r="AA31" s="95" t="e">
        <f>G31*Results!#REF!/Results!#REF!</f>
        <v>#REF!</v>
      </c>
      <c r="AC31" s="92" t="e">
        <f>T31/'Baseline and counterfactual'!$L$4</f>
        <v>#REF!</v>
      </c>
      <c r="AD31" s="92" t="e">
        <f>U31/'Baseline and counterfactual'!$L$4</f>
        <v>#REF!</v>
      </c>
      <c r="AE31" s="92" t="e">
        <f>V31/'Baseline and counterfactual'!$L$4</f>
        <v>#REF!</v>
      </c>
      <c r="AF31" s="92" t="e">
        <f>W31/'Baseline and counterfactual'!$L$4</f>
        <v>#REF!</v>
      </c>
      <c r="AG31" s="92" t="e">
        <f>X31/'Baseline and counterfactual'!$L$4</f>
        <v>#REF!</v>
      </c>
      <c r="AH31" s="92" t="e">
        <f>Y31/'Baseline and counterfactual'!$L$4</f>
        <v>#REF!</v>
      </c>
      <c r="AI31" s="95" t="e">
        <f>J31*Results!#REF!/Results!#REF!</f>
        <v>#REF!</v>
      </c>
      <c r="AJ31" s="95" t="e">
        <f>J31*Results!#REF!/Results!#REF!</f>
        <v>#REF!</v>
      </c>
    </row>
    <row r="32" spans="1:36" x14ac:dyDescent="0.35">
      <c r="A32" s="1" t="s">
        <v>268</v>
      </c>
      <c r="B32" s="15">
        <f>'DALY YLL'!H30</f>
        <v>5999.8605210498554</v>
      </c>
      <c r="C32" s="87">
        <f>YPLL!K28</f>
        <v>502.12007097453738</v>
      </c>
      <c r="D32" s="87">
        <f>YPLL!L28</f>
        <v>12725731.078778675</v>
      </c>
      <c r="E32" s="87">
        <f>YPLL!M28</f>
        <v>3.2050000000000001</v>
      </c>
      <c r="F32" s="87">
        <f>YPLL!N28</f>
        <v>3970586.9200557489</v>
      </c>
      <c r="G32" s="87">
        <f>YPLL!L28</f>
        <v>12725731.078778675</v>
      </c>
      <c r="H32" s="166">
        <f>YPLL!O28*100</f>
        <v>6.1956506315487855E-4</v>
      </c>
      <c r="I32" s="87">
        <f>YPLL!Q28</f>
        <v>0</v>
      </c>
      <c r="J32" s="87">
        <f>YPLL!N28</f>
        <v>3970586.9200557489</v>
      </c>
      <c r="K32" s="87">
        <f>YPLL!S28</f>
        <v>0</v>
      </c>
      <c r="L32" s="87">
        <f>YPLL!T28</f>
        <v>0</v>
      </c>
      <c r="M32" s="87">
        <f>YPLL!U28</f>
        <v>0</v>
      </c>
      <c r="N32" s="87">
        <f>YPLL!V28</f>
        <v>0</v>
      </c>
      <c r="P32" s="95" t="e">
        <f>B32*Results!#REF!/Results!#REF!</f>
        <v>#REF!</v>
      </c>
      <c r="Q32" s="95" t="e">
        <f>B32*Results!#REF!/Results!#REF!</f>
        <v>#REF!</v>
      </c>
      <c r="R32" s="95" t="e">
        <f>C32*Results!#REF!/Results!#REF!</f>
        <v>#REF!</v>
      </c>
      <c r="S32" s="95" t="e">
        <f>C32*Results!#REF!/Results!#REF!</f>
        <v>#REF!</v>
      </c>
      <c r="T32" s="92" t="e">
        <f>#REF!</f>
        <v>#REF!</v>
      </c>
      <c r="U32" s="92" t="e">
        <f>#REF!</f>
        <v>#REF!</v>
      </c>
      <c r="V32" s="92" t="e">
        <f>#REF!</f>
        <v>#REF!</v>
      </c>
      <c r="W32" s="92" t="e">
        <f>#REF!</f>
        <v>#REF!</v>
      </c>
      <c r="X32" s="92" t="e">
        <f>#REF!</f>
        <v>#REF!</v>
      </c>
      <c r="Y32" s="92" t="e">
        <f>#REF!</f>
        <v>#REF!</v>
      </c>
      <c r="Z32" s="95" t="e">
        <f>G32*Results!#REF!/Results!#REF!</f>
        <v>#REF!</v>
      </c>
      <c r="AA32" s="95" t="e">
        <f>G32*Results!#REF!/Results!#REF!</f>
        <v>#REF!</v>
      </c>
      <c r="AC32" s="92" t="e">
        <f>T32/'Baseline and counterfactual'!$L$4</f>
        <v>#REF!</v>
      </c>
      <c r="AD32" s="92" t="e">
        <f>U32/'Baseline and counterfactual'!$L$4</f>
        <v>#REF!</v>
      </c>
      <c r="AE32" s="92" t="e">
        <f>V32/'Baseline and counterfactual'!$L$4</f>
        <v>#REF!</v>
      </c>
      <c r="AF32" s="92" t="e">
        <f>W32/'Baseline and counterfactual'!$L$4</f>
        <v>#REF!</v>
      </c>
      <c r="AG32" s="92" t="e">
        <f>X32/'Baseline and counterfactual'!$L$4</f>
        <v>#REF!</v>
      </c>
      <c r="AH32" s="92" t="e">
        <f>Y32/'Baseline and counterfactual'!$L$4</f>
        <v>#REF!</v>
      </c>
      <c r="AI32" s="95" t="e">
        <f>J32*Results!#REF!/Results!#REF!</f>
        <v>#REF!</v>
      </c>
      <c r="AJ32" s="95" t="e">
        <f>J32*Results!#REF!/Results!#REF!</f>
        <v>#REF!</v>
      </c>
    </row>
    <row r="33" spans="1:36" x14ac:dyDescent="0.35">
      <c r="A33" s="1" t="s">
        <v>269</v>
      </c>
      <c r="B33" s="15">
        <f>'DALY YLL'!H31</f>
        <v>6527.7050730459523</v>
      </c>
      <c r="C33" s="87">
        <f>YPLL!K29</f>
        <v>0</v>
      </c>
      <c r="D33" s="87">
        <f>YPLL!L29</f>
        <v>0</v>
      </c>
      <c r="E33" s="87">
        <f>YPLL!M29</f>
        <v>3.2050000000000001</v>
      </c>
      <c r="F33" s="87">
        <f>YPLL!N29</f>
        <v>0</v>
      </c>
      <c r="G33" s="87">
        <f>YPLL!L29</f>
        <v>0</v>
      </c>
      <c r="H33" s="166">
        <f>YPLL!O29*100</f>
        <v>0</v>
      </c>
      <c r="I33" s="87">
        <f>YPLL!Q29</f>
        <v>0</v>
      </c>
      <c r="J33" s="87">
        <f>YPLL!N29</f>
        <v>0</v>
      </c>
      <c r="K33" s="87">
        <f>YPLL!S29</f>
        <v>0</v>
      </c>
      <c r="L33" s="87">
        <f>YPLL!T29</f>
        <v>0</v>
      </c>
      <c r="M33" s="87">
        <f>YPLL!U29</f>
        <v>0</v>
      </c>
      <c r="N33" s="87">
        <f>YPLL!V29</f>
        <v>0</v>
      </c>
      <c r="P33" s="95">
        <v>0</v>
      </c>
      <c r="Q33" s="95">
        <v>0</v>
      </c>
      <c r="R33" s="95" t="e">
        <f>C33*Results!#REF!/Results!#REF!</f>
        <v>#REF!</v>
      </c>
      <c r="S33" s="95" t="e">
        <f>C33*Results!#REF!/Results!#REF!</f>
        <v>#REF!</v>
      </c>
      <c r="T33" s="92" t="e">
        <f>#REF!</f>
        <v>#REF!</v>
      </c>
      <c r="U33" s="92" t="e">
        <f>#REF!</f>
        <v>#REF!</v>
      </c>
      <c r="V33" s="92" t="e">
        <f>#REF!</f>
        <v>#REF!</v>
      </c>
      <c r="W33" s="92" t="e">
        <f>#REF!</f>
        <v>#REF!</v>
      </c>
      <c r="X33" s="92" t="e">
        <f>#REF!</f>
        <v>#REF!</v>
      </c>
      <c r="Y33" s="92" t="e">
        <f>#REF!</f>
        <v>#REF!</v>
      </c>
      <c r="Z33" s="95" t="e">
        <f>G33*Results!#REF!/Results!#REF!</f>
        <v>#REF!</v>
      </c>
      <c r="AA33" s="95" t="e">
        <f>G33*Results!#REF!/Results!#REF!</f>
        <v>#REF!</v>
      </c>
      <c r="AC33" s="92" t="e">
        <f>T33/'Baseline and counterfactual'!$L$4</f>
        <v>#REF!</v>
      </c>
      <c r="AD33" s="92" t="e">
        <f>U33/'Baseline and counterfactual'!$L$4</f>
        <v>#REF!</v>
      </c>
      <c r="AE33" s="92" t="e">
        <f>V33/'Baseline and counterfactual'!$L$4</f>
        <v>#REF!</v>
      </c>
      <c r="AF33" s="92" t="e">
        <f>W33/'Baseline and counterfactual'!$L$4</f>
        <v>#REF!</v>
      </c>
      <c r="AG33" s="92" t="e">
        <f>X33/'Baseline and counterfactual'!$L$4</f>
        <v>#REF!</v>
      </c>
      <c r="AH33" s="92" t="e">
        <f>Y33/'Baseline and counterfactual'!$L$4</f>
        <v>#REF!</v>
      </c>
      <c r="AI33" s="95" t="e">
        <f>J33*Results!#REF!/Results!#REF!</f>
        <v>#REF!</v>
      </c>
      <c r="AJ33" s="95" t="e">
        <f>J33*Results!#REF!/Results!#REF!</f>
        <v>#REF!</v>
      </c>
    </row>
    <row r="34" spans="1:36" x14ac:dyDescent="0.35">
      <c r="A34" s="1" t="s">
        <v>270</v>
      </c>
      <c r="B34" s="15">
        <f>'DALY YLL'!H32</f>
        <v>5052.2677686249408</v>
      </c>
      <c r="C34" s="87">
        <f>YPLL!K30</f>
        <v>0</v>
      </c>
      <c r="D34" s="87">
        <f>YPLL!L30</f>
        <v>0</v>
      </c>
      <c r="E34" s="87">
        <f>YPLL!M30</f>
        <v>3.2050000000000001</v>
      </c>
      <c r="F34" s="87">
        <f>YPLL!N30</f>
        <v>0</v>
      </c>
      <c r="G34" s="87">
        <f>YPLL!L30</f>
        <v>0</v>
      </c>
      <c r="H34" s="166">
        <f>YPLL!O30*100</f>
        <v>0</v>
      </c>
      <c r="I34" s="87">
        <f>YPLL!Q30</f>
        <v>0</v>
      </c>
      <c r="J34" s="87">
        <f>YPLL!N30</f>
        <v>0</v>
      </c>
      <c r="K34" s="87">
        <f>YPLL!S30</f>
        <v>0</v>
      </c>
      <c r="L34" s="87">
        <f>YPLL!T30</f>
        <v>0</v>
      </c>
      <c r="M34" s="87">
        <f>YPLL!U30</f>
        <v>0</v>
      </c>
      <c r="N34" s="87">
        <f>YPLL!V30</f>
        <v>0</v>
      </c>
      <c r="P34" s="26"/>
      <c r="Q34" s="28"/>
      <c r="R34" s="26"/>
      <c r="S34" s="28"/>
      <c r="T34" s="92" t="e">
        <f>#REF!</f>
        <v>#REF!</v>
      </c>
      <c r="U34" s="92" t="e">
        <f>#REF!</f>
        <v>#REF!</v>
      </c>
      <c r="V34" s="92" t="e">
        <f>#REF!</f>
        <v>#REF!</v>
      </c>
      <c r="W34" s="92" t="e">
        <f>#REF!</f>
        <v>#REF!</v>
      </c>
      <c r="X34" s="92" t="e">
        <f>#REF!</f>
        <v>#REF!</v>
      </c>
      <c r="Y34" s="92" t="e">
        <f>#REF!</f>
        <v>#REF!</v>
      </c>
      <c r="Z34" s="26"/>
      <c r="AA34" s="35"/>
      <c r="AC34" s="92" t="e">
        <f>T34/'Baseline and counterfactual'!$L$4</f>
        <v>#REF!</v>
      </c>
      <c r="AD34" s="92" t="e">
        <f>U34/'Baseline and counterfactual'!$L$4</f>
        <v>#REF!</v>
      </c>
      <c r="AE34" s="92" t="e">
        <f>V34/'Baseline and counterfactual'!$L$4</f>
        <v>#REF!</v>
      </c>
      <c r="AF34" s="92" t="e">
        <f>W34/'Baseline and counterfactual'!$L$4</f>
        <v>#REF!</v>
      </c>
      <c r="AG34" s="92" t="e">
        <f>X34/'Baseline and counterfactual'!$L$4</f>
        <v>#REF!</v>
      </c>
      <c r="AH34" s="92" t="e">
        <f>Y34/'Baseline and counterfactual'!$L$4</f>
        <v>#REF!</v>
      </c>
      <c r="AI34" s="92">
        <f>Z34/'Baseline and counterfactual'!$L$4</f>
        <v>0</v>
      </c>
      <c r="AJ34" s="92">
        <f>AA34/'Baseline and counterfactual'!$L$4</f>
        <v>0</v>
      </c>
    </row>
    <row r="35" spans="1:36" x14ac:dyDescent="0.35">
      <c r="A35" s="1" t="s">
        <v>271</v>
      </c>
      <c r="B35" s="15">
        <f>'DALY YLL'!H33</f>
        <v>3791.7640554768818</v>
      </c>
      <c r="C35" s="87">
        <f>YPLL!K31</f>
        <v>0</v>
      </c>
      <c r="D35" s="87">
        <f>YPLL!L31</f>
        <v>0</v>
      </c>
      <c r="E35" s="87">
        <f>YPLL!M31</f>
        <v>3.2050000000000001</v>
      </c>
      <c r="F35" s="87">
        <f>YPLL!N31</f>
        <v>0</v>
      </c>
      <c r="G35" s="87">
        <f>YPLL!L31</f>
        <v>0</v>
      </c>
      <c r="H35" s="166">
        <f>YPLL!O31*100</f>
        <v>0</v>
      </c>
      <c r="I35" s="87">
        <f>YPLL!Q31</f>
        <v>0</v>
      </c>
      <c r="J35" s="87">
        <f>YPLL!N31</f>
        <v>0</v>
      </c>
      <c r="K35" s="87">
        <f>YPLL!S31</f>
        <v>0</v>
      </c>
      <c r="L35" s="87">
        <f>YPLL!T31</f>
        <v>0</v>
      </c>
      <c r="M35" s="87">
        <f>YPLL!U31</f>
        <v>0</v>
      </c>
      <c r="N35" s="87">
        <f>YPLL!V31</f>
        <v>0</v>
      </c>
      <c r="P35" s="26"/>
      <c r="Q35" s="28"/>
      <c r="R35" s="26"/>
      <c r="S35" s="28"/>
      <c r="T35" s="92" t="e">
        <f>#REF!</f>
        <v>#REF!</v>
      </c>
      <c r="U35" s="92" t="e">
        <f>#REF!</f>
        <v>#REF!</v>
      </c>
      <c r="V35" s="92" t="e">
        <f>#REF!</f>
        <v>#REF!</v>
      </c>
      <c r="W35" s="92" t="e">
        <f>#REF!</f>
        <v>#REF!</v>
      </c>
      <c r="X35" s="92" t="e">
        <f>#REF!</f>
        <v>#REF!</v>
      </c>
      <c r="Y35" s="92" t="e">
        <f>#REF!</f>
        <v>#REF!</v>
      </c>
      <c r="Z35" s="26"/>
      <c r="AA35" s="35"/>
      <c r="AC35" s="92" t="e">
        <f>T35/'Baseline and counterfactual'!$L$4</f>
        <v>#REF!</v>
      </c>
      <c r="AD35" s="92" t="e">
        <f>U35/'Baseline and counterfactual'!$L$4</f>
        <v>#REF!</v>
      </c>
      <c r="AE35" s="92" t="e">
        <f>V35/'Baseline and counterfactual'!$L$4</f>
        <v>#REF!</v>
      </c>
      <c r="AF35" s="92" t="e">
        <f>W35/'Baseline and counterfactual'!$L$4</f>
        <v>#REF!</v>
      </c>
      <c r="AG35" s="92" t="e">
        <f>X35/'Baseline and counterfactual'!$L$4</f>
        <v>#REF!</v>
      </c>
      <c r="AH35" s="92" t="e">
        <f>Y35/'Baseline and counterfactual'!$L$4</f>
        <v>#REF!</v>
      </c>
      <c r="AI35" s="92">
        <f>Z35/'Baseline and counterfactual'!$L$4</f>
        <v>0</v>
      </c>
      <c r="AJ35" s="92">
        <f>AA35/'Baseline and counterfactual'!$L$4</f>
        <v>0</v>
      </c>
    </row>
    <row r="36" spans="1:36" x14ac:dyDescent="0.35">
      <c r="A36" s="1" t="s">
        <v>272</v>
      </c>
      <c r="B36" s="15">
        <f>'DALY YLL'!H34</f>
        <v>1181.2114252464078</v>
      </c>
      <c r="C36" s="87">
        <f>YPLL!K32</f>
        <v>0</v>
      </c>
      <c r="D36" s="87">
        <f>YPLL!L32</f>
        <v>0</v>
      </c>
      <c r="E36" s="87">
        <f>YPLL!M32</f>
        <v>3.2050000000000001</v>
      </c>
      <c r="F36" s="87">
        <f>YPLL!N32</f>
        <v>0</v>
      </c>
      <c r="G36" s="87">
        <f>YPLL!L32</f>
        <v>0</v>
      </c>
      <c r="H36" s="166">
        <f>YPLL!O32*100</f>
        <v>0</v>
      </c>
      <c r="I36" s="87">
        <f>YPLL!Q32</f>
        <v>0</v>
      </c>
      <c r="J36" s="87">
        <f>YPLL!N32</f>
        <v>0</v>
      </c>
      <c r="K36" s="87">
        <f>YPLL!S32</f>
        <v>0</v>
      </c>
      <c r="L36" s="87">
        <f>YPLL!T32</f>
        <v>0</v>
      </c>
      <c r="M36" s="87">
        <f>YPLL!U32</f>
        <v>0</v>
      </c>
      <c r="N36" s="87">
        <f>YPLL!V32</f>
        <v>0</v>
      </c>
      <c r="P36" s="26"/>
      <c r="Q36" s="28"/>
      <c r="R36" s="26"/>
      <c r="S36" s="28"/>
      <c r="T36" s="92" t="e">
        <f>#REF!</f>
        <v>#REF!</v>
      </c>
      <c r="U36" s="92" t="e">
        <f>#REF!</f>
        <v>#REF!</v>
      </c>
      <c r="V36" s="92" t="e">
        <f>#REF!</f>
        <v>#REF!</v>
      </c>
      <c r="W36" s="92" t="e">
        <f>#REF!</f>
        <v>#REF!</v>
      </c>
      <c r="X36" s="92" t="e">
        <f>#REF!</f>
        <v>#REF!</v>
      </c>
      <c r="Y36" s="92" t="e">
        <f>#REF!</f>
        <v>#REF!</v>
      </c>
      <c r="Z36" s="26"/>
      <c r="AA36" s="35"/>
      <c r="AC36" s="92" t="e">
        <f>T36/'Baseline and counterfactual'!$L$4</f>
        <v>#REF!</v>
      </c>
      <c r="AD36" s="92" t="e">
        <f>U36/'Baseline and counterfactual'!$L$4</f>
        <v>#REF!</v>
      </c>
      <c r="AE36" s="92" t="e">
        <f>V36/'Baseline and counterfactual'!$L$4</f>
        <v>#REF!</v>
      </c>
      <c r="AF36" s="92" t="e">
        <f>W36/'Baseline and counterfactual'!$L$4</f>
        <v>#REF!</v>
      </c>
      <c r="AG36" s="92" t="e">
        <f>X36/'Baseline and counterfactual'!$L$4</f>
        <v>#REF!</v>
      </c>
      <c r="AH36" s="92" t="e">
        <f>Y36/'Baseline and counterfactual'!$L$4</f>
        <v>#REF!</v>
      </c>
      <c r="AI36" s="92">
        <f>Z36/'Baseline and counterfactual'!$L$4</f>
        <v>0</v>
      </c>
      <c r="AJ36" s="92">
        <f>AA36/'Baseline and counterfactual'!$L$4</f>
        <v>0</v>
      </c>
    </row>
    <row r="37" spans="1:36" x14ac:dyDescent="0.35">
      <c r="A37" s="1" t="s">
        <v>21</v>
      </c>
      <c r="B37" s="15">
        <f>'DALY YLL'!H35</f>
        <v>0</v>
      </c>
      <c r="C37" s="87">
        <f>YPLL!K33</f>
        <v>0</v>
      </c>
      <c r="D37" s="87">
        <f>YPLL!L33</f>
        <v>0</v>
      </c>
      <c r="E37" s="87">
        <f>YPLL!M33</f>
        <v>3.2050000000000001</v>
      </c>
      <c r="F37" s="87">
        <f>YPLL!N33</f>
        <v>0</v>
      </c>
      <c r="G37" s="87">
        <f>YPLL!L33</f>
        <v>0</v>
      </c>
      <c r="H37" s="166">
        <f>YPLL!O33*100</f>
        <v>0</v>
      </c>
      <c r="I37" s="87">
        <f>YPLL!Q33</f>
        <v>0</v>
      </c>
      <c r="J37" s="87">
        <f>YPLL!N33</f>
        <v>0</v>
      </c>
      <c r="K37" s="87">
        <f>YPLL!S33</f>
        <v>0</v>
      </c>
      <c r="L37" s="87">
        <f>YPLL!T33</f>
        <v>0</v>
      </c>
      <c r="M37" s="87">
        <f>YPLL!U33</f>
        <v>0</v>
      </c>
      <c r="N37" s="87">
        <f>YPLL!V33</f>
        <v>0</v>
      </c>
      <c r="P37" s="26"/>
      <c r="Q37" s="28"/>
      <c r="R37" s="26"/>
      <c r="S37" s="28"/>
      <c r="T37" s="92" t="e">
        <f>#REF!</f>
        <v>#REF!</v>
      </c>
      <c r="U37" s="92" t="e">
        <f>#REF!</f>
        <v>#REF!</v>
      </c>
      <c r="V37" s="92" t="e">
        <f>#REF!</f>
        <v>#REF!</v>
      </c>
      <c r="W37" s="92" t="e">
        <f>#REF!</f>
        <v>#REF!</v>
      </c>
      <c r="X37" s="92" t="e">
        <f>#REF!</f>
        <v>#REF!</v>
      </c>
      <c r="Y37" s="92" t="e">
        <f>#REF!</f>
        <v>#REF!</v>
      </c>
      <c r="Z37" s="26"/>
      <c r="AA37" s="35"/>
      <c r="AC37" s="92" t="e">
        <f>T37/'Baseline and counterfactual'!$L$4</f>
        <v>#REF!</v>
      </c>
      <c r="AD37" s="92" t="e">
        <f>U37/'Baseline and counterfactual'!$L$4</f>
        <v>#REF!</v>
      </c>
      <c r="AE37" s="92" t="e">
        <f>V37/'Baseline and counterfactual'!$L$4</f>
        <v>#REF!</v>
      </c>
      <c r="AF37" s="92" t="e">
        <f>W37/'Baseline and counterfactual'!$L$4</f>
        <v>#REF!</v>
      </c>
      <c r="AG37" s="92" t="e">
        <f>X37/'Baseline and counterfactual'!$L$4</f>
        <v>#REF!</v>
      </c>
      <c r="AH37" s="92" t="e">
        <f>Y37/'Baseline and counterfactual'!$L$4</f>
        <v>#REF!</v>
      </c>
      <c r="AI37" s="92">
        <f>Z37/'Baseline and counterfactual'!$L$4</f>
        <v>0</v>
      </c>
      <c r="AJ37" s="92">
        <f>AA37/'Baseline and counterfactual'!$L$4</f>
        <v>0</v>
      </c>
    </row>
    <row r="38" spans="1:36" x14ac:dyDescent="0.35">
      <c r="A38" s="9" t="s">
        <v>258</v>
      </c>
      <c r="B38" s="80">
        <f>'DALY YLL'!H36</f>
        <v>40572.579596859294</v>
      </c>
      <c r="C38" s="80">
        <f t="shared" ref="C38:H38" si="6">SUM(C24:C37)</f>
        <v>7008.7375962977821</v>
      </c>
      <c r="D38" s="80">
        <f t="shared" si="6"/>
        <v>177629445.640571</v>
      </c>
      <c r="E38" s="80">
        <f t="shared" si="6"/>
        <v>44.869999999999983</v>
      </c>
      <c r="F38" s="80">
        <f t="shared" si="6"/>
        <v>55422603.944015905</v>
      </c>
      <c r="G38" s="80">
        <f t="shared" si="6"/>
        <v>177629445.640571</v>
      </c>
      <c r="H38" s="9">
        <f t="shared" si="6"/>
        <v>8.6480688634061973E-3</v>
      </c>
      <c r="I38" s="9"/>
      <c r="J38" s="80">
        <f>SUM(J24:J37)</f>
        <v>55422603.944015905</v>
      </c>
      <c r="K38" s="80">
        <f>D38/'Baseline and counterfactual'!$L$4</f>
        <v>55422603.944015913</v>
      </c>
      <c r="L38" s="80">
        <f>E38/'Baseline and counterfactual'!$L$4</f>
        <v>13.999999999999995</v>
      </c>
      <c r="M38" s="80">
        <f>SUM(M24:M37)</f>
        <v>0</v>
      </c>
      <c r="N38" s="80">
        <f>SUM(N24:N37)</f>
        <v>0</v>
      </c>
      <c r="P38" s="93" t="e">
        <f t="shared" ref="P38:AA38" si="7">SUM(P24:P36)</f>
        <v>#REF!</v>
      </c>
      <c r="Q38" s="94" t="e">
        <f t="shared" si="7"/>
        <v>#REF!</v>
      </c>
      <c r="R38" s="93" t="e">
        <f t="shared" si="7"/>
        <v>#REF!</v>
      </c>
      <c r="S38" s="94" t="e">
        <f t="shared" si="7"/>
        <v>#REF!</v>
      </c>
      <c r="T38" s="93" t="e">
        <f t="shared" si="7"/>
        <v>#REF!</v>
      </c>
      <c r="U38" s="94" t="e">
        <f t="shared" si="7"/>
        <v>#REF!</v>
      </c>
      <c r="V38" s="93" t="e">
        <f t="shared" si="7"/>
        <v>#REF!</v>
      </c>
      <c r="W38" s="94" t="e">
        <f t="shared" si="7"/>
        <v>#REF!</v>
      </c>
      <c r="X38" s="93" t="e">
        <f t="shared" si="7"/>
        <v>#REF!</v>
      </c>
      <c r="Y38" s="94" t="e">
        <f t="shared" si="7"/>
        <v>#REF!</v>
      </c>
      <c r="Z38" s="93" t="e">
        <f t="shared" si="7"/>
        <v>#REF!</v>
      </c>
      <c r="AA38" s="94" t="e">
        <f t="shared" si="7"/>
        <v>#REF!</v>
      </c>
      <c r="AC38" s="93" t="e">
        <f t="shared" ref="AC38:AJ38" si="8">SUM(AC24:AC36)</f>
        <v>#REF!</v>
      </c>
      <c r="AD38" s="94" t="e">
        <f t="shared" si="8"/>
        <v>#REF!</v>
      </c>
      <c r="AE38" s="93" t="e">
        <f t="shared" si="8"/>
        <v>#REF!</v>
      </c>
      <c r="AF38" s="94" t="e">
        <f t="shared" si="8"/>
        <v>#REF!</v>
      </c>
      <c r="AG38" s="93" t="e">
        <f t="shared" si="8"/>
        <v>#REF!</v>
      </c>
      <c r="AH38" s="94" t="e">
        <f t="shared" si="8"/>
        <v>#REF!</v>
      </c>
      <c r="AI38" s="93" t="e">
        <f t="shared" si="8"/>
        <v>#REF!</v>
      </c>
      <c r="AJ38" s="94" t="e">
        <f t="shared" si="8"/>
        <v>#REF!</v>
      </c>
    </row>
    <row r="40" spans="1:36" s="1" customFormat="1" x14ac:dyDescent="0.35">
      <c r="A40" s="83" t="s">
        <v>93</v>
      </c>
      <c r="B40" s="80">
        <f t="shared" ref="B40:F40" si="9">B21+B38</f>
        <v>90767.12353775595</v>
      </c>
      <c r="C40" s="80">
        <f>C21+C38</f>
        <v>27772.313567411464</v>
      </c>
      <c r="D40" s="80" t="e">
        <f t="shared" si="9"/>
        <v>#REF!</v>
      </c>
      <c r="E40" s="80" t="e">
        <f t="shared" si="9"/>
        <v>#REF!</v>
      </c>
      <c r="F40" s="80" t="e">
        <f t="shared" si="9"/>
        <v>#REF!</v>
      </c>
      <c r="G40" s="80">
        <f>G21+G38</f>
        <v>703861515.05247617</v>
      </c>
      <c r="H40" s="9">
        <f>H21+H38</f>
        <v>3.4268208350952241E-2</v>
      </c>
      <c r="I40" s="9">
        <f>I21+I38</f>
        <v>0</v>
      </c>
      <c r="J40" s="80">
        <f>J21+J38</f>
        <v>219613577.23946214</v>
      </c>
      <c r="K40" s="80" t="e">
        <f t="shared" ref="K40:AA40" si="10">K21+K38</f>
        <v>#REF!</v>
      </c>
      <c r="L40" s="80" t="e">
        <f t="shared" si="10"/>
        <v>#REF!</v>
      </c>
      <c r="M40" s="80" t="e">
        <f t="shared" si="10"/>
        <v>#REF!</v>
      </c>
      <c r="N40" s="80">
        <f>N21+N38</f>
        <v>7.9938032722452566E-3</v>
      </c>
      <c r="P40" s="80" t="e">
        <f t="shared" si="10"/>
        <v>#REF!</v>
      </c>
      <c r="Q40" s="80" t="e">
        <f t="shared" si="10"/>
        <v>#REF!</v>
      </c>
      <c r="R40" s="80" t="e">
        <f t="shared" si="10"/>
        <v>#REF!</v>
      </c>
      <c r="S40" s="80" t="e">
        <f t="shared" si="10"/>
        <v>#REF!</v>
      </c>
      <c r="T40" s="80" t="e">
        <f t="shared" si="10"/>
        <v>#REF!</v>
      </c>
      <c r="U40" s="80" t="e">
        <f t="shared" si="10"/>
        <v>#REF!</v>
      </c>
      <c r="V40" s="80" t="e">
        <f t="shared" si="10"/>
        <v>#REF!</v>
      </c>
      <c r="W40" s="80" t="e">
        <f t="shared" si="10"/>
        <v>#REF!</v>
      </c>
      <c r="X40" s="80" t="e">
        <f t="shared" si="10"/>
        <v>#REF!</v>
      </c>
      <c r="Y40" s="80" t="e">
        <f t="shared" si="10"/>
        <v>#REF!</v>
      </c>
      <c r="Z40" s="80" t="e">
        <f t="shared" si="10"/>
        <v>#REF!</v>
      </c>
      <c r="AA40" s="80" t="e">
        <f t="shared" si="10"/>
        <v>#REF!</v>
      </c>
      <c r="AC40" s="80" t="e">
        <f t="shared" ref="AC40:AJ40" si="11">AC21+AC38</f>
        <v>#REF!</v>
      </c>
      <c r="AD40" s="80" t="e">
        <f t="shared" si="11"/>
        <v>#REF!</v>
      </c>
      <c r="AE40" s="80" t="e">
        <f t="shared" si="11"/>
        <v>#REF!</v>
      </c>
      <c r="AF40" s="80" t="e">
        <f t="shared" si="11"/>
        <v>#REF!</v>
      </c>
      <c r="AG40" s="80" t="e">
        <f t="shared" si="11"/>
        <v>#REF!</v>
      </c>
      <c r="AH40" s="80" t="e">
        <f t="shared" si="11"/>
        <v>#REF!</v>
      </c>
      <c r="AI40" s="80" t="e">
        <f t="shared" si="11"/>
        <v>#REF!</v>
      </c>
      <c r="AJ40" s="80" t="e">
        <f t="shared" si="11"/>
        <v>#REF!</v>
      </c>
    </row>
    <row r="41" spans="1:36" x14ac:dyDescent="0.35">
      <c r="H41" s="166"/>
    </row>
    <row r="42" spans="1:36" x14ac:dyDescent="0.35">
      <c r="H42" s="166"/>
    </row>
    <row r="43" spans="1:36" x14ac:dyDescent="0.35">
      <c r="H43" s="166"/>
    </row>
    <row r="44" spans="1:36" x14ac:dyDescent="0.35">
      <c r="H44" s="166"/>
    </row>
    <row r="45" spans="1:36" x14ac:dyDescent="0.35">
      <c r="H45" s="166"/>
    </row>
  </sheetData>
  <mergeCells count="10">
    <mergeCell ref="AC2:AD2"/>
    <mergeCell ref="AE2:AF2"/>
    <mergeCell ref="AG2:AH2"/>
    <mergeCell ref="AI2:AJ2"/>
    <mergeCell ref="P2:Q2"/>
    <mergeCell ref="R2:S2"/>
    <mergeCell ref="T2:U2"/>
    <mergeCell ref="V2:W2"/>
    <mergeCell ref="X2:Y2"/>
    <mergeCell ref="Z2:AA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38"/>
  <sheetViews>
    <sheetView workbookViewId="0">
      <selection activeCell="J12" sqref="J12"/>
    </sheetView>
  </sheetViews>
  <sheetFormatPr defaultRowHeight="14.5" x14ac:dyDescent="0.35"/>
  <cols>
    <col min="2" max="2" width="13.26953125" customWidth="1"/>
    <col min="8" max="8" width="10.1796875" bestFit="1" customWidth="1"/>
  </cols>
  <sheetData>
    <row r="1" spans="1:8" x14ac:dyDescent="0.35">
      <c r="A1" s="1" t="s">
        <v>0</v>
      </c>
    </row>
    <row r="3" spans="1:8" ht="29" x14ac:dyDescent="0.35">
      <c r="A3" s="2"/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86</v>
      </c>
      <c r="H3" s="4" t="s">
        <v>6</v>
      </c>
    </row>
    <row r="4" spans="1:8" x14ac:dyDescent="0.35">
      <c r="A4" s="5" t="s">
        <v>7</v>
      </c>
      <c r="B4" s="6"/>
      <c r="C4" s="6"/>
      <c r="D4" s="6"/>
      <c r="E4" s="6"/>
      <c r="F4" s="6"/>
      <c r="G4" s="6"/>
      <c r="H4" s="7"/>
    </row>
    <row r="5" spans="1:8" x14ac:dyDescent="0.35">
      <c r="A5" s="1" t="s">
        <v>8</v>
      </c>
      <c r="B5" s="22">
        <f>'Baseline and counterfactual'!B3</f>
        <v>8710079</v>
      </c>
      <c r="C5" s="22">
        <f>Results!D5</f>
        <v>-5.2063837946186513E-10</v>
      </c>
      <c r="D5">
        <f t="shared" ref="D5:D18" si="0">C5/B5/1000</f>
        <v>-5.9774243088020793E-20</v>
      </c>
      <c r="E5">
        <v>17</v>
      </c>
      <c r="F5">
        <f>'Baseline and counterfactual'!$L$10</f>
        <v>72.5</v>
      </c>
      <c r="G5">
        <f>F5-E5</f>
        <v>55.5</v>
      </c>
      <c r="H5" s="8">
        <f>C5*(1-EXP(-0.03*G5))/0.03</f>
        <v>-1.4071282062693401E-8</v>
      </c>
    </row>
    <row r="6" spans="1:8" x14ac:dyDescent="0.35">
      <c r="A6" s="1" t="s">
        <v>9</v>
      </c>
      <c r="B6" s="22">
        <f>'Baseline and counterfactual'!B4</f>
        <v>8621967</v>
      </c>
      <c r="C6" s="22">
        <f>Results!D6</f>
        <v>-9.021069105463717E-10</v>
      </c>
      <c r="D6">
        <f t="shared" si="0"/>
        <v>-1.0462889855022313E-19</v>
      </c>
      <c r="E6">
        <v>22</v>
      </c>
      <c r="F6">
        <f>'Baseline and counterfactual'!$L$10</f>
        <v>72.5</v>
      </c>
      <c r="G6">
        <f t="shared" ref="G6:G16" si="1">F6-E6</f>
        <v>50.5</v>
      </c>
      <c r="H6" s="8">
        <f t="shared" ref="H6:H18" si="2">C6*(1-EXP(-0.03*G6))/0.03</f>
        <v>-2.3460547600018385E-8</v>
      </c>
    </row>
    <row r="7" spans="1:8" x14ac:dyDescent="0.35">
      <c r="A7" s="1" t="s">
        <v>10</v>
      </c>
      <c r="B7" s="22">
        <f>'Baseline and counterfactual'!B5</f>
        <v>8634062</v>
      </c>
      <c r="C7" s="22">
        <f>Results!D7</f>
        <v>52.409745552679524</v>
      </c>
      <c r="D7">
        <f t="shared" si="0"/>
        <v>6.0701145709492846E-9</v>
      </c>
      <c r="E7">
        <v>27</v>
      </c>
      <c r="F7">
        <f>'Baseline and counterfactual'!$L$10</f>
        <v>72.5</v>
      </c>
      <c r="G7">
        <f t="shared" si="1"/>
        <v>45.5</v>
      </c>
      <c r="H7" s="22">
        <f t="shared" si="2"/>
        <v>1300.843643502436</v>
      </c>
    </row>
    <row r="8" spans="1:8" x14ac:dyDescent="0.35">
      <c r="A8" s="1" t="s">
        <v>11</v>
      </c>
      <c r="B8" s="22">
        <f>'Baseline and counterfactual'!B6</f>
        <v>8816350</v>
      </c>
      <c r="C8" s="22">
        <f>Results!D8</f>
        <v>99.103483914202116</v>
      </c>
      <c r="D8">
        <f t="shared" si="0"/>
        <v>1.1240874501829228E-8</v>
      </c>
      <c r="E8">
        <v>32</v>
      </c>
      <c r="F8">
        <f>'Baseline and counterfactual'!$L$10</f>
        <v>72.5</v>
      </c>
      <c r="G8">
        <f t="shared" si="1"/>
        <v>40.5</v>
      </c>
      <c r="H8" s="22">
        <f t="shared" si="2"/>
        <v>2323.2829261809843</v>
      </c>
    </row>
    <row r="9" spans="1:8" x14ac:dyDescent="0.35">
      <c r="A9" s="1" t="s">
        <v>12</v>
      </c>
      <c r="B9" s="22">
        <f>'Baseline and counterfactual'!B7</f>
        <v>7879629</v>
      </c>
      <c r="C9" s="22">
        <f>Results!D9</f>
        <v>154.23932240190513</v>
      </c>
      <c r="D9">
        <f t="shared" si="0"/>
        <v>1.9574439659773972E-8</v>
      </c>
      <c r="E9">
        <v>37</v>
      </c>
      <c r="F9">
        <f>'Baseline and counterfactual'!$L$10</f>
        <v>72.5</v>
      </c>
      <c r="G9">
        <f t="shared" si="1"/>
        <v>35.5</v>
      </c>
      <c r="H9" s="22">
        <f t="shared" si="2"/>
        <v>3368.9577223182246</v>
      </c>
    </row>
    <row r="10" spans="1:8" x14ac:dyDescent="0.35">
      <c r="A10" s="1" t="s">
        <v>13</v>
      </c>
      <c r="B10" s="22">
        <f>'Baseline and counterfactual'!B8</f>
        <v>6882229</v>
      </c>
      <c r="C10" s="22">
        <f>Results!D10</f>
        <v>279.73924436009395</v>
      </c>
      <c r="D10">
        <f t="shared" si="0"/>
        <v>4.0646605098449061E-8</v>
      </c>
      <c r="E10">
        <v>42</v>
      </c>
      <c r="F10">
        <f>'Baseline and counterfactual'!$L$10</f>
        <v>72.5</v>
      </c>
      <c r="G10">
        <f t="shared" si="1"/>
        <v>30.5</v>
      </c>
      <c r="H10" s="22">
        <f t="shared" si="2"/>
        <v>5589.9675341264674</v>
      </c>
    </row>
    <row r="11" spans="1:8" x14ac:dyDescent="0.35">
      <c r="A11" s="1" t="s">
        <v>14</v>
      </c>
      <c r="B11" s="22">
        <f>'Baseline and counterfactual'!B9</f>
        <v>6266088</v>
      </c>
      <c r="C11" s="22">
        <f>Results!D11</f>
        <v>399.22694093439424</v>
      </c>
      <c r="D11">
        <f t="shared" si="0"/>
        <v>6.3712309966664087E-8</v>
      </c>
      <c r="E11">
        <v>47</v>
      </c>
      <c r="F11">
        <f>'Baseline and counterfactual'!$L$10</f>
        <v>72.5</v>
      </c>
      <c r="G11">
        <f t="shared" si="1"/>
        <v>25.5</v>
      </c>
      <c r="H11" s="22">
        <f t="shared" si="2"/>
        <v>7115.1033052847515</v>
      </c>
    </row>
    <row r="12" spans="1:8" x14ac:dyDescent="0.35">
      <c r="A12" s="1" t="s">
        <v>15</v>
      </c>
      <c r="B12" s="22">
        <f>'Baseline and counterfactual'!B10</f>
        <v>5659602</v>
      </c>
      <c r="C12" s="22">
        <f>Results!D12</f>
        <v>635.98893174157888</v>
      </c>
      <c r="D12">
        <f t="shared" si="0"/>
        <v>1.1237343752115058E-7</v>
      </c>
      <c r="E12">
        <v>52</v>
      </c>
      <c r="F12">
        <f>'Baseline and counterfactual'!$L$10</f>
        <v>72.5</v>
      </c>
      <c r="G12">
        <f t="shared" si="1"/>
        <v>20.5</v>
      </c>
      <c r="H12" s="22">
        <f t="shared" si="2"/>
        <v>9738.243542599861</v>
      </c>
    </row>
    <row r="13" spans="1:8" x14ac:dyDescent="0.35">
      <c r="A13" s="1" t="s">
        <v>16</v>
      </c>
      <c r="B13" s="22">
        <f>'Baseline and counterfactual'!B11</f>
        <v>4678702</v>
      </c>
      <c r="C13" s="22">
        <f>Results!D13</f>
        <v>696.9985502827551</v>
      </c>
      <c r="D13">
        <f t="shared" si="0"/>
        <v>1.4897263178607125E-7</v>
      </c>
      <c r="E13">
        <v>57</v>
      </c>
      <c r="F13">
        <f>'Baseline and counterfactual'!$L$10</f>
        <v>72.5</v>
      </c>
      <c r="G13">
        <f t="shared" si="1"/>
        <v>15.5</v>
      </c>
      <c r="H13" s="22">
        <f t="shared" si="2"/>
        <v>8639.6430861289846</v>
      </c>
    </row>
    <row r="14" spans="1:8" x14ac:dyDescent="0.35">
      <c r="A14" s="1" t="s">
        <v>17</v>
      </c>
      <c r="B14" s="22">
        <f>'Baseline and counterfactual'!B12</f>
        <v>3655025</v>
      </c>
      <c r="C14" s="22">
        <f>Results!D14</f>
        <v>857.1048519405382</v>
      </c>
      <c r="D14">
        <f t="shared" si="0"/>
        <v>2.3450040750488387E-7</v>
      </c>
      <c r="E14">
        <v>62</v>
      </c>
      <c r="F14">
        <f>'Baseline and counterfactual'!$L$10</f>
        <v>72.5</v>
      </c>
      <c r="G14">
        <f t="shared" si="1"/>
        <v>10.5</v>
      </c>
      <c r="H14" s="22">
        <f t="shared" si="2"/>
        <v>7719.9755637435401</v>
      </c>
    </row>
    <row r="15" spans="1:8" x14ac:dyDescent="0.35">
      <c r="A15" s="1" t="s">
        <v>18</v>
      </c>
      <c r="B15" s="22">
        <f>'Baseline and counterfactual'!B13</f>
        <v>2672043</v>
      </c>
      <c r="C15" s="22">
        <f>Results!D15</f>
        <v>790.40202211647158</v>
      </c>
      <c r="D15">
        <f t="shared" si="0"/>
        <v>2.9580437968867701E-7</v>
      </c>
      <c r="E15">
        <v>67</v>
      </c>
      <c r="F15">
        <f>'Baseline and counterfactual'!$L$10</f>
        <v>72.5</v>
      </c>
      <c r="G15">
        <f t="shared" si="1"/>
        <v>5.5</v>
      </c>
      <c r="H15" s="22">
        <f t="shared" si="2"/>
        <v>4007.5041288519233</v>
      </c>
    </row>
    <row r="16" spans="1:8" x14ac:dyDescent="0.35">
      <c r="A16" s="1" t="s">
        <v>19</v>
      </c>
      <c r="B16" s="22">
        <f>'Baseline and counterfactual'!B14</f>
        <v>1793543</v>
      </c>
      <c r="C16" s="22">
        <f>Results!D16</f>
        <v>787.92497700532567</v>
      </c>
      <c r="D16">
        <f t="shared" si="0"/>
        <v>4.3931200813436067E-7</v>
      </c>
      <c r="E16">
        <v>72</v>
      </c>
      <c r="F16">
        <f>'Baseline and counterfactual'!$L$10</f>
        <v>72.5</v>
      </c>
      <c r="G16">
        <f t="shared" si="1"/>
        <v>0.5</v>
      </c>
      <c r="H16" s="22">
        <f t="shared" si="2"/>
        <v>391.0224881970255</v>
      </c>
    </row>
    <row r="17" spans="1:8" x14ac:dyDescent="0.35">
      <c r="A17" s="1" t="s">
        <v>20</v>
      </c>
      <c r="B17" s="22">
        <f>'Baseline and counterfactual'!B15</f>
        <v>1222286</v>
      </c>
      <c r="C17" s="22">
        <f>Results!D17</f>
        <v>588.70203395340013</v>
      </c>
      <c r="D17">
        <f t="shared" si="0"/>
        <v>4.8164016764767018E-7</v>
      </c>
      <c r="E17">
        <v>77</v>
      </c>
      <c r="F17">
        <f>'Baseline and counterfactual'!$L$10</f>
        <v>72.5</v>
      </c>
      <c r="G17">
        <v>0</v>
      </c>
      <c r="H17" s="22">
        <f t="shared" si="2"/>
        <v>0</v>
      </c>
    </row>
    <row r="18" spans="1:8" x14ac:dyDescent="0.35">
      <c r="A18" s="1" t="s">
        <v>21</v>
      </c>
      <c r="B18" s="22">
        <f>'Baseline and counterfactual'!B16</f>
        <v>1246775</v>
      </c>
      <c r="C18" s="22">
        <f>Results!D18</f>
        <v>1080.603865735741</v>
      </c>
      <c r="D18">
        <f t="shared" si="0"/>
        <v>8.6671922819734192E-7</v>
      </c>
      <c r="E18">
        <v>82</v>
      </c>
      <c r="F18">
        <f>'Baseline and counterfactual'!$L$10</f>
        <v>72.5</v>
      </c>
      <c r="G18">
        <v>0</v>
      </c>
      <c r="H18" s="22">
        <f t="shared" si="2"/>
        <v>0</v>
      </c>
    </row>
    <row r="19" spans="1:8" x14ac:dyDescent="0.35">
      <c r="A19" s="9" t="s">
        <v>22</v>
      </c>
      <c r="B19" s="22">
        <f>SUM(B5:B18)</f>
        <v>76738380</v>
      </c>
      <c r="C19" s="22">
        <f>SUM(C5:C18)</f>
        <v>6422.4439699376626</v>
      </c>
      <c r="D19" s="10"/>
      <c r="E19" s="10"/>
      <c r="F19" s="73"/>
      <c r="G19" s="10"/>
      <c r="H19" s="22">
        <f>SUM(H5:H18)</f>
        <v>50194.543940896663</v>
      </c>
    </row>
    <row r="20" spans="1:8" x14ac:dyDescent="0.35">
      <c r="A20" s="1"/>
      <c r="B20" s="22"/>
      <c r="F20" s="20"/>
      <c r="H20" s="8"/>
    </row>
    <row r="21" spans="1:8" x14ac:dyDescent="0.35">
      <c r="A21" s="12" t="s">
        <v>23</v>
      </c>
      <c r="B21" s="22"/>
      <c r="F21" s="20"/>
      <c r="H21" s="8"/>
    </row>
    <row r="22" spans="1:8" x14ac:dyDescent="0.35">
      <c r="A22" s="1" t="s">
        <v>8</v>
      </c>
      <c r="B22" s="22">
        <f>'Baseline and counterfactual'!B20</f>
        <v>8430049</v>
      </c>
      <c r="C22" s="17">
        <f>Results!D20</f>
        <v>-1.5913960720906715E-10</v>
      </c>
      <c r="D22">
        <f t="shared" ref="D22:D35" si="3">C22/B22/1000</f>
        <v>-1.8877660996877617E-20</v>
      </c>
      <c r="E22">
        <v>17</v>
      </c>
      <c r="F22">
        <f>'Baseline and counterfactual'!$L$11</f>
        <v>79.400000000000006</v>
      </c>
      <c r="G22">
        <f>F22-E22</f>
        <v>62.400000000000006</v>
      </c>
      <c r="H22" s="8">
        <f>C22*(1-EXP(-0.03*G22))/0.03</f>
        <v>-4.4887144514172793E-9</v>
      </c>
    </row>
    <row r="23" spans="1:8" x14ac:dyDescent="0.35">
      <c r="A23" s="1" t="s">
        <v>9</v>
      </c>
      <c r="B23" s="22">
        <f>'Baseline and counterfactual'!B21</f>
        <v>8434408</v>
      </c>
      <c r="C23" s="17">
        <f>Results!D21</f>
        <v>-2.85319888550028E-10</v>
      </c>
      <c r="D23">
        <f t="shared" si="3"/>
        <v>-3.3828087110562824E-20</v>
      </c>
      <c r="E23">
        <v>22</v>
      </c>
      <c r="F23">
        <f>'Baseline and counterfactual'!$L$11</f>
        <v>79.400000000000006</v>
      </c>
      <c r="G23">
        <f t="shared" ref="G23:G34" si="4">F23-E23</f>
        <v>57.400000000000006</v>
      </c>
      <c r="H23" s="8">
        <f t="shared" ref="H23:H35" si="5">C23*(1-EXP(-0.03*G23))/0.03</f>
        <v>-7.8110278445796354E-9</v>
      </c>
    </row>
    <row r="24" spans="1:8" x14ac:dyDescent="0.35">
      <c r="A24" s="1" t="s">
        <v>10</v>
      </c>
      <c r="B24" s="22">
        <f>'Baseline and counterfactual'!B22</f>
        <v>8542758</v>
      </c>
      <c r="C24" s="17">
        <f>Results!D22</f>
        <v>20.092004929761821</v>
      </c>
      <c r="D24">
        <f t="shared" si="3"/>
        <v>2.3519342266001005E-9</v>
      </c>
      <c r="E24">
        <v>27</v>
      </c>
      <c r="F24">
        <f>'Baseline and counterfactual'!$L$11</f>
        <v>79.400000000000006</v>
      </c>
      <c r="G24">
        <f t="shared" si="4"/>
        <v>52.400000000000006</v>
      </c>
      <c r="H24" s="8">
        <f t="shared" si="5"/>
        <v>530.67706117904595</v>
      </c>
    </row>
    <row r="25" spans="1:8" x14ac:dyDescent="0.35">
      <c r="A25" s="1" t="s">
        <v>11</v>
      </c>
      <c r="B25" s="22">
        <f>'Baseline and counterfactual'!B23</f>
        <v>8821067</v>
      </c>
      <c r="C25" s="17">
        <f>Results!D23</f>
        <v>47.206124592307653</v>
      </c>
      <c r="D25">
        <f t="shared" si="3"/>
        <v>5.3515209205765752E-9</v>
      </c>
      <c r="E25">
        <v>32</v>
      </c>
      <c r="F25">
        <f>'Baseline and counterfactual'!$L$11</f>
        <v>79.400000000000006</v>
      </c>
      <c r="G25">
        <f t="shared" si="4"/>
        <v>47.400000000000006</v>
      </c>
      <c r="H25" s="8">
        <f t="shared" si="5"/>
        <v>1193.9513517798646</v>
      </c>
    </row>
    <row r="26" spans="1:8" x14ac:dyDescent="0.35">
      <c r="A26" s="1" t="s">
        <v>12</v>
      </c>
      <c r="B26" s="22">
        <f>'Baseline and counterfactual'!B24</f>
        <v>7976620</v>
      </c>
      <c r="C26" s="17">
        <f>Results!D24</f>
        <v>91.297261493248101</v>
      </c>
      <c r="D26">
        <f t="shared" si="3"/>
        <v>1.144560747450024E-8</v>
      </c>
      <c r="E26">
        <v>37</v>
      </c>
      <c r="F26">
        <f>'Baseline and counterfactual'!$L$11</f>
        <v>79.400000000000006</v>
      </c>
      <c r="G26">
        <f t="shared" si="4"/>
        <v>42.400000000000006</v>
      </c>
      <c r="H26" s="8">
        <f t="shared" si="5"/>
        <v>2190.3110185348337</v>
      </c>
    </row>
    <row r="27" spans="1:8" x14ac:dyDescent="0.35">
      <c r="A27" s="1" t="s">
        <v>13</v>
      </c>
      <c r="B27" s="22">
        <f>'Baseline and counterfactual'!B25</f>
        <v>7062001</v>
      </c>
      <c r="C27" s="17">
        <f>Results!D25</f>
        <v>157.6268776650154</v>
      </c>
      <c r="D27">
        <f t="shared" si="3"/>
        <v>2.232042698167494E-8</v>
      </c>
      <c r="E27">
        <v>42</v>
      </c>
      <c r="F27">
        <f>'Baseline and counterfactual'!$L$11</f>
        <v>79.400000000000006</v>
      </c>
      <c r="G27">
        <f t="shared" si="4"/>
        <v>37.400000000000006</v>
      </c>
      <c r="H27" s="8">
        <f t="shared" si="5"/>
        <v>3543.3056843851859</v>
      </c>
    </row>
    <row r="28" spans="1:8" x14ac:dyDescent="0.35">
      <c r="A28" s="1" t="s">
        <v>14</v>
      </c>
      <c r="B28" s="22">
        <f>'Baseline and counterfactual'!B26</f>
        <v>6536311</v>
      </c>
      <c r="C28" s="17">
        <f>Results!D26</f>
        <v>218.38371643760394</v>
      </c>
      <c r="D28">
        <f t="shared" si="3"/>
        <v>3.3410851539592277E-8</v>
      </c>
      <c r="E28">
        <v>47</v>
      </c>
      <c r="F28">
        <f>'Baseline and counterfactual'!$L$11</f>
        <v>79.400000000000006</v>
      </c>
      <c r="G28">
        <f t="shared" si="4"/>
        <v>32.400000000000006</v>
      </c>
      <c r="H28" s="8">
        <f t="shared" si="5"/>
        <v>4525.4519800908338</v>
      </c>
    </row>
    <row r="29" spans="1:8" x14ac:dyDescent="0.35">
      <c r="A29" s="1" t="s">
        <v>15</v>
      </c>
      <c r="B29" s="22">
        <f>'Baseline and counterfactual'!B27</f>
        <v>6027703</v>
      </c>
      <c r="C29" s="17">
        <f>Results!D27</f>
        <v>323.10241730897064</v>
      </c>
      <c r="D29">
        <f t="shared" si="3"/>
        <v>5.3602909318685844E-8</v>
      </c>
      <c r="E29">
        <v>52</v>
      </c>
      <c r="F29">
        <f>'Baseline and counterfactual'!$L$11</f>
        <v>79.400000000000006</v>
      </c>
      <c r="G29">
        <f t="shared" si="4"/>
        <v>27.400000000000006</v>
      </c>
      <c r="H29" s="8">
        <f t="shared" si="5"/>
        <v>6036.073657457785</v>
      </c>
    </row>
    <row r="30" spans="1:8" x14ac:dyDescent="0.35">
      <c r="A30" s="1" t="s">
        <v>16</v>
      </c>
      <c r="B30" s="22">
        <f>'Baseline and counterfactual'!B28</f>
        <v>5120890</v>
      </c>
      <c r="C30" s="17">
        <f>Results!D28</f>
        <v>367.85353184947792</v>
      </c>
      <c r="D30">
        <f t="shared" si="3"/>
        <v>7.18339061861274E-8</v>
      </c>
      <c r="E30">
        <v>57</v>
      </c>
      <c r="F30">
        <f>'Baseline and counterfactual'!$L$11</f>
        <v>79.400000000000006</v>
      </c>
      <c r="G30">
        <f t="shared" si="4"/>
        <v>22.400000000000006</v>
      </c>
      <c r="H30" s="8">
        <f t="shared" si="5"/>
        <v>5999.8605210498554</v>
      </c>
    </row>
    <row r="31" spans="1:8" x14ac:dyDescent="0.35">
      <c r="A31" s="1" t="s">
        <v>17</v>
      </c>
      <c r="B31" s="22">
        <f>'Baseline and counterfactual'!B29</f>
        <v>4141984</v>
      </c>
      <c r="C31" s="17">
        <f>Results!D29</f>
        <v>481.551257853479</v>
      </c>
      <c r="D31">
        <f t="shared" si="3"/>
        <v>1.1626101352720798E-7</v>
      </c>
      <c r="E31">
        <v>62</v>
      </c>
      <c r="F31">
        <f>'Baseline and counterfactual'!$L$11</f>
        <v>79.400000000000006</v>
      </c>
      <c r="G31">
        <f t="shared" si="4"/>
        <v>17.400000000000006</v>
      </c>
      <c r="H31" s="8">
        <f t="shared" si="5"/>
        <v>6527.7050730459523</v>
      </c>
    </row>
    <row r="32" spans="1:8" x14ac:dyDescent="0.35">
      <c r="A32" s="1" t="s">
        <v>18</v>
      </c>
      <c r="B32" s="22">
        <f>'Baseline and counterfactual'!B30</f>
        <v>3172657</v>
      </c>
      <c r="C32" s="17">
        <f>Results!D30</f>
        <v>487.91277334784331</v>
      </c>
      <c r="D32">
        <f t="shared" si="3"/>
        <v>1.5378680183450127E-7</v>
      </c>
      <c r="E32">
        <v>67</v>
      </c>
      <c r="F32">
        <f>'Baseline and counterfactual'!$L$11</f>
        <v>79.400000000000006</v>
      </c>
      <c r="G32">
        <f t="shared" si="4"/>
        <v>12.400000000000006</v>
      </c>
      <c r="H32" s="8">
        <f t="shared" si="5"/>
        <v>5052.2677686249408</v>
      </c>
    </row>
    <row r="33" spans="1:8" x14ac:dyDescent="0.35">
      <c r="A33" s="1" t="s">
        <v>19</v>
      </c>
      <c r="B33" s="22">
        <f>'Baseline and counterfactual'!B31</f>
        <v>2283021</v>
      </c>
      <c r="C33" s="17">
        <f>Results!D31</f>
        <v>571.3797113682034</v>
      </c>
      <c r="D33">
        <f t="shared" si="3"/>
        <v>2.5027352414550872E-7</v>
      </c>
      <c r="E33">
        <v>72</v>
      </c>
      <c r="F33">
        <f>'Baseline and counterfactual'!$L$11</f>
        <v>79.400000000000006</v>
      </c>
      <c r="G33">
        <f t="shared" si="4"/>
        <v>7.4000000000000057</v>
      </c>
      <c r="H33" s="8">
        <f t="shared" si="5"/>
        <v>3791.7640554768818</v>
      </c>
    </row>
    <row r="34" spans="1:8" x14ac:dyDescent="0.35">
      <c r="A34" s="1" t="s">
        <v>20</v>
      </c>
      <c r="B34" s="22">
        <f>'Baseline and counterfactual'!B32</f>
        <v>1691282</v>
      </c>
      <c r="C34" s="17">
        <f>Results!D32</f>
        <v>510.10219825330995</v>
      </c>
      <c r="D34">
        <f t="shared" si="3"/>
        <v>3.0160682739679718E-7</v>
      </c>
      <c r="E34">
        <v>77</v>
      </c>
      <c r="F34">
        <f>'Baseline and counterfactual'!$L$11</f>
        <v>79.400000000000006</v>
      </c>
      <c r="G34">
        <f t="shared" si="4"/>
        <v>2.4000000000000057</v>
      </c>
      <c r="H34" s="8">
        <f t="shared" si="5"/>
        <v>1181.2114252464078</v>
      </c>
    </row>
    <row r="35" spans="1:8" x14ac:dyDescent="0.35">
      <c r="A35" s="1" t="s">
        <v>21</v>
      </c>
      <c r="B35" s="22">
        <f>'Baseline and counterfactual'!B33</f>
        <v>2062198</v>
      </c>
      <c r="C35" s="17">
        <f>Results!D33</f>
        <v>1404.7965558915112</v>
      </c>
      <c r="D35">
        <f t="shared" si="3"/>
        <v>6.8121322777517539E-7</v>
      </c>
      <c r="E35">
        <v>82</v>
      </c>
      <c r="F35">
        <f>'Baseline and counterfactual'!$L$11</f>
        <v>79.400000000000006</v>
      </c>
      <c r="G35">
        <v>0</v>
      </c>
      <c r="H35" s="8">
        <f t="shared" si="5"/>
        <v>0</v>
      </c>
    </row>
    <row r="36" spans="1:8" x14ac:dyDescent="0.35">
      <c r="A36" s="9" t="s">
        <v>22</v>
      </c>
      <c r="B36" s="10"/>
      <c r="C36" s="22">
        <f t="shared" ref="C36:D36" si="6">SUM(C22:C35)</f>
        <v>4681.304430990288</v>
      </c>
      <c r="D36" s="22">
        <f t="shared" si="6"/>
        <v>1.703458551326895E-6</v>
      </c>
      <c r="E36" s="10"/>
      <c r="F36" s="73"/>
      <c r="G36" s="10"/>
      <c r="H36" s="11">
        <f>SUM(H22:H35)</f>
        <v>40572.579596859294</v>
      </c>
    </row>
    <row r="38" spans="1:8" x14ac:dyDescent="0.35">
      <c r="H38" s="15">
        <f>H19+H36</f>
        <v>90767.12353775595</v>
      </c>
    </row>
  </sheetData>
  <conditionalFormatting sqref="C5:C18">
    <cfRule type="top10" dxfId="2" priority="3" percent="1" rank="10"/>
  </conditionalFormatting>
  <conditionalFormatting sqref="C19">
    <cfRule type="top10" dxfId="1" priority="2" percent="1" rank="10"/>
  </conditionalFormatting>
  <conditionalFormatting sqref="C36:D36">
    <cfRule type="top10" dxfId="0" priority="1" percent="1" rank="10"/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BT88"/>
  <sheetViews>
    <sheetView topLeftCell="B1" workbookViewId="0">
      <selection activeCell="L6" sqref="L6"/>
    </sheetView>
  </sheetViews>
  <sheetFormatPr defaultRowHeight="14.5" x14ac:dyDescent="0.35"/>
  <cols>
    <col min="1" max="1" width="13.81640625" style="1" bestFit="1" customWidth="1"/>
    <col min="2" max="2" width="12.453125" customWidth="1"/>
    <col min="5" max="5" width="11.453125" customWidth="1"/>
    <col min="6" max="6" width="10.81640625" style="20" customWidth="1"/>
    <col min="7" max="9" width="9.1796875" style="20"/>
    <col min="11" max="11" width="15.453125" bestFit="1" customWidth="1"/>
    <col min="12" max="12" width="15.08984375" bestFit="1" customWidth="1"/>
    <col min="13" max="13" width="13.81640625" bestFit="1" customWidth="1"/>
    <col min="14" max="14" width="13.90625" bestFit="1" customWidth="1"/>
  </cols>
  <sheetData>
    <row r="1" spans="1:15" s="1" customFormat="1" ht="58" x14ac:dyDescent="0.35">
      <c r="A1" s="16"/>
      <c r="B1" s="16" t="s">
        <v>24</v>
      </c>
      <c r="C1" s="16" t="s">
        <v>82</v>
      </c>
      <c r="D1" s="16" t="s">
        <v>134</v>
      </c>
      <c r="E1" s="16" t="s">
        <v>170</v>
      </c>
      <c r="F1" s="65" t="s">
        <v>146</v>
      </c>
      <c r="G1" s="65" t="s">
        <v>171</v>
      </c>
      <c r="H1" s="65" t="s">
        <v>172</v>
      </c>
      <c r="I1" s="65" t="s">
        <v>173</v>
      </c>
      <c r="J1" s="16" t="s">
        <v>251</v>
      </c>
      <c r="K1" s="16" t="s">
        <v>25</v>
      </c>
      <c r="L1" s="16" t="s">
        <v>174</v>
      </c>
      <c r="M1" s="16" t="s">
        <v>175</v>
      </c>
      <c r="N1" s="16" t="s">
        <v>176</v>
      </c>
      <c r="O1" s="16" t="s">
        <v>177</v>
      </c>
    </row>
    <row r="2" spans="1:15" x14ac:dyDescent="0.35">
      <c r="A2" s="1" t="s">
        <v>41</v>
      </c>
      <c r="B2" t="s">
        <v>26</v>
      </c>
      <c r="N2" s="15"/>
      <c r="O2" s="75"/>
    </row>
    <row r="3" spans="1:15" x14ac:dyDescent="0.35">
      <c r="A3" s="1" t="s">
        <v>27</v>
      </c>
      <c r="B3" s="17">
        <f>Results!B5</f>
        <v>-5.2063837946186513E-10</v>
      </c>
      <c r="C3" s="17">
        <f>Results!C5</f>
        <v>0</v>
      </c>
      <c r="D3" s="17">
        <f>Results!D5</f>
        <v>-5.2063837946186513E-10</v>
      </c>
      <c r="E3">
        <v>17.5</v>
      </c>
      <c r="F3" s="20">
        <f>'Baseline and counterfactual'!$L$8</f>
        <v>2112</v>
      </c>
      <c r="G3" s="22">
        <f>'Baseline and counterfactual'!$L$5</f>
        <v>2053.978159126365</v>
      </c>
      <c r="H3" s="14">
        <f>'Baseline and counterfactual'!$L$9/100</f>
        <v>0.54600000000000004</v>
      </c>
      <c r="I3" s="20">
        <f>'Baseline and counterfactual'!$L$6</f>
        <v>65</v>
      </c>
      <c r="J3">
        <f t="shared" ref="J3:J12" si="0">I3-E3</f>
        <v>47.5</v>
      </c>
      <c r="K3">
        <f>D3*J3*H3</f>
        <v>-1.3502756371343474E-8</v>
      </c>
      <c r="L3" s="15">
        <f>K3*12*F3</f>
        <v>-3.4221385747532903E-4</v>
      </c>
      <c r="M3" s="15">
        <f>'Baseline and counterfactual'!$L$4</f>
        <v>3.2050000000000001</v>
      </c>
      <c r="N3" s="15">
        <f>L3/M3</f>
        <v>-1.0677499453208394E-4</v>
      </c>
      <c r="O3" s="75">
        <f t="shared" ref="O3:O16" si="1">M3*N3/(G3*1000000000)</f>
        <v>-1.666102708808187E-16</v>
      </c>
    </row>
    <row r="4" spans="1:15" x14ac:dyDescent="0.35">
      <c r="A4" s="1" t="s">
        <v>28</v>
      </c>
      <c r="B4" s="17">
        <f>Results!B6</f>
        <v>-9.021069105463717E-10</v>
      </c>
      <c r="C4" s="17">
        <f>Results!C6</f>
        <v>0</v>
      </c>
      <c r="D4" s="17">
        <f>Results!D6</f>
        <v>-9.021069105463717E-10</v>
      </c>
      <c r="E4">
        <v>22.5</v>
      </c>
      <c r="F4" s="20">
        <f>'Baseline and counterfactual'!$L$8</f>
        <v>2112</v>
      </c>
      <c r="G4" s="22">
        <f>'Baseline and counterfactual'!$L$5</f>
        <v>2053.978159126365</v>
      </c>
      <c r="H4" s="14">
        <f>'Baseline and counterfactual'!$L$9/100</f>
        <v>0.54600000000000004</v>
      </c>
      <c r="I4" s="20">
        <f>'Baseline and counterfactual'!$L$6</f>
        <v>65</v>
      </c>
      <c r="J4">
        <f t="shared" si="0"/>
        <v>42.5</v>
      </c>
      <c r="K4">
        <f t="shared" ref="K4:K16" si="2">D4*J4*H4</f>
        <v>-2.0933390859228559E-8</v>
      </c>
      <c r="L4" s="15">
        <f t="shared" ref="L4:L16" si="3">K4*12*F4</f>
        <v>-5.3053585793628858E-4</v>
      </c>
      <c r="M4" s="15">
        <f>'Baseline and counterfactual'!$L$4</f>
        <v>3.2050000000000001</v>
      </c>
      <c r="N4" s="15">
        <f t="shared" ref="N4:N17" si="4">L4/M4</f>
        <v>-1.6553380902848317E-4</v>
      </c>
      <c r="O4" s="75">
        <f t="shared" si="1"/>
        <v>-2.582967377617811E-16</v>
      </c>
    </row>
    <row r="5" spans="1:15" x14ac:dyDescent="0.35">
      <c r="A5" s="1" t="s">
        <v>29</v>
      </c>
      <c r="B5" s="17">
        <f>Results!B7</f>
        <v>39.833134764326246</v>
      </c>
      <c r="C5" s="17">
        <f>Results!C7</f>
        <v>12.576610788353278</v>
      </c>
      <c r="D5" s="17">
        <f>Results!D7</f>
        <v>52.409745552679524</v>
      </c>
      <c r="E5">
        <v>27.5</v>
      </c>
      <c r="F5" s="20">
        <f>'Baseline and counterfactual'!$L$8</f>
        <v>2112</v>
      </c>
      <c r="G5" s="22">
        <f>'Baseline and counterfactual'!$L$5</f>
        <v>2053.978159126365</v>
      </c>
      <c r="H5" s="14">
        <f>'Baseline and counterfactual'!$L$9/100</f>
        <v>0.54600000000000004</v>
      </c>
      <c r="I5" s="20">
        <f>'Baseline and counterfactual'!$L$6</f>
        <v>65</v>
      </c>
      <c r="J5">
        <f t="shared" si="0"/>
        <v>37.5</v>
      </c>
      <c r="K5">
        <f t="shared" si="2"/>
        <v>1073.0895401911134</v>
      </c>
      <c r="L5" s="15">
        <f t="shared" si="3"/>
        <v>27196381.306603577</v>
      </c>
      <c r="M5" s="15">
        <f>'Baseline and counterfactual'!$L$4</f>
        <v>3.2050000000000001</v>
      </c>
      <c r="N5" s="15">
        <f t="shared" si="4"/>
        <v>8485610.3920759987</v>
      </c>
      <c r="O5" s="75">
        <f t="shared" si="1"/>
        <v>1.3240832764342163E-5</v>
      </c>
    </row>
    <row r="6" spans="1:15" x14ac:dyDescent="0.35">
      <c r="A6" s="1" t="s">
        <v>30</v>
      </c>
      <c r="B6" s="17">
        <f>Results!B8</f>
        <v>77.798753651144878</v>
      </c>
      <c r="C6" s="17">
        <f>Results!C8</f>
        <v>21.304730263057241</v>
      </c>
      <c r="D6" s="17">
        <f>Results!D8</f>
        <v>99.103483914202116</v>
      </c>
      <c r="E6">
        <f>E5+5</f>
        <v>32.5</v>
      </c>
      <c r="F6" s="20">
        <f>'Baseline and counterfactual'!$L$8</f>
        <v>2112</v>
      </c>
      <c r="G6" s="22">
        <f>'Baseline and counterfactual'!$L$5</f>
        <v>2053.978159126365</v>
      </c>
      <c r="H6" s="14">
        <f>'Baseline and counterfactual'!$L$9/100</f>
        <v>0.54600000000000004</v>
      </c>
      <c r="I6" s="20">
        <f>'Baseline and counterfactual'!$L$6</f>
        <v>65</v>
      </c>
      <c r="J6">
        <f t="shared" si="0"/>
        <v>32.5</v>
      </c>
      <c r="K6">
        <f t="shared" si="2"/>
        <v>1758.5913220575167</v>
      </c>
      <c r="L6" s="15">
        <f t="shared" si="3"/>
        <v>44569738.466225699</v>
      </c>
      <c r="M6" s="15">
        <f>'Baseline and counterfactual'!$L$4</f>
        <v>3.2050000000000001</v>
      </c>
      <c r="N6" s="15">
        <f t="shared" si="4"/>
        <v>13906314.654048579</v>
      </c>
      <c r="O6" s="75">
        <f t="shared" si="1"/>
        <v>2.1699227067333035E-5</v>
      </c>
    </row>
    <row r="7" spans="1:15" x14ac:dyDescent="0.35">
      <c r="A7" s="1" t="s">
        <v>31</v>
      </c>
      <c r="B7" s="17">
        <f>Results!B9</f>
        <v>118.99253725559444</v>
      </c>
      <c r="C7" s="17">
        <f>Results!C9</f>
        <v>35.246785146310678</v>
      </c>
      <c r="D7" s="17">
        <f>Results!D9</f>
        <v>154.23932240190513</v>
      </c>
      <c r="E7">
        <f t="shared" ref="E7:E15" si="5">E6+5</f>
        <v>37.5</v>
      </c>
      <c r="F7" s="20">
        <f>'Baseline and counterfactual'!$L$8</f>
        <v>2112</v>
      </c>
      <c r="G7" s="22">
        <f>'Baseline and counterfactual'!$L$5</f>
        <v>2053.978159126365</v>
      </c>
      <c r="H7" s="14">
        <f>'Baseline and counterfactual'!$L$9/100</f>
        <v>0.54600000000000004</v>
      </c>
      <c r="I7" s="20">
        <f>'Baseline and counterfactual'!$L$6</f>
        <v>65</v>
      </c>
      <c r="J7">
        <f t="shared" si="0"/>
        <v>27.5</v>
      </c>
      <c r="K7">
        <f t="shared" si="2"/>
        <v>2315.9034258646057</v>
      </c>
      <c r="L7" s="15">
        <f t="shared" si="3"/>
        <v>58694256.42511256</v>
      </c>
      <c r="M7" s="15">
        <f>'Baseline and counterfactual'!$L$4</f>
        <v>3.2050000000000001</v>
      </c>
      <c r="N7" s="15">
        <f t="shared" si="4"/>
        <v>18313340.538256649</v>
      </c>
      <c r="O7" s="75">
        <f t="shared" si="1"/>
        <v>2.8575891211071816E-5</v>
      </c>
    </row>
    <row r="8" spans="1:15" x14ac:dyDescent="0.35">
      <c r="A8" s="1" t="s">
        <v>32</v>
      </c>
      <c r="B8" s="17">
        <f>Results!B10</f>
        <v>217.7763522787512</v>
      </c>
      <c r="C8" s="17">
        <f>Results!C10</f>
        <v>61.962892081342765</v>
      </c>
      <c r="D8" s="17">
        <f>Results!D10</f>
        <v>279.73924436009395</v>
      </c>
      <c r="E8">
        <f t="shared" si="5"/>
        <v>42.5</v>
      </c>
      <c r="F8" s="20">
        <f>'Baseline and counterfactual'!$L$8</f>
        <v>2112</v>
      </c>
      <c r="G8" s="22">
        <f>'Baseline and counterfactual'!$L$5</f>
        <v>2053.978159126365</v>
      </c>
      <c r="H8" s="14">
        <f>'Baseline and counterfactual'!$L$9/100</f>
        <v>0.54600000000000004</v>
      </c>
      <c r="I8" s="20">
        <f>'Baseline and counterfactual'!$L$6</f>
        <v>65</v>
      </c>
      <c r="J8">
        <f t="shared" si="0"/>
        <v>22.5</v>
      </c>
      <c r="K8">
        <f t="shared" si="2"/>
        <v>3436.5966169637541</v>
      </c>
      <c r="L8" s="15">
        <f t="shared" si="3"/>
        <v>87097104.660329387</v>
      </c>
      <c r="M8" s="15">
        <f>'Baseline and counterfactual'!$L$4</f>
        <v>3.2050000000000001</v>
      </c>
      <c r="N8" s="15">
        <f t="shared" si="4"/>
        <v>27175383.669369541</v>
      </c>
      <c r="O8" s="75">
        <f t="shared" si="1"/>
        <v>4.2404104577906077E-5</v>
      </c>
    </row>
    <row r="9" spans="1:15" x14ac:dyDescent="0.35">
      <c r="A9" s="1" t="s">
        <v>33</v>
      </c>
      <c r="B9" s="17">
        <f>Results!B11</f>
        <v>317.97251194047629</v>
      </c>
      <c r="C9" s="17">
        <f>Results!C11</f>
        <v>81.254428993917927</v>
      </c>
      <c r="D9" s="17">
        <f>Results!D11</f>
        <v>399.22694093439424</v>
      </c>
      <c r="E9">
        <f t="shared" si="5"/>
        <v>47.5</v>
      </c>
      <c r="F9" s="20">
        <f>'Baseline and counterfactual'!$L$8</f>
        <v>2112</v>
      </c>
      <c r="G9" s="22">
        <f>'Baseline and counterfactual'!$L$5</f>
        <v>2053.978159126365</v>
      </c>
      <c r="H9" s="14">
        <f>'Baseline and counterfactual'!$L$9/100</f>
        <v>0.54600000000000004</v>
      </c>
      <c r="I9" s="20">
        <f>'Baseline and counterfactual'!$L$6</f>
        <v>65</v>
      </c>
      <c r="J9">
        <f t="shared" si="0"/>
        <v>17.5</v>
      </c>
      <c r="K9">
        <f t="shared" si="2"/>
        <v>3814.6134206281372</v>
      </c>
      <c r="L9" s="15">
        <f t="shared" si="3"/>
        <v>96677562.532399505</v>
      </c>
      <c r="M9" s="15">
        <f>'Baseline and counterfactual'!$L$4</f>
        <v>3.2050000000000001</v>
      </c>
      <c r="N9" s="15">
        <f t="shared" si="4"/>
        <v>30164606.09435242</v>
      </c>
      <c r="O9" s="75">
        <f t="shared" si="1"/>
        <v>4.7068447199808662E-5</v>
      </c>
    </row>
    <row r="10" spans="1:15" x14ac:dyDescent="0.35">
      <c r="A10" s="1" t="s">
        <v>34</v>
      </c>
      <c r="B10" s="17">
        <f>Results!B12</f>
        <v>507.13810216736567</v>
      </c>
      <c r="C10" s="17">
        <f>Results!C12</f>
        <v>128.85082957421326</v>
      </c>
      <c r="D10" s="17">
        <f>Results!D12</f>
        <v>635.98893174157888</v>
      </c>
      <c r="E10">
        <f t="shared" si="5"/>
        <v>52.5</v>
      </c>
      <c r="F10" s="20">
        <f>'Baseline and counterfactual'!$L$8</f>
        <v>2112</v>
      </c>
      <c r="G10" s="22">
        <f>'Baseline and counterfactual'!$L$5</f>
        <v>2053.978159126365</v>
      </c>
      <c r="H10" s="14">
        <f>'Baseline and counterfactual'!$L$9/100</f>
        <v>0.54600000000000004</v>
      </c>
      <c r="I10" s="20">
        <f>'Baseline and counterfactual'!$L$6</f>
        <v>65</v>
      </c>
      <c r="J10">
        <f t="shared" si="0"/>
        <v>12.5</v>
      </c>
      <c r="K10">
        <f t="shared" si="2"/>
        <v>4340.6244591362756</v>
      </c>
      <c r="L10" s="15">
        <f t="shared" si="3"/>
        <v>110008786.29234977</v>
      </c>
      <c r="M10" s="15">
        <f>'Baseline and counterfactual'!$L$4</f>
        <v>3.2050000000000001</v>
      </c>
      <c r="N10" s="15">
        <f t="shared" si="4"/>
        <v>34324114.287784636</v>
      </c>
      <c r="O10" s="75">
        <f t="shared" si="1"/>
        <v>5.3558888055139141E-5</v>
      </c>
    </row>
    <row r="11" spans="1:15" x14ac:dyDescent="0.35">
      <c r="A11" s="1" t="s">
        <v>35</v>
      </c>
      <c r="B11" s="17">
        <f>Results!B13</f>
        <v>554.40179343220416</v>
      </c>
      <c r="C11" s="17">
        <f>Results!C13</f>
        <v>142.59675685055089</v>
      </c>
      <c r="D11" s="17">
        <f>Results!D13</f>
        <v>696.9985502827551</v>
      </c>
      <c r="E11">
        <f t="shared" si="5"/>
        <v>57.5</v>
      </c>
      <c r="F11" s="20">
        <f>'Baseline and counterfactual'!$L$8</f>
        <v>2112</v>
      </c>
      <c r="G11" s="22">
        <f>'Baseline and counterfactual'!$L$5</f>
        <v>2053.978159126365</v>
      </c>
      <c r="H11" s="14">
        <f>'Baseline and counterfactual'!$L$9/100</f>
        <v>0.54600000000000004</v>
      </c>
      <c r="I11" s="20">
        <f>'Baseline and counterfactual'!$L$6</f>
        <v>65</v>
      </c>
      <c r="J11">
        <f t="shared" si="0"/>
        <v>7.5</v>
      </c>
      <c r="K11">
        <f t="shared" si="2"/>
        <v>2854.2090634078822</v>
      </c>
      <c r="L11" s="15">
        <f t="shared" si="3"/>
        <v>72337074.503009379</v>
      </c>
      <c r="M11" s="15">
        <f>'Baseline and counterfactual'!$L$4</f>
        <v>3.2050000000000001</v>
      </c>
      <c r="N11" s="15">
        <f t="shared" si="4"/>
        <v>22570070.047740836</v>
      </c>
      <c r="O11" s="75">
        <f t="shared" si="1"/>
        <v>3.5218034905384336E-5</v>
      </c>
    </row>
    <row r="12" spans="1:15" x14ac:dyDescent="0.35">
      <c r="A12" s="1" t="s">
        <v>36</v>
      </c>
      <c r="B12" s="17">
        <f>Results!B14</f>
        <v>660.00282650587565</v>
      </c>
      <c r="C12" s="17">
        <f>Results!C14</f>
        <v>197.10202543466252</v>
      </c>
      <c r="D12" s="17">
        <f>Results!D14</f>
        <v>857.1048519405382</v>
      </c>
      <c r="E12">
        <f t="shared" si="5"/>
        <v>62.5</v>
      </c>
      <c r="F12" s="20">
        <f>'Baseline and counterfactual'!$L$8</f>
        <v>2112</v>
      </c>
      <c r="G12" s="22">
        <f>'Baseline and counterfactual'!$L$5</f>
        <v>2053.978159126365</v>
      </c>
      <c r="H12" s="14">
        <f>'Baseline and counterfactual'!$L$9/100</f>
        <v>0.54600000000000004</v>
      </c>
      <c r="I12" s="20">
        <f>'Baseline and counterfactual'!$L$6</f>
        <v>65</v>
      </c>
      <c r="J12">
        <f t="shared" si="0"/>
        <v>2.5</v>
      </c>
      <c r="K12">
        <f t="shared" si="2"/>
        <v>1169.9481228988348</v>
      </c>
      <c r="L12" s="15">
        <f t="shared" si="3"/>
        <v>29651165.226748068</v>
      </c>
      <c r="M12" s="15">
        <f>'Baseline and counterfactual'!$L$4</f>
        <v>3.2050000000000001</v>
      </c>
      <c r="N12" s="15">
        <f t="shared" si="4"/>
        <v>9251533.6120898798</v>
      </c>
      <c r="O12" s="75">
        <f t="shared" si="1"/>
        <v>1.4435969094900129E-5</v>
      </c>
    </row>
    <row r="13" spans="1:15" x14ac:dyDescent="0.35">
      <c r="A13" s="1" t="s">
        <v>37</v>
      </c>
      <c r="B13" s="17">
        <f>Results!B15</f>
        <v>592.32394146001047</v>
      </c>
      <c r="C13" s="17">
        <f>Results!C15</f>
        <v>198.07808065646108</v>
      </c>
      <c r="D13" s="17">
        <f>Results!D15</f>
        <v>790.40202211647158</v>
      </c>
      <c r="E13">
        <f t="shared" si="5"/>
        <v>67.5</v>
      </c>
      <c r="F13" s="20">
        <f>'Baseline and counterfactual'!$L$8</f>
        <v>2112</v>
      </c>
      <c r="G13" s="22">
        <f>'Baseline and counterfactual'!$L$5</f>
        <v>2053.978159126365</v>
      </c>
      <c r="H13" s="14">
        <f>'Baseline and counterfactual'!$L$9/100</f>
        <v>0.54600000000000004</v>
      </c>
      <c r="I13" s="20">
        <f>'Baseline and counterfactual'!$L$6</f>
        <v>65</v>
      </c>
      <c r="K13">
        <f t="shared" si="2"/>
        <v>0</v>
      </c>
      <c r="L13" s="15">
        <f t="shared" si="3"/>
        <v>0</v>
      </c>
      <c r="M13" s="15">
        <f>'Baseline and counterfactual'!$L$4</f>
        <v>3.2050000000000001</v>
      </c>
      <c r="N13" s="15">
        <f t="shared" si="4"/>
        <v>0</v>
      </c>
      <c r="O13" s="75">
        <f t="shared" si="1"/>
        <v>0</v>
      </c>
    </row>
    <row r="14" spans="1:15" x14ac:dyDescent="0.35">
      <c r="A14" s="1" t="s">
        <v>38</v>
      </c>
      <c r="B14" s="17">
        <f>Results!B16</f>
        <v>562.33374732766731</v>
      </c>
      <c r="C14" s="17">
        <f>Results!C16</f>
        <v>225.5912296776583</v>
      </c>
      <c r="D14" s="17">
        <f>Results!D16</f>
        <v>787.92497700532567</v>
      </c>
      <c r="E14">
        <f t="shared" si="5"/>
        <v>72.5</v>
      </c>
      <c r="F14" s="20">
        <f>'Baseline and counterfactual'!$L$8</f>
        <v>2112</v>
      </c>
      <c r="G14" s="22">
        <f>'Baseline and counterfactual'!$L$5</f>
        <v>2053.978159126365</v>
      </c>
      <c r="H14" s="14">
        <f>'Baseline and counterfactual'!$L$9/100</f>
        <v>0.54600000000000004</v>
      </c>
      <c r="I14" s="20">
        <f>'Baseline and counterfactual'!$L$6</f>
        <v>65</v>
      </c>
      <c r="K14">
        <f t="shared" si="2"/>
        <v>0</v>
      </c>
      <c r="L14" s="15">
        <f t="shared" si="3"/>
        <v>0</v>
      </c>
      <c r="M14" s="15">
        <f>'Baseline and counterfactual'!$L$4</f>
        <v>3.2050000000000001</v>
      </c>
      <c r="N14" s="15">
        <f t="shared" si="4"/>
        <v>0</v>
      </c>
      <c r="O14" s="75">
        <f t="shared" si="1"/>
        <v>0</v>
      </c>
    </row>
    <row r="15" spans="1:15" x14ac:dyDescent="0.35">
      <c r="A15" s="1" t="s">
        <v>39</v>
      </c>
      <c r="B15" s="17">
        <f>Results!B17</f>
        <v>398.77969329307575</v>
      </c>
      <c r="C15" s="17">
        <f>Results!C17</f>
        <v>189.92234066032441</v>
      </c>
      <c r="D15" s="17">
        <f>Results!D17</f>
        <v>588.70203395340013</v>
      </c>
      <c r="E15">
        <f t="shared" si="5"/>
        <v>77.5</v>
      </c>
      <c r="F15" s="20">
        <f>'Baseline and counterfactual'!$L$8</f>
        <v>2112</v>
      </c>
      <c r="G15" s="22">
        <f>'Baseline and counterfactual'!$L$5</f>
        <v>2053.978159126365</v>
      </c>
      <c r="H15" s="14">
        <f>'Baseline and counterfactual'!$L$9/100</f>
        <v>0.54600000000000004</v>
      </c>
      <c r="I15" s="20">
        <f>'Baseline and counterfactual'!$L$6</f>
        <v>65</v>
      </c>
      <c r="K15">
        <f t="shared" si="2"/>
        <v>0</v>
      </c>
      <c r="L15" s="15">
        <f t="shared" si="3"/>
        <v>0</v>
      </c>
      <c r="M15" s="15">
        <f>'Baseline and counterfactual'!$L$4</f>
        <v>3.2050000000000001</v>
      </c>
      <c r="N15" s="15">
        <f t="shared" si="4"/>
        <v>0</v>
      </c>
      <c r="O15" s="75">
        <f t="shared" si="1"/>
        <v>0</v>
      </c>
    </row>
    <row r="16" spans="1:15" x14ac:dyDescent="0.35">
      <c r="A16" s="1" t="s">
        <v>40</v>
      </c>
      <c r="B16" s="17">
        <f>Results!B18</f>
        <v>687.05954684266533</v>
      </c>
      <c r="C16" s="17">
        <f>Results!C18</f>
        <v>393.54431889307568</v>
      </c>
      <c r="D16" s="17">
        <f>Results!D18</f>
        <v>1080.603865735741</v>
      </c>
      <c r="E16" s="22">
        <v>85</v>
      </c>
      <c r="F16" s="20">
        <f>'Baseline and counterfactual'!$L$8</f>
        <v>2112</v>
      </c>
      <c r="G16" s="22">
        <f>'Baseline and counterfactual'!$L$5</f>
        <v>2053.978159126365</v>
      </c>
      <c r="H16" s="14">
        <f>'Baseline and counterfactual'!$L$9/100</f>
        <v>0.54600000000000004</v>
      </c>
      <c r="I16" s="20">
        <f>'Baseline and counterfactual'!$L$6</f>
        <v>65</v>
      </c>
      <c r="K16">
        <f t="shared" si="2"/>
        <v>0</v>
      </c>
      <c r="L16" s="15">
        <f t="shared" si="3"/>
        <v>0</v>
      </c>
      <c r="M16" s="15">
        <f>'Baseline and counterfactual'!$L$4</f>
        <v>3.2050000000000001</v>
      </c>
      <c r="N16" s="15">
        <f t="shared" si="4"/>
        <v>0</v>
      </c>
      <c r="O16" s="75">
        <f t="shared" si="1"/>
        <v>0</v>
      </c>
    </row>
    <row r="17" spans="1:15" x14ac:dyDescent="0.35">
      <c r="A17" s="1" t="s">
        <v>22</v>
      </c>
      <c r="B17" s="23">
        <f t="shared" ref="B17" si="6">SUM(B3:B16)</f>
        <v>4734.4129409177349</v>
      </c>
      <c r="C17" s="23">
        <f t="shared" ref="C17" si="7">SUM(C3:C16)</f>
        <v>1688.0310290199282</v>
      </c>
      <c r="D17" s="23">
        <f>SUM(D3:D16)</f>
        <v>6422.4439699376626</v>
      </c>
      <c r="E17" s="20"/>
      <c r="G17" s="22">
        <f>'Baseline and counterfactual'!$L$5</f>
        <v>2053.978159126365</v>
      </c>
      <c r="K17" s="21">
        <f>SUM(K3:K16)</f>
        <v>20763.575971113682</v>
      </c>
      <c r="L17" s="21">
        <f>SUM(L3:L16)</f>
        <v>526232069.41190517</v>
      </c>
      <c r="M17" s="15">
        <f>'Baseline and counterfactual'!$L$4</f>
        <v>3.2050000000000001</v>
      </c>
      <c r="N17" s="15">
        <f t="shared" si="4"/>
        <v>164190973.29544622</v>
      </c>
      <c r="O17" s="75">
        <f>SUM(O3:O16)</f>
        <v>2.5620139487546046E-4</v>
      </c>
    </row>
    <row r="18" spans="1:15" x14ac:dyDescent="0.35">
      <c r="B18" s="19"/>
      <c r="C18" s="19"/>
      <c r="D18" s="22"/>
      <c r="E18" s="20"/>
      <c r="L18" s="15"/>
      <c r="M18" s="15"/>
      <c r="N18" s="15"/>
      <c r="O18" s="75"/>
    </row>
    <row r="19" spans="1:15" x14ac:dyDescent="0.35">
      <c r="A19" s="1" t="s">
        <v>42</v>
      </c>
      <c r="B19" s="19"/>
      <c r="C19" s="19"/>
      <c r="D19" s="22"/>
      <c r="E19" s="20"/>
      <c r="L19" s="15"/>
      <c r="M19" s="15"/>
      <c r="N19" s="15"/>
      <c r="O19" s="75"/>
    </row>
    <row r="20" spans="1:15" x14ac:dyDescent="0.35">
      <c r="A20" s="1" t="s">
        <v>27</v>
      </c>
      <c r="B20" s="17">
        <f>Results!B20</f>
        <v>-1.5913960720906715E-10</v>
      </c>
      <c r="C20" s="17">
        <f>Results!C20</f>
        <v>0</v>
      </c>
      <c r="D20" s="22">
        <f>Results!D20</f>
        <v>-1.5913960720906715E-10</v>
      </c>
      <c r="E20" s="20">
        <v>17.5</v>
      </c>
      <c r="F20" s="20">
        <f>'Baseline and counterfactual'!$L$8</f>
        <v>2112</v>
      </c>
      <c r="G20" s="20">
        <f>'Baseline and counterfactual'!$L$5</f>
        <v>2053.978159126365</v>
      </c>
      <c r="H20" s="14">
        <f>'Baseline and counterfactual'!$L$9/100</f>
        <v>0.54600000000000004</v>
      </c>
      <c r="I20" s="20">
        <f>'Baseline and counterfactual'!$L$7</f>
        <v>60</v>
      </c>
      <c r="J20">
        <f t="shared" ref="J20:J28" si="8">I20-E20</f>
        <v>42.5</v>
      </c>
      <c r="K20">
        <f>D20*J20*H20</f>
        <v>-3.6928345852864034E-9</v>
      </c>
      <c r="L20" s="15">
        <f>K20*12*F20</f>
        <v>-9.3591199729498611E-5</v>
      </c>
      <c r="M20" s="15">
        <f>'Baseline and counterfactual'!$L$4</f>
        <v>3.2050000000000001</v>
      </c>
      <c r="N20" s="15">
        <f>L20/M20</f>
        <v>-2.9201622380498786E-5</v>
      </c>
      <c r="O20" s="75">
        <f t="shared" ref="O20:O33" si="9">M20*N20/(G20*1000000000)</f>
        <v>-4.556582031490856E-17</v>
      </c>
    </row>
    <row r="21" spans="1:15" x14ac:dyDescent="0.35">
      <c r="A21" s="1" t="s">
        <v>28</v>
      </c>
      <c r="B21" s="17">
        <f>Results!B21</f>
        <v>-2.85319888550028E-10</v>
      </c>
      <c r="C21" s="17">
        <f>Results!C21</f>
        <v>0</v>
      </c>
      <c r="D21" s="22">
        <f>Results!D21</f>
        <v>-2.85319888550028E-10</v>
      </c>
      <c r="E21" s="20">
        <v>22.5</v>
      </c>
      <c r="F21" s="20">
        <f>'Baseline and counterfactual'!$L$8</f>
        <v>2112</v>
      </c>
      <c r="G21" s="20">
        <f>'Baseline and counterfactual'!$L$5</f>
        <v>2053.978159126365</v>
      </c>
      <c r="H21" s="14">
        <f>'Baseline and counterfactual'!$L$9/100</f>
        <v>0.54600000000000004</v>
      </c>
      <c r="I21" s="20">
        <f>'Baseline and counterfactual'!$L$7</f>
        <v>60</v>
      </c>
      <c r="J21">
        <f t="shared" si="8"/>
        <v>37.5</v>
      </c>
      <c r="K21">
        <f t="shared" ref="K21:K33" si="10">D21*J21*H21</f>
        <v>-5.8419247180618231E-9</v>
      </c>
      <c r="L21" s="15">
        <f t="shared" ref="L21:L33" si="11">K21*12*F21</f>
        <v>-1.4805774005455884E-4</v>
      </c>
      <c r="M21" s="15">
        <f>'Baseline and counterfactual'!$L$4</f>
        <v>3.2050000000000001</v>
      </c>
      <c r="N21" s="15">
        <f t="shared" ref="N21:N33" si="12">L21/M21</f>
        <v>-4.6195862731531615E-5</v>
      </c>
      <c r="O21" s="75">
        <f t="shared" si="9"/>
        <v>-7.2083405267334208E-17</v>
      </c>
    </row>
    <row r="22" spans="1:15" x14ac:dyDescent="0.35">
      <c r="A22" s="1" t="s">
        <v>29</v>
      </c>
      <c r="B22" s="17">
        <f>Results!B22</f>
        <v>10.282031975879118</v>
      </c>
      <c r="C22" s="17">
        <f>Results!C22</f>
        <v>9.8099729538827045</v>
      </c>
      <c r="D22" s="22">
        <f>Results!D22</f>
        <v>20.092004929761821</v>
      </c>
      <c r="E22" s="20">
        <v>27.5</v>
      </c>
      <c r="F22" s="20">
        <f>'Baseline and counterfactual'!$L$8</f>
        <v>2112</v>
      </c>
      <c r="G22" s="20">
        <f>'Baseline and counterfactual'!$L$5</f>
        <v>2053.978159126365</v>
      </c>
      <c r="H22" s="14">
        <f>'Baseline and counterfactual'!$L$9/100</f>
        <v>0.54600000000000004</v>
      </c>
      <c r="I22" s="20">
        <f>'Baseline and counterfactual'!$L$7</f>
        <v>60</v>
      </c>
      <c r="J22">
        <f t="shared" si="8"/>
        <v>32.5</v>
      </c>
      <c r="K22">
        <f t="shared" si="10"/>
        <v>356.53262747862351</v>
      </c>
      <c r="L22" s="15">
        <f t="shared" si="11"/>
        <v>9035962.9108182341</v>
      </c>
      <c r="M22" s="15">
        <f>'Baseline and counterfactual'!$L$4</f>
        <v>3.2050000000000001</v>
      </c>
      <c r="N22" s="15">
        <f t="shared" si="12"/>
        <v>2819333.201503349</v>
      </c>
      <c r="O22" s="75">
        <f t="shared" si="9"/>
        <v>4.3992497537858786E-6</v>
      </c>
    </row>
    <row r="23" spans="1:15" x14ac:dyDescent="0.35">
      <c r="A23" s="1" t="s">
        <v>30</v>
      </c>
      <c r="B23" s="17">
        <f>Results!B23</f>
        <v>25.842098601024656</v>
      </c>
      <c r="C23" s="17">
        <f>Results!C23</f>
        <v>21.364025991282997</v>
      </c>
      <c r="D23" s="22">
        <f>Results!D23</f>
        <v>47.206124592307653</v>
      </c>
      <c r="E23" s="20">
        <f>E22+5</f>
        <v>32.5</v>
      </c>
      <c r="F23" s="20">
        <f>'Baseline and counterfactual'!$L$8</f>
        <v>2112</v>
      </c>
      <c r="G23" s="20">
        <f>'Baseline and counterfactual'!$L$5</f>
        <v>2053.978159126365</v>
      </c>
      <c r="H23" s="14">
        <f>'Baseline and counterfactual'!$L$9/100</f>
        <v>0.54600000000000004</v>
      </c>
      <c r="I23" s="20">
        <f>'Baseline and counterfactual'!$L$7</f>
        <v>60</v>
      </c>
      <c r="J23">
        <f t="shared" si="8"/>
        <v>27.5</v>
      </c>
      <c r="K23">
        <f t="shared" si="10"/>
        <v>708.79996075349948</v>
      </c>
      <c r="L23" s="15">
        <f t="shared" si="11"/>
        <v>17963826.20533669</v>
      </c>
      <c r="M23" s="15">
        <f>'Baseline and counterfactual'!$L$4</f>
        <v>3.2050000000000001</v>
      </c>
      <c r="N23" s="15">
        <f t="shared" si="12"/>
        <v>5604937.9735839907</v>
      </c>
      <c r="O23" s="75">
        <f t="shared" si="9"/>
        <v>8.745870118199011E-6</v>
      </c>
    </row>
    <row r="24" spans="1:15" x14ac:dyDescent="0.35">
      <c r="A24" s="1" t="s">
        <v>31</v>
      </c>
      <c r="B24" s="17">
        <f>Results!B24</f>
        <v>55.246443430820086</v>
      </c>
      <c r="C24" s="17">
        <f>Results!C24</f>
        <v>36.050818062428007</v>
      </c>
      <c r="D24" s="22">
        <f>Results!D24</f>
        <v>91.297261493248101</v>
      </c>
      <c r="E24" s="20">
        <f t="shared" ref="E24:E32" si="13">E23+5</f>
        <v>37.5</v>
      </c>
      <c r="F24" s="20">
        <f>'Baseline and counterfactual'!$L$8</f>
        <v>2112</v>
      </c>
      <c r="G24" s="20">
        <f>'Baseline and counterfactual'!$L$5</f>
        <v>2053.978159126365</v>
      </c>
      <c r="H24" s="14">
        <f>'Baseline and counterfactual'!$L$9/100</f>
        <v>0.54600000000000004</v>
      </c>
      <c r="I24" s="20">
        <f>'Baseline and counterfactual'!$L$7</f>
        <v>60</v>
      </c>
      <c r="J24">
        <f t="shared" si="8"/>
        <v>22.5</v>
      </c>
      <c r="K24">
        <f t="shared" si="10"/>
        <v>1121.5868574445528</v>
      </c>
      <c r="L24" s="15">
        <f t="shared" si="11"/>
        <v>28425497.315074746</v>
      </c>
      <c r="M24" s="15">
        <f>'Baseline and counterfactual'!$L$4</f>
        <v>3.2050000000000001</v>
      </c>
      <c r="N24" s="15">
        <f t="shared" si="12"/>
        <v>8869109.926700389</v>
      </c>
      <c r="O24" s="75">
        <f t="shared" si="9"/>
        <v>1.3839240299987022E-5</v>
      </c>
    </row>
    <row r="25" spans="1:15" x14ac:dyDescent="0.35">
      <c r="A25" s="1" t="s">
        <v>32</v>
      </c>
      <c r="B25" s="17">
        <f>Results!B25</f>
        <v>101.67472094582919</v>
      </c>
      <c r="C25" s="17">
        <f>Results!C25</f>
        <v>55.952156719186206</v>
      </c>
      <c r="D25" s="22">
        <f>Results!D25</f>
        <v>157.6268776650154</v>
      </c>
      <c r="E25" s="20">
        <f t="shared" si="13"/>
        <v>42.5</v>
      </c>
      <c r="F25" s="20">
        <f>'Baseline and counterfactual'!$L$8</f>
        <v>2112</v>
      </c>
      <c r="G25" s="20">
        <f>'Baseline and counterfactual'!$L$5</f>
        <v>2053.978159126365</v>
      </c>
      <c r="H25" s="14">
        <f>'Baseline and counterfactual'!$L$9/100</f>
        <v>0.54600000000000004</v>
      </c>
      <c r="I25" s="20">
        <f>'Baseline and counterfactual'!$L$7</f>
        <v>60</v>
      </c>
      <c r="J25">
        <f t="shared" si="8"/>
        <v>17.5</v>
      </c>
      <c r="K25">
        <f t="shared" si="10"/>
        <v>1506.1248160892221</v>
      </c>
      <c r="L25" s="15">
        <f t="shared" si="11"/>
        <v>38171227.338965245</v>
      </c>
      <c r="M25" s="15">
        <f>'Baseline and counterfactual'!$L$4</f>
        <v>3.2050000000000001</v>
      </c>
      <c r="N25" s="15">
        <f t="shared" si="12"/>
        <v>11909899.325730186</v>
      </c>
      <c r="O25" s="75">
        <f t="shared" si="9"/>
        <v>1.8584047337290538E-5</v>
      </c>
    </row>
    <row r="26" spans="1:15" x14ac:dyDescent="0.35">
      <c r="A26" s="1" t="s">
        <v>33</v>
      </c>
      <c r="B26" s="17">
        <f>Results!B26</f>
        <v>139.83528552620712</v>
      </c>
      <c r="C26" s="17">
        <f>Results!C26</f>
        <v>78.548430911396807</v>
      </c>
      <c r="D26" s="22">
        <f>Results!D26</f>
        <v>218.38371643760394</v>
      </c>
      <c r="E26" s="20">
        <f t="shared" si="13"/>
        <v>47.5</v>
      </c>
      <c r="F26" s="20">
        <f>'Baseline and counterfactual'!$L$8</f>
        <v>2112</v>
      </c>
      <c r="G26" s="20">
        <f>'Baseline and counterfactual'!$L$5</f>
        <v>2053.978159126365</v>
      </c>
      <c r="H26" s="14">
        <f>'Baseline and counterfactual'!$L$9/100</f>
        <v>0.54600000000000004</v>
      </c>
      <c r="I26" s="20">
        <f>'Baseline and counterfactual'!$L$7</f>
        <v>60</v>
      </c>
      <c r="J26">
        <f t="shared" si="8"/>
        <v>12.5</v>
      </c>
      <c r="K26">
        <f t="shared" si="10"/>
        <v>1490.4688646866471</v>
      </c>
      <c r="L26" s="15">
        <f t="shared" si="11"/>
        <v>37774442.906618387</v>
      </c>
      <c r="M26" s="15">
        <f>'Baseline and counterfactual'!$L$4</f>
        <v>3.2050000000000001</v>
      </c>
      <c r="N26" s="15">
        <f t="shared" si="12"/>
        <v>11786097.630770167</v>
      </c>
      <c r="O26" s="75">
        <f t="shared" si="9"/>
        <v>1.8390868831188203E-5</v>
      </c>
    </row>
    <row r="27" spans="1:15" x14ac:dyDescent="0.35">
      <c r="A27" s="1" t="s">
        <v>34</v>
      </c>
      <c r="B27" s="17">
        <f>Results!B27</f>
        <v>216.81776892907766</v>
      </c>
      <c r="C27" s="17">
        <f>Results!C27</f>
        <v>106.28464837989301</v>
      </c>
      <c r="D27" s="22">
        <f>Results!D27</f>
        <v>323.10241730897064</v>
      </c>
      <c r="E27" s="20">
        <f t="shared" si="13"/>
        <v>52.5</v>
      </c>
      <c r="F27" s="20">
        <f>'Baseline and counterfactual'!$L$8</f>
        <v>2112</v>
      </c>
      <c r="G27" s="20">
        <f>'Baseline and counterfactual'!$L$5</f>
        <v>2053.978159126365</v>
      </c>
      <c r="H27" s="14">
        <f>'Baseline and counterfactual'!$L$9/100</f>
        <v>0.54600000000000004</v>
      </c>
      <c r="I27" s="20">
        <f>'Baseline and counterfactual'!$L$7</f>
        <v>60</v>
      </c>
      <c r="J27">
        <f t="shared" si="8"/>
        <v>7.5</v>
      </c>
      <c r="K27">
        <f t="shared" si="10"/>
        <v>1323.1043988802348</v>
      </c>
      <c r="L27" s="15">
        <f t="shared" si="11"/>
        <v>33532757.885220673</v>
      </c>
      <c r="M27" s="15">
        <f>'Baseline and counterfactual'!$L$4</f>
        <v>3.2050000000000001</v>
      </c>
      <c r="N27" s="15">
        <f t="shared" si="12"/>
        <v>10462638.965747479</v>
      </c>
      <c r="O27" s="75">
        <f t="shared" si="9"/>
        <v>1.6325761662180199E-5</v>
      </c>
    </row>
    <row r="28" spans="1:15" x14ac:dyDescent="0.35">
      <c r="A28" s="1" t="s">
        <v>35</v>
      </c>
      <c r="B28" s="17">
        <f>Results!B28</f>
        <v>259.30078451221755</v>
      </c>
      <c r="C28" s="17">
        <f>Results!C28</f>
        <v>108.55274733726034</v>
      </c>
      <c r="D28" s="22">
        <f>Results!D28</f>
        <v>367.85353184947792</v>
      </c>
      <c r="E28" s="20">
        <f t="shared" si="13"/>
        <v>57.5</v>
      </c>
      <c r="F28" s="20">
        <f>'Baseline and counterfactual'!$L$8</f>
        <v>2112</v>
      </c>
      <c r="G28" s="20">
        <f>'Baseline and counterfactual'!$L$5</f>
        <v>2053.978159126365</v>
      </c>
      <c r="H28" s="14">
        <f>'Baseline and counterfactual'!$L$9/100</f>
        <v>0.54600000000000004</v>
      </c>
      <c r="I28" s="20">
        <f>'Baseline and counterfactual'!$L$7</f>
        <v>60</v>
      </c>
      <c r="J28">
        <f t="shared" si="8"/>
        <v>2.5</v>
      </c>
      <c r="K28">
        <f t="shared" si="10"/>
        <v>502.12007097453738</v>
      </c>
      <c r="L28" s="15">
        <f t="shared" si="11"/>
        <v>12725731.078778675</v>
      </c>
      <c r="M28" s="15">
        <f>'Baseline and counterfactual'!$L$4</f>
        <v>3.2050000000000001</v>
      </c>
      <c r="N28" s="15">
        <f t="shared" si="12"/>
        <v>3970586.9200557489</v>
      </c>
      <c r="O28" s="75">
        <f t="shared" si="9"/>
        <v>6.195650631548785E-6</v>
      </c>
    </row>
    <row r="29" spans="1:15" x14ac:dyDescent="0.35">
      <c r="A29" s="1" t="s">
        <v>36</v>
      </c>
      <c r="B29" s="17">
        <f>Results!B29</f>
        <v>341.82507901982751</v>
      </c>
      <c r="C29" s="17">
        <f>Results!C29</f>
        <v>139.72617883365146</v>
      </c>
      <c r="D29" s="22">
        <f>Results!D29</f>
        <v>481.551257853479</v>
      </c>
      <c r="E29" s="20">
        <f t="shared" si="13"/>
        <v>62.5</v>
      </c>
      <c r="F29" s="20">
        <f>'Baseline and counterfactual'!$L$8</f>
        <v>2112</v>
      </c>
      <c r="G29" s="20">
        <f>'Baseline and counterfactual'!$L$5</f>
        <v>2053.978159126365</v>
      </c>
      <c r="H29" s="14">
        <f>'Baseline and counterfactual'!$L$9/100</f>
        <v>0.54600000000000004</v>
      </c>
      <c r="I29" s="20">
        <f>'Baseline and counterfactual'!$L$7</f>
        <v>60</v>
      </c>
      <c r="K29">
        <f t="shared" si="10"/>
        <v>0</v>
      </c>
      <c r="L29" s="15">
        <f t="shared" si="11"/>
        <v>0</v>
      </c>
      <c r="M29" s="15">
        <f>'Baseline and counterfactual'!$L$4</f>
        <v>3.2050000000000001</v>
      </c>
      <c r="N29" s="15">
        <f t="shared" si="12"/>
        <v>0</v>
      </c>
      <c r="O29" s="75">
        <f t="shared" si="9"/>
        <v>0</v>
      </c>
    </row>
    <row r="30" spans="1:15" x14ac:dyDescent="0.35">
      <c r="A30" s="1" t="s">
        <v>37</v>
      </c>
      <c r="B30" s="17">
        <f>Results!B30</f>
        <v>342.1140721581956</v>
      </c>
      <c r="C30" s="17">
        <f>Results!C30</f>
        <v>145.79870118964772</v>
      </c>
      <c r="D30" s="22">
        <f>Results!D30</f>
        <v>487.91277334784331</v>
      </c>
      <c r="E30" s="20">
        <f t="shared" si="13"/>
        <v>67.5</v>
      </c>
      <c r="F30" s="20">
        <f>'Baseline and counterfactual'!$L$8</f>
        <v>2112</v>
      </c>
      <c r="G30" s="20">
        <f>'Baseline and counterfactual'!$L$5</f>
        <v>2053.978159126365</v>
      </c>
      <c r="H30" s="14">
        <f>'Baseline and counterfactual'!$L$9/100</f>
        <v>0.54600000000000004</v>
      </c>
      <c r="I30" s="20">
        <f>'Baseline and counterfactual'!$L$7</f>
        <v>60</v>
      </c>
      <c r="K30">
        <f t="shared" si="10"/>
        <v>0</v>
      </c>
      <c r="L30" s="15">
        <f t="shared" si="11"/>
        <v>0</v>
      </c>
      <c r="M30" s="15">
        <f>'Baseline and counterfactual'!$L$4</f>
        <v>3.2050000000000001</v>
      </c>
      <c r="N30" s="15">
        <f t="shared" si="12"/>
        <v>0</v>
      </c>
      <c r="O30" s="75">
        <f t="shared" si="9"/>
        <v>0</v>
      </c>
    </row>
    <row r="31" spans="1:15" x14ac:dyDescent="0.35">
      <c r="A31" s="1" t="s">
        <v>38</v>
      </c>
      <c r="B31" s="17">
        <f>Results!B31</f>
        <v>387.76629038604801</v>
      </c>
      <c r="C31" s="17">
        <f>Results!C31</f>
        <v>183.61342098215542</v>
      </c>
      <c r="D31" s="22">
        <f>Results!D31</f>
        <v>571.3797113682034</v>
      </c>
      <c r="E31" s="20">
        <f t="shared" si="13"/>
        <v>72.5</v>
      </c>
      <c r="F31" s="20">
        <f>'Baseline and counterfactual'!$L$8</f>
        <v>2112</v>
      </c>
      <c r="G31" s="20">
        <f>'Baseline and counterfactual'!$L$5</f>
        <v>2053.978159126365</v>
      </c>
      <c r="H31" s="14">
        <f>'Baseline and counterfactual'!$L$9/100</f>
        <v>0.54600000000000004</v>
      </c>
      <c r="I31" s="20">
        <f>'Baseline and counterfactual'!$L$7</f>
        <v>60</v>
      </c>
      <c r="K31">
        <f t="shared" si="10"/>
        <v>0</v>
      </c>
      <c r="L31" s="15">
        <f t="shared" si="11"/>
        <v>0</v>
      </c>
      <c r="M31" s="15">
        <f>'Baseline and counterfactual'!$L$4</f>
        <v>3.2050000000000001</v>
      </c>
      <c r="N31" s="15">
        <f t="shared" si="12"/>
        <v>0</v>
      </c>
      <c r="O31" s="75">
        <f t="shared" si="9"/>
        <v>0</v>
      </c>
    </row>
    <row r="32" spans="1:15" x14ac:dyDescent="0.35">
      <c r="A32" s="1" t="s">
        <v>39</v>
      </c>
      <c r="B32" s="17">
        <f>Results!B32</f>
        <v>330.94053529553651</v>
      </c>
      <c r="C32" s="17">
        <f>Results!C32</f>
        <v>179.16166295777344</v>
      </c>
      <c r="D32" s="22">
        <f>Results!D32</f>
        <v>510.10219825330995</v>
      </c>
      <c r="E32" s="20">
        <f t="shared" si="13"/>
        <v>77.5</v>
      </c>
      <c r="F32" s="20">
        <f>'Baseline and counterfactual'!$L$8</f>
        <v>2112</v>
      </c>
      <c r="G32" s="20">
        <f>'Baseline and counterfactual'!$L$5</f>
        <v>2053.978159126365</v>
      </c>
      <c r="H32" s="14">
        <f>'Baseline and counterfactual'!$L$9/100</f>
        <v>0.54600000000000004</v>
      </c>
      <c r="I32" s="20">
        <f>'Baseline and counterfactual'!$L$7</f>
        <v>60</v>
      </c>
      <c r="K32">
        <f t="shared" si="10"/>
        <v>0</v>
      </c>
      <c r="L32" s="15">
        <f t="shared" si="11"/>
        <v>0</v>
      </c>
      <c r="M32" s="15">
        <f>'Baseline and counterfactual'!$L$4</f>
        <v>3.2050000000000001</v>
      </c>
      <c r="N32" s="15">
        <f t="shared" si="12"/>
        <v>0</v>
      </c>
      <c r="O32" s="75">
        <f t="shared" si="9"/>
        <v>0</v>
      </c>
    </row>
    <row r="33" spans="1:15" x14ac:dyDescent="0.35">
      <c r="A33" s="1" t="s">
        <v>40</v>
      </c>
      <c r="B33" s="17">
        <f>Results!B33</f>
        <v>857.6301774194992</v>
      </c>
      <c r="C33" s="17">
        <f>Results!C33</f>
        <v>547.16637847201184</v>
      </c>
      <c r="D33" s="22">
        <f>Results!D33</f>
        <v>1404.7965558915112</v>
      </c>
      <c r="E33" s="22">
        <v>85</v>
      </c>
      <c r="F33" s="20">
        <f>'Baseline and counterfactual'!$L$8</f>
        <v>2112</v>
      </c>
      <c r="G33" s="20">
        <f>'Baseline and counterfactual'!$L$5</f>
        <v>2053.978159126365</v>
      </c>
      <c r="H33" s="14">
        <f>'Baseline and counterfactual'!$L$9/100</f>
        <v>0.54600000000000004</v>
      </c>
      <c r="I33" s="20">
        <f>'Baseline and counterfactual'!$L$7</f>
        <v>60</v>
      </c>
      <c r="K33">
        <f t="shared" si="10"/>
        <v>0</v>
      </c>
      <c r="L33" s="15">
        <f t="shared" si="11"/>
        <v>0</v>
      </c>
      <c r="M33" s="15">
        <f>'Baseline and counterfactual'!$L$4</f>
        <v>3.2050000000000001</v>
      </c>
      <c r="N33" s="15">
        <f t="shared" si="12"/>
        <v>0</v>
      </c>
      <c r="O33" s="75">
        <f t="shared" si="9"/>
        <v>0</v>
      </c>
    </row>
    <row r="34" spans="1:15" x14ac:dyDescent="0.35">
      <c r="A34" s="1" t="s">
        <v>22</v>
      </c>
      <c r="B34" s="23">
        <f t="shared" ref="B34:C34" si="14">SUM(B20:B33)</f>
        <v>3069.2752881997176</v>
      </c>
      <c r="C34" s="23">
        <f t="shared" si="14"/>
        <v>1612.0291427905699</v>
      </c>
      <c r="D34" s="23">
        <f>SUM(D20:D33)</f>
        <v>4681.304430990288</v>
      </c>
      <c r="E34" s="23"/>
      <c r="K34" s="21">
        <f>SUM(K20:K33)</f>
        <v>7008.7375962977821</v>
      </c>
      <c r="L34" s="21">
        <f>SUM(L20:L33)</f>
        <v>177629445.640571</v>
      </c>
      <c r="M34" s="15">
        <v>600</v>
      </c>
      <c r="N34" s="21">
        <f>SUM(N20:N33)</f>
        <v>55422603.944015905</v>
      </c>
      <c r="O34" s="76">
        <f>SUM(O20:O33)</f>
        <v>8.6480688634062004E-5</v>
      </c>
    </row>
    <row r="35" spans="1:15" x14ac:dyDescent="0.35">
      <c r="B35" s="18"/>
      <c r="C35" s="18"/>
      <c r="D35" s="18"/>
      <c r="E35" s="20"/>
      <c r="L35" s="1"/>
      <c r="M35" s="1"/>
      <c r="N35" s="1"/>
      <c r="O35" s="76"/>
    </row>
    <row r="36" spans="1:15" x14ac:dyDescent="0.35">
      <c r="B36" s="18">
        <f>B17+B34</f>
        <v>7803.6882291174525</v>
      </c>
      <c r="C36" s="18">
        <f>C17+C34</f>
        <v>3300.0601718104981</v>
      </c>
      <c r="D36" s="18">
        <f>SUM(B36:C36)</f>
        <v>11103.748400927951</v>
      </c>
      <c r="J36" t="s">
        <v>43</v>
      </c>
      <c r="K36" s="21">
        <f>K17+K34</f>
        <v>27772.313567411464</v>
      </c>
      <c r="L36" s="21">
        <f>L17+L34</f>
        <v>703861515.05247617</v>
      </c>
      <c r="M36" s="1"/>
      <c r="N36" s="21">
        <f>N17+N34</f>
        <v>219613577.23946214</v>
      </c>
      <c r="O36" s="76">
        <f>O17+O34</f>
        <v>3.4268208350952245E-4</v>
      </c>
    </row>
    <row r="37" spans="1:15" x14ac:dyDescent="0.35">
      <c r="B37" s="18"/>
      <c r="C37" s="18"/>
      <c r="D37" s="18"/>
    </row>
    <row r="38" spans="1:15" x14ac:dyDescent="0.35">
      <c r="B38" s="18"/>
      <c r="C38" s="18"/>
      <c r="D38" s="18"/>
    </row>
    <row r="39" spans="1:15" x14ac:dyDescent="0.35">
      <c r="B39" s="18"/>
      <c r="C39" s="18"/>
      <c r="D39" s="18"/>
    </row>
    <row r="40" spans="1:15" x14ac:dyDescent="0.35">
      <c r="B40" s="18"/>
      <c r="C40" s="18"/>
      <c r="D40" s="18"/>
    </row>
    <row r="54" spans="1:72" x14ac:dyDescent="0.35">
      <c r="A54" s="1" t="s">
        <v>248</v>
      </c>
    </row>
    <row r="56" spans="1:72" x14ac:dyDescent="0.35">
      <c r="B56" t="s">
        <v>178</v>
      </c>
      <c r="C56" t="s">
        <v>179</v>
      </c>
      <c r="D56" t="s">
        <v>180</v>
      </c>
      <c r="E56" t="s">
        <v>181</v>
      </c>
      <c r="F56" t="s">
        <v>182</v>
      </c>
      <c r="G56" t="s">
        <v>183</v>
      </c>
      <c r="H56" t="s">
        <v>184</v>
      </c>
      <c r="I56" t="s">
        <v>185</v>
      </c>
      <c r="J56" t="s">
        <v>186</v>
      </c>
      <c r="K56" t="s">
        <v>187</v>
      </c>
      <c r="L56" t="s">
        <v>188</v>
      </c>
      <c r="M56" t="s">
        <v>189</v>
      </c>
      <c r="N56" t="s">
        <v>190</v>
      </c>
      <c r="O56" t="s">
        <v>191</v>
      </c>
      <c r="P56" t="s">
        <v>192</v>
      </c>
      <c r="Q56" t="s">
        <v>193</v>
      </c>
      <c r="R56" t="s">
        <v>194</v>
      </c>
      <c r="S56" t="s">
        <v>195</v>
      </c>
      <c r="T56" t="s">
        <v>196</v>
      </c>
      <c r="U56" t="s">
        <v>197</v>
      </c>
      <c r="V56" t="s">
        <v>198</v>
      </c>
      <c r="W56" t="s">
        <v>199</v>
      </c>
      <c r="X56" t="s">
        <v>200</v>
      </c>
      <c r="Y56" t="s">
        <v>201</v>
      </c>
      <c r="Z56" t="s">
        <v>202</v>
      </c>
      <c r="AA56" t="s">
        <v>203</v>
      </c>
      <c r="AB56" t="s">
        <v>204</v>
      </c>
      <c r="AC56" t="s">
        <v>205</v>
      </c>
      <c r="AD56" t="s">
        <v>206</v>
      </c>
      <c r="AE56" t="s">
        <v>207</v>
      </c>
      <c r="AF56" t="s">
        <v>208</v>
      </c>
      <c r="AG56" t="s">
        <v>209</v>
      </c>
      <c r="AH56" t="s">
        <v>210</v>
      </c>
      <c r="AI56" t="s">
        <v>211</v>
      </c>
      <c r="AJ56" t="s">
        <v>212</v>
      </c>
      <c r="AK56" t="s">
        <v>213</v>
      </c>
      <c r="AL56" t="s">
        <v>214</v>
      </c>
      <c r="AM56" t="s">
        <v>215</v>
      </c>
      <c r="AN56" t="s">
        <v>216</v>
      </c>
      <c r="AO56" t="s">
        <v>217</v>
      </c>
      <c r="AP56" t="s">
        <v>218</v>
      </c>
      <c r="AQ56" t="s">
        <v>219</v>
      </c>
      <c r="AR56" t="s">
        <v>220</v>
      </c>
      <c r="AS56" t="s">
        <v>221</v>
      </c>
      <c r="AT56" t="s">
        <v>222</v>
      </c>
      <c r="AU56" t="s">
        <v>223</v>
      </c>
      <c r="AV56" t="s">
        <v>224</v>
      </c>
      <c r="AW56" t="s">
        <v>225</v>
      </c>
      <c r="AX56" t="s">
        <v>226</v>
      </c>
      <c r="AY56" t="s">
        <v>227</v>
      </c>
      <c r="AZ56" t="s">
        <v>228</v>
      </c>
      <c r="BA56" t="s">
        <v>229</v>
      </c>
      <c r="BB56" t="s">
        <v>230</v>
      </c>
      <c r="BC56" t="s">
        <v>231</v>
      </c>
      <c r="BD56" t="s">
        <v>232</v>
      </c>
      <c r="BE56" t="s">
        <v>233</v>
      </c>
      <c r="BF56" t="s">
        <v>234</v>
      </c>
      <c r="BG56" t="s">
        <v>235</v>
      </c>
      <c r="BH56" t="s">
        <v>236</v>
      </c>
      <c r="BI56" t="s">
        <v>237</v>
      </c>
      <c r="BJ56" t="s">
        <v>238</v>
      </c>
      <c r="BK56" t="s">
        <v>239</v>
      </c>
      <c r="BL56" t="s">
        <v>240</v>
      </c>
      <c r="BM56" t="s">
        <v>241</v>
      </c>
      <c r="BN56" t="s">
        <v>242</v>
      </c>
      <c r="BO56" t="s">
        <v>243</v>
      </c>
      <c r="BP56" t="s">
        <v>244</v>
      </c>
      <c r="BQ56" t="s">
        <v>245</v>
      </c>
      <c r="BR56" t="s">
        <v>246</v>
      </c>
      <c r="BS56" t="s">
        <v>247</v>
      </c>
      <c r="BT56" t="s">
        <v>22</v>
      </c>
    </row>
    <row r="57" spans="1:72" x14ac:dyDescent="0.35">
      <c r="A57" s="1" t="s">
        <v>27</v>
      </c>
      <c r="B57" s="15">
        <f>D3*F3*12*H3</f>
        <v>-7.2045022626385046E-6</v>
      </c>
      <c r="C57">
        <f>B57-B57*0.03</f>
        <v>-6.9883671947593499E-6</v>
      </c>
      <c r="D57">
        <f t="shared" ref="D57:BO57" si="15">C57-C57*0.03</f>
        <v>-6.7787161789165693E-6</v>
      </c>
      <c r="E57">
        <f t="shared" si="15"/>
        <v>-6.5753546935490718E-6</v>
      </c>
      <c r="F57">
        <f t="shared" si="15"/>
        <v>-6.3780940527425997E-6</v>
      </c>
      <c r="G57">
        <f t="shared" si="15"/>
        <v>-6.1867512311603218E-6</v>
      </c>
      <c r="H57">
        <f t="shared" si="15"/>
        <v>-6.0011486942255122E-6</v>
      </c>
      <c r="I57">
        <f t="shared" si="15"/>
        <v>-5.821114233398747E-6</v>
      </c>
      <c r="J57">
        <f t="shared" si="15"/>
        <v>-5.6464808063967842E-6</v>
      </c>
      <c r="K57">
        <f t="shared" si="15"/>
        <v>-5.4770863822048807E-6</v>
      </c>
      <c r="L57">
        <f t="shared" si="15"/>
        <v>-5.3127737907387341E-6</v>
      </c>
      <c r="M57">
        <f t="shared" si="15"/>
        <v>-5.1533905770165719E-6</v>
      </c>
      <c r="N57">
        <f t="shared" si="15"/>
        <v>-4.9987888597060746E-6</v>
      </c>
      <c r="O57">
        <f t="shared" si="15"/>
        <v>-4.8488251939148924E-6</v>
      </c>
      <c r="P57">
        <f t="shared" si="15"/>
        <v>-4.7033604380974456E-6</v>
      </c>
      <c r="Q57">
        <f t="shared" si="15"/>
        <v>-4.5622596249545218E-6</v>
      </c>
      <c r="R57">
        <f t="shared" si="15"/>
        <v>-4.4253918362058862E-6</v>
      </c>
      <c r="S57">
        <f t="shared" si="15"/>
        <v>-4.2926300811197098E-6</v>
      </c>
      <c r="T57">
        <f t="shared" si="15"/>
        <v>-4.1638511786861185E-6</v>
      </c>
      <c r="U57">
        <f t="shared" si="15"/>
        <v>-4.0389356433255353E-6</v>
      </c>
      <c r="V57">
        <f t="shared" si="15"/>
        <v>-3.9177675740257696E-6</v>
      </c>
      <c r="W57">
        <f t="shared" si="15"/>
        <v>-3.8002345468049966E-6</v>
      </c>
      <c r="X57">
        <f t="shared" si="15"/>
        <v>-3.6862275104008469E-6</v>
      </c>
      <c r="Y57">
        <f t="shared" si="15"/>
        <v>-3.5756406850888214E-6</v>
      </c>
      <c r="Z57">
        <f t="shared" si="15"/>
        <v>-3.4683714645361565E-6</v>
      </c>
      <c r="AA57">
        <f t="shared" si="15"/>
        <v>-3.3643203206000717E-6</v>
      </c>
      <c r="AB57">
        <f t="shared" si="15"/>
        <v>-3.2633907109820694E-6</v>
      </c>
      <c r="AC57">
        <f t="shared" si="15"/>
        <v>-3.1654889896526073E-6</v>
      </c>
      <c r="AD57">
        <f t="shared" si="15"/>
        <v>-3.0705243199630289E-6</v>
      </c>
      <c r="AE57">
        <f t="shared" si="15"/>
        <v>-2.9784085903641379E-6</v>
      </c>
      <c r="AF57">
        <f t="shared" si="15"/>
        <v>-2.889056332653214E-6</v>
      </c>
      <c r="AG57">
        <f t="shared" si="15"/>
        <v>-2.8023846426736178E-6</v>
      </c>
      <c r="AH57">
        <f t="shared" si="15"/>
        <v>-2.7183131033934092E-6</v>
      </c>
      <c r="AI57">
        <f t="shared" si="15"/>
        <v>-2.6367637102916069E-6</v>
      </c>
      <c r="AJ57">
        <f t="shared" si="15"/>
        <v>-2.5576607989828589E-6</v>
      </c>
      <c r="AK57">
        <f t="shared" si="15"/>
        <v>-2.480930975013373E-6</v>
      </c>
      <c r="AL57">
        <f t="shared" si="15"/>
        <v>-2.4065030457629718E-6</v>
      </c>
      <c r="AM57">
        <f t="shared" si="15"/>
        <v>-2.3343079543900825E-6</v>
      </c>
      <c r="AN57">
        <f t="shared" si="15"/>
        <v>-2.26427871575838E-6</v>
      </c>
      <c r="AO57">
        <f t="shared" si="15"/>
        <v>-2.1963503542856288E-6</v>
      </c>
      <c r="AP57">
        <f t="shared" si="15"/>
        <v>-2.1304598436570599E-6</v>
      </c>
      <c r="AQ57">
        <f t="shared" si="15"/>
        <v>-2.0665460483473481E-6</v>
      </c>
      <c r="AR57">
        <f t="shared" si="15"/>
        <v>-2.0045496668969278E-6</v>
      </c>
      <c r="AS57">
        <f t="shared" si="15"/>
        <v>-1.9444131768900202E-6</v>
      </c>
      <c r="AT57">
        <f t="shared" si="15"/>
        <v>-1.8860807815833195E-6</v>
      </c>
      <c r="AU57">
        <f t="shared" si="15"/>
        <v>-1.8294983581358198E-6</v>
      </c>
      <c r="AV57">
        <f t="shared" si="15"/>
        <v>-1.7746134073917453E-6</v>
      </c>
      <c r="AW57">
        <f t="shared" si="15"/>
        <v>-1.721375005169993E-6</v>
      </c>
      <c r="AX57">
        <f t="shared" si="15"/>
        <v>-1.6697337550148932E-6</v>
      </c>
      <c r="AY57">
        <f t="shared" si="15"/>
        <v>-1.6196417423644464E-6</v>
      </c>
      <c r="AZ57">
        <f t="shared" si="15"/>
        <v>-1.571052490093513E-6</v>
      </c>
      <c r="BA57">
        <f t="shared" si="15"/>
        <v>-1.5239209153907076E-6</v>
      </c>
      <c r="BB57">
        <f t="shared" si="15"/>
        <v>-1.4782032879289864E-6</v>
      </c>
      <c r="BC57">
        <f t="shared" si="15"/>
        <v>-1.4338571892911167E-6</v>
      </c>
      <c r="BD57">
        <f t="shared" si="15"/>
        <v>-1.3908414736123833E-6</v>
      </c>
      <c r="BE57">
        <f t="shared" si="15"/>
        <v>-1.3491162294040119E-6</v>
      </c>
      <c r="BF57">
        <f t="shared" si="15"/>
        <v>-1.3086427425218916E-6</v>
      </c>
      <c r="BG57">
        <f t="shared" si="15"/>
        <v>-1.2693834602462348E-6</v>
      </c>
      <c r="BH57">
        <f t="shared" si="15"/>
        <v>-1.2313019564388478E-6</v>
      </c>
      <c r="BI57">
        <f t="shared" si="15"/>
        <v>-1.1943628977456824E-6</v>
      </c>
      <c r="BJ57">
        <f t="shared" si="15"/>
        <v>-1.158532010813312E-6</v>
      </c>
      <c r="BK57">
        <f t="shared" si="15"/>
        <v>-1.1237760504889126E-6</v>
      </c>
      <c r="BL57">
        <f t="shared" si="15"/>
        <v>-1.0900627689742452E-6</v>
      </c>
      <c r="BM57">
        <f t="shared" si="15"/>
        <v>-1.0573608859050178E-6</v>
      </c>
      <c r="BN57">
        <f t="shared" si="15"/>
        <v>-1.0256400593278673E-6</v>
      </c>
      <c r="BO57">
        <f t="shared" si="15"/>
        <v>-9.9487085754803122E-7</v>
      </c>
      <c r="BP57">
        <f t="shared" ref="BP57:BS57" si="16">BO57-BO57*0.03</f>
        <v>-9.6502473182159031E-7</v>
      </c>
      <c r="BQ57">
        <f t="shared" si="16"/>
        <v>-9.3607398986694257E-7</v>
      </c>
      <c r="BR57">
        <f t="shared" si="16"/>
        <v>-9.0799177017093425E-7</v>
      </c>
      <c r="BS57">
        <f t="shared" si="16"/>
        <v>-8.8075201706580621E-7</v>
      </c>
    </row>
    <row r="58" spans="1:72" x14ac:dyDescent="0.35">
      <c r="A58" s="1" t="s">
        <v>28</v>
      </c>
      <c r="B58" s="15">
        <f t="shared" ref="B58:B71" si="17">D4*F4*12*H4</f>
        <v>-1.2483196657324437E-5</v>
      </c>
      <c r="C58">
        <f t="shared" ref="C58:BN58" si="18">B58-B58*0.03</f>
        <v>-1.2108700757604704E-5</v>
      </c>
      <c r="D58">
        <f t="shared" si="18"/>
        <v>-1.1745439734876564E-5</v>
      </c>
      <c r="E58">
        <f t="shared" si="18"/>
        <v>-1.1393076542830267E-5</v>
      </c>
      <c r="F58">
        <f t="shared" si="18"/>
        <v>-1.1051284246545358E-5</v>
      </c>
      <c r="G58">
        <f t="shared" si="18"/>
        <v>-1.0719745719148997E-5</v>
      </c>
      <c r="H58">
        <f t="shared" si="18"/>
        <v>-1.0398153347574526E-5</v>
      </c>
      <c r="I58">
        <f t="shared" si="18"/>
        <v>-1.008620874714729E-5</v>
      </c>
      <c r="J58">
        <f t="shared" si="18"/>
        <v>-9.783622484732872E-6</v>
      </c>
      <c r="K58">
        <f t="shared" si="18"/>
        <v>-9.4901138101908864E-6</v>
      </c>
      <c r="L58">
        <f t="shared" si="18"/>
        <v>-9.2054103958851601E-6</v>
      </c>
      <c r="M58">
        <f t="shared" si="18"/>
        <v>-8.9292480840086062E-6</v>
      </c>
      <c r="N58">
        <f t="shared" si="18"/>
        <v>-8.6613706414883487E-6</v>
      </c>
      <c r="O58">
        <f t="shared" si="18"/>
        <v>-8.4015295222436983E-6</v>
      </c>
      <c r="P58">
        <f t="shared" si="18"/>
        <v>-8.1494836365763873E-6</v>
      </c>
      <c r="Q58">
        <f t="shared" si="18"/>
        <v>-7.9049991274790958E-6</v>
      </c>
      <c r="R58">
        <f t="shared" si="18"/>
        <v>-7.667849153654723E-6</v>
      </c>
      <c r="S58">
        <f t="shared" si="18"/>
        <v>-7.4378136790450811E-6</v>
      </c>
      <c r="T58">
        <f t="shared" si="18"/>
        <v>-7.2146792686737286E-6</v>
      </c>
      <c r="U58">
        <f t="shared" si="18"/>
        <v>-6.9982388906135166E-6</v>
      </c>
      <c r="V58">
        <f t="shared" si="18"/>
        <v>-6.788291723895111E-6</v>
      </c>
      <c r="W58">
        <f t="shared" si="18"/>
        <v>-6.5846429721782573E-6</v>
      </c>
      <c r="X58">
        <f t="shared" si="18"/>
        <v>-6.3871036830129098E-6</v>
      </c>
      <c r="Y58">
        <f t="shared" si="18"/>
        <v>-6.1954905725225223E-6</v>
      </c>
      <c r="Z58">
        <f t="shared" si="18"/>
        <v>-6.0096258553468468E-6</v>
      </c>
      <c r="AA58">
        <f t="shared" si="18"/>
        <v>-5.8293370796864412E-6</v>
      </c>
      <c r="AB58">
        <f t="shared" si="18"/>
        <v>-5.6544569672958484E-6</v>
      </c>
      <c r="AC58">
        <f t="shared" si="18"/>
        <v>-5.4848232582769729E-6</v>
      </c>
      <c r="AD58">
        <f t="shared" si="18"/>
        <v>-5.3202785605286636E-6</v>
      </c>
      <c r="AE58">
        <f t="shared" si="18"/>
        <v>-5.1606702037128036E-6</v>
      </c>
      <c r="AF58">
        <f t="shared" si="18"/>
        <v>-5.0058500976014192E-6</v>
      </c>
      <c r="AG58">
        <f t="shared" si="18"/>
        <v>-4.8556745946733767E-6</v>
      </c>
      <c r="AH58">
        <f t="shared" si="18"/>
        <v>-4.7100043568331754E-6</v>
      </c>
      <c r="AI58">
        <f t="shared" si="18"/>
        <v>-4.5687042261281805E-6</v>
      </c>
      <c r="AJ58">
        <f t="shared" si="18"/>
        <v>-4.4316430993443348E-6</v>
      </c>
      <c r="AK58">
        <f t="shared" si="18"/>
        <v>-4.2986938063640046E-6</v>
      </c>
      <c r="AL58">
        <f t="shared" si="18"/>
        <v>-4.1697329921730847E-6</v>
      </c>
      <c r="AM58">
        <f t="shared" si="18"/>
        <v>-4.0446410024078918E-6</v>
      </c>
      <c r="AN58">
        <f t="shared" si="18"/>
        <v>-3.9233017723356549E-6</v>
      </c>
      <c r="AO58">
        <f t="shared" si="18"/>
        <v>-3.805602719165585E-6</v>
      </c>
      <c r="AP58">
        <f t="shared" si="18"/>
        <v>-3.6914346375906175E-6</v>
      </c>
      <c r="AQ58">
        <f t="shared" si="18"/>
        <v>-3.5806915984628989E-6</v>
      </c>
      <c r="AR58">
        <f t="shared" si="18"/>
        <v>-3.4732708505090119E-6</v>
      </c>
      <c r="AS58">
        <f t="shared" si="18"/>
        <v>-3.3690727249937414E-6</v>
      </c>
      <c r="AT58">
        <f t="shared" si="18"/>
        <v>-3.2680005432439292E-6</v>
      </c>
      <c r="AU58">
        <f t="shared" si="18"/>
        <v>-3.1699605269466113E-6</v>
      </c>
      <c r="AV58">
        <f t="shared" si="18"/>
        <v>-3.074861711138213E-6</v>
      </c>
      <c r="AW58">
        <f t="shared" si="18"/>
        <v>-2.9826158598040664E-6</v>
      </c>
      <c r="AX58">
        <f t="shared" si="18"/>
        <v>-2.8931373840099446E-6</v>
      </c>
      <c r="AY58">
        <f t="shared" si="18"/>
        <v>-2.8063432624896462E-6</v>
      </c>
      <c r="AZ58">
        <f t="shared" si="18"/>
        <v>-2.7221529646149569E-6</v>
      </c>
      <c r="BA58">
        <f t="shared" si="18"/>
        <v>-2.6404883756765081E-6</v>
      </c>
      <c r="BB58">
        <f t="shared" si="18"/>
        <v>-2.5612737244062128E-6</v>
      </c>
      <c r="BC58">
        <f t="shared" si="18"/>
        <v>-2.4844355126740264E-6</v>
      </c>
      <c r="BD58">
        <f t="shared" si="18"/>
        <v>-2.4099024472938057E-6</v>
      </c>
      <c r="BE58">
        <f t="shared" si="18"/>
        <v>-2.3376053738749916E-6</v>
      </c>
      <c r="BF58">
        <f t="shared" si="18"/>
        <v>-2.267477212658742E-6</v>
      </c>
      <c r="BG58">
        <f t="shared" si="18"/>
        <v>-2.1994528962789797E-6</v>
      </c>
      <c r="BH58">
        <f t="shared" si="18"/>
        <v>-2.1334693093906104E-6</v>
      </c>
      <c r="BI58">
        <f t="shared" si="18"/>
        <v>-2.0694652301088921E-6</v>
      </c>
      <c r="BJ58">
        <f t="shared" si="18"/>
        <v>-2.0073812732056255E-6</v>
      </c>
      <c r="BK58">
        <f t="shared" si="18"/>
        <v>-1.9471598350094566E-6</v>
      </c>
      <c r="BL58">
        <f t="shared" si="18"/>
        <v>-1.8887450399591729E-6</v>
      </c>
      <c r="BM58">
        <f t="shared" si="18"/>
        <v>-1.8320826887603977E-6</v>
      </c>
      <c r="BN58">
        <f t="shared" si="18"/>
        <v>-1.7771202080975857E-6</v>
      </c>
      <c r="BO58">
        <f t="shared" ref="BO58:BS58" si="19">BN58-BN58*0.03</f>
        <v>-1.7238066018546582E-6</v>
      </c>
      <c r="BP58">
        <f t="shared" si="19"/>
        <v>-1.6720924037990184E-6</v>
      </c>
      <c r="BQ58">
        <f t="shared" si="19"/>
        <v>-1.6219296316850477E-6</v>
      </c>
      <c r="BR58">
        <f t="shared" si="19"/>
        <v>-1.5732717427344964E-6</v>
      </c>
      <c r="BS58">
        <f t="shared" si="19"/>
        <v>-1.5260735904524615E-6</v>
      </c>
    </row>
    <row r="59" spans="1:72" x14ac:dyDescent="0.35">
      <c r="A59" s="1" t="s">
        <v>29</v>
      </c>
      <c r="B59" s="15">
        <f t="shared" si="17"/>
        <v>725236.83484276209</v>
      </c>
      <c r="C59">
        <f t="shared" ref="C59:BN59" si="20">B59-B59*0.03</f>
        <v>703479.72979747923</v>
      </c>
      <c r="D59">
        <f t="shared" si="20"/>
        <v>682375.3379035549</v>
      </c>
      <c r="E59">
        <f t="shared" si="20"/>
        <v>661904.07776644826</v>
      </c>
      <c r="F59">
        <f t="shared" si="20"/>
        <v>642046.95543345483</v>
      </c>
      <c r="G59">
        <f t="shared" si="20"/>
        <v>622785.54677045124</v>
      </c>
      <c r="H59">
        <f t="shared" si="20"/>
        <v>604101.9803673377</v>
      </c>
      <c r="I59">
        <f t="shared" si="20"/>
        <v>585978.92095631757</v>
      </c>
      <c r="J59">
        <f t="shared" si="20"/>
        <v>568399.55332762806</v>
      </c>
      <c r="K59">
        <f t="shared" si="20"/>
        <v>551347.56672779925</v>
      </c>
      <c r="L59">
        <f t="shared" si="20"/>
        <v>534807.13972596521</v>
      </c>
      <c r="M59">
        <f t="shared" si="20"/>
        <v>518762.92553418624</v>
      </c>
      <c r="N59">
        <f t="shared" si="20"/>
        <v>503200.03776816063</v>
      </c>
      <c r="O59">
        <f t="shared" si="20"/>
        <v>488104.0366351158</v>
      </c>
      <c r="P59">
        <f t="shared" si="20"/>
        <v>473460.91553606233</v>
      </c>
      <c r="Q59">
        <f t="shared" si="20"/>
        <v>459257.08806998044</v>
      </c>
      <c r="R59">
        <f t="shared" si="20"/>
        <v>445479.37542788102</v>
      </c>
      <c r="S59">
        <f t="shared" si="20"/>
        <v>432114.99416504457</v>
      </c>
      <c r="T59">
        <f t="shared" si="20"/>
        <v>419151.54434009321</v>
      </c>
      <c r="U59">
        <f t="shared" si="20"/>
        <v>406576.99800989043</v>
      </c>
      <c r="V59">
        <f t="shared" si="20"/>
        <v>394379.68806959374</v>
      </c>
      <c r="W59">
        <f t="shared" si="20"/>
        <v>382548.29742750595</v>
      </c>
      <c r="X59">
        <f t="shared" si="20"/>
        <v>371071.84850468079</v>
      </c>
      <c r="Y59">
        <f t="shared" si="20"/>
        <v>359939.69304954039</v>
      </c>
      <c r="Z59">
        <f t="shared" si="20"/>
        <v>349141.50225805416</v>
      </c>
      <c r="AA59">
        <f t="shared" si="20"/>
        <v>338667.25719031255</v>
      </c>
      <c r="AB59">
        <f t="shared" si="20"/>
        <v>328507.23947460315</v>
      </c>
      <c r="AC59">
        <f t="shared" si="20"/>
        <v>318652.02229036507</v>
      </c>
      <c r="AD59">
        <f t="shared" si="20"/>
        <v>309092.4616216541</v>
      </c>
      <c r="AE59">
        <f t="shared" si="20"/>
        <v>299819.68777300447</v>
      </c>
      <c r="AF59">
        <f t="shared" si="20"/>
        <v>290825.09713981434</v>
      </c>
      <c r="AG59">
        <f t="shared" si="20"/>
        <v>282100.34422561992</v>
      </c>
      <c r="AH59">
        <f t="shared" si="20"/>
        <v>273637.3338988513</v>
      </c>
      <c r="AI59">
        <f t="shared" si="20"/>
        <v>265428.21388188575</v>
      </c>
      <c r="AJ59">
        <f t="shared" si="20"/>
        <v>257465.36746542918</v>
      </c>
      <c r="AK59">
        <f t="shared" si="20"/>
        <v>249741.4064414663</v>
      </c>
      <c r="AL59">
        <f t="shared" si="20"/>
        <v>242249.16424822231</v>
      </c>
      <c r="AM59">
        <f t="shared" si="20"/>
        <v>234981.68932077565</v>
      </c>
      <c r="AN59">
        <f t="shared" si="20"/>
        <v>227932.23864115239</v>
      </c>
      <c r="AO59">
        <f t="shared" si="20"/>
        <v>221094.27148191782</v>
      </c>
      <c r="AP59">
        <f t="shared" si="20"/>
        <v>214461.44333746028</v>
      </c>
      <c r="AQ59">
        <f t="shared" si="20"/>
        <v>208027.60003733647</v>
      </c>
      <c r="AR59">
        <f t="shared" si="20"/>
        <v>201786.77203621637</v>
      </c>
      <c r="AS59">
        <f t="shared" si="20"/>
        <v>195733.16887512986</v>
      </c>
      <c r="AT59">
        <f t="shared" si="20"/>
        <v>189861.17380887596</v>
      </c>
      <c r="AU59">
        <f t="shared" si="20"/>
        <v>184165.33859460967</v>
      </c>
      <c r="AV59">
        <f t="shared" si="20"/>
        <v>178640.37843677137</v>
      </c>
      <c r="AW59">
        <f t="shared" si="20"/>
        <v>173281.16708366823</v>
      </c>
      <c r="AX59">
        <f t="shared" si="20"/>
        <v>168082.73207115819</v>
      </c>
      <c r="AY59">
        <f t="shared" si="20"/>
        <v>163040.25010902344</v>
      </c>
      <c r="AZ59">
        <f t="shared" si="20"/>
        <v>158149.04260575274</v>
      </c>
      <c r="BA59">
        <f t="shared" si="20"/>
        <v>153404.57132758017</v>
      </c>
      <c r="BB59">
        <f t="shared" si="20"/>
        <v>148802.43418775278</v>
      </c>
      <c r="BC59">
        <f t="shared" si="20"/>
        <v>144338.36116212019</v>
      </c>
      <c r="BD59">
        <f t="shared" si="20"/>
        <v>140008.21032725659</v>
      </c>
      <c r="BE59">
        <f t="shared" si="20"/>
        <v>135807.96401743888</v>
      </c>
      <c r="BF59">
        <f t="shared" si="20"/>
        <v>131733.7250969157</v>
      </c>
      <c r="BG59">
        <f t="shared" si="20"/>
        <v>127781.71334400823</v>
      </c>
      <c r="BH59">
        <f t="shared" si="20"/>
        <v>123948.26194368798</v>
      </c>
      <c r="BI59">
        <f t="shared" si="20"/>
        <v>120229.81408537734</v>
      </c>
      <c r="BJ59">
        <f t="shared" si="20"/>
        <v>116622.91966281601</v>
      </c>
      <c r="BK59">
        <f t="shared" si="20"/>
        <v>113124.23207293154</v>
      </c>
      <c r="BL59">
        <f t="shared" si="20"/>
        <v>109730.5051107436</v>
      </c>
      <c r="BM59">
        <f t="shared" si="20"/>
        <v>106438.5899574213</v>
      </c>
      <c r="BN59">
        <f t="shared" si="20"/>
        <v>103245.43225869865</v>
      </c>
      <c r="BO59">
        <f t="shared" ref="BO59:BS59" si="21">BN59-BN59*0.03</f>
        <v>100148.0692909377</v>
      </c>
      <c r="BP59">
        <f t="shared" si="21"/>
        <v>97143.627212209569</v>
      </c>
      <c r="BQ59">
        <f t="shared" si="21"/>
        <v>94229.318395843278</v>
      </c>
      <c r="BR59">
        <f t="shared" si="21"/>
        <v>91402.438843967975</v>
      </c>
      <c r="BS59">
        <f t="shared" si="21"/>
        <v>88660.36567864893</v>
      </c>
    </row>
    <row r="60" spans="1:72" x14ac:dyDescent="0.35">
      <c r="A60" s="1" t="s">
        <v>30</v>
      </c>
      <c r="B60" s="15">
        <f t="shared" si="17"/>
        <v>1371376.5681915602</v>
      </c>
      <c r="C60">
        <f t="shared" ref="C60:BN60" si="22">B60-B60*0.03</f>
        <v>1330235.2711458134</v>
      </c>
      <c r="D60">
        <f t="shared" si="22"/>
        <v>1290328.213011439</v>
      </c>
      <c r="E60">
        <f t="shared" si="22"/>
        <v>1251618.3666210957</v>
      </c>
      <c r="F60">
        <f t="shared" si="22"/>
        <v>1214069.8156224629</v>
      </c>
      <c r="G60">
        <f t="shared" si="22"/>
        <v>1177647.721153789</v>
      </c>
      <c r="H60">
        <f t="shared" si="22"/>
        <v>1142318.2895191752</v>
      </c>
      <c r="I60">
        <f t="shared" si="22"/>
        <v>1108048.7408336001</v>
      </c>
      <c r="J60">
        <f t="shared" si="22"/>
        <v>1074807.278608592</v>
      </c>
      <c r="K60">
        <f t="shared" si="22"/>
        <v>1042563.0602503342</v>
      </c>
      <c r="L60">
        <f t="shared" si="22"/>
        <v>1011286.1684428242</v>
      </c>
      <c r="M60">
        <f t="shared" si="22"/>
        <v>980947.58338953939</v>
      </c>
      <c r="N60">
        <f t="shared" si="22"/>
        <v>951519.15588785324</v>
      </c>
      <c r="O60">
        <f t="shared" si="22"/>
        <v>922973.58121121768</v>
      </c>
      <c r="P60">
        <f t="shared" si="22"/>
        <v>895284.37377488113</v>
      </c>
      <c r="Q60">
        <f t="shared" si="22"/>
        <v>868425.84256163472</v>
      </c>
      <c r="R60">
        <f t="shared" si="22"/>
        <v>842373.06728478568</v>
      </c>
      <c r="S60">
        <f t="shared" si="22"/>
        <v>817101.87526624207</v>
      </c>
      <c r="T60">
        <f t="shared" si="22"/>
        <v>792588.8190082548</v>
      </c>
      <c r="U60">
        <f t="shared" si="22"/>
        <v>768811.15443800716</v>
      </c>
      <c r="V60">
        <f t="shared" si="22"/>
        <v>745746.81980486691</v>
      </c>
      <c r="W60">
        <f t="shared" si="22"/>
        <v>723374.41521072085</v>
      </c>
      <c r="X60">
        <f t="shared" si="22"/>
        <v>701673.18275439925</v>
      </c>
      <c r="Y60">
        <f t="shared" si="22"/>
        <v>680622.98727176723</v>
      </c>
      <c r="Z60">
        <f t="shared" si="22"/>
        <v>660204.29765361419</v>
      </c>
      <c r="AA60">
        <f t="shared" si="22"/>
        <v>640398.16872400581</v>
      </c>
      <c r="AB60">
        <f t="shared" si="22"/>
        <v>621186.2236622856</v>
      </c>
      <c r="AC60">
        <f t="shared" si="22"/>
        <v>602550.63695241709</v>
      </c>
      <c r="AD60">
        <f t="shared" si="22"/>
        <v>584474.11784384458</v>
      </c>
      <c r="AE60">
        <f t="shared" si="22"/>
        <v>566939.89430852921</v>
      </c>
      <c r="AF60">
        <f t="shared" si="22"/>
        <v>549931.69747927331</v>
      </c>
      <c r="AG60">
        <f t="shared" si="22"/>
        <v>533433.74655489507</v>
      </c>
      <c r="AH60">
        <f t="shared" si="22"/>
        <v>517430.73415824823</v>
      </c>
      <c r="AI60">
        <f t="shared" si="22"/>
        <v>501907.81213350076</v>
      </c>
      <c r="AJ60">
        <f t="shared" si="22"/>
        <v>486850.57776949572</v>
      </c>
      <c r="AK60">
        <f t="shared" si="22"/>
        <v>472245.06043641083</v>
      </c>
      <c r="AL60">
        <f t="shared" si="22"/>
        <v>458077.70862331853</v>
      </c>
      <c r="AM60">
        <f t="shared" si="22"/>
        <v>444335.37736461899</v>
      </c>
      <c r="AN60">
        <f t="shared" si="22"/>
        <v>431005.31604368042</v>
      </c>
      <c r="AO60">
        <f t="shared" si="22"/>
        <v>418075.15656237002</v>
      </c>
      <c r="AP60">
        <f t="shared" si="22"/>
        <v>405532.90186549892</v>
      </c>
      <c r="AQ60">
        <f t="shared" si="22"/>
        <v>393366.91480953398</v>
      </c>
      <c r="AR60">
        <f t="shared" si="22"/>
        <v>381565.90736524796</v>
      </c>
      <c r="AS60">
        <f t="shared" si="22"/>
        <v>370118.9301442905</v>
      </c>
      <c r="AT60">
        <f t="shared" si="22"/>
        <v>359015.3622399618</v>
      </c>
      <c r="AU60">
        <f t="shared" si="22"/>
        <v>348244.90137276298</v>
      </c>
      <c r="AV60">
        <f t="shared" si="22"/>
        <v>337797.55433158006</v>
      </c>
      <c r="AW60">
        <f t="shared" si="22"/>
        <v>327663.62770163268</v>
      </c>
      <c r="AX60">
        <f t="shared" si="22"/>
        <v>317833.71887058369</v>
      </c>
      <c r="AY60">
        <f t="shared" si="22"/>
        <v>308298.70730446617</v>
      </c>
      <c r="AZ60">
        <f t="shared" si="22"/>
        <v>299049.74608533218</v>
      </c>
      <c r="BA60">
        <f t="shared" si="22"/>
        <v>290078.2537027722</v>
      </c>
      <c r="BB60">
        <f t="shared" si="22"/>
        <v>281375.90609168902</v>
      </c>
      <c r="BC60">
        <f t="shared" si="22"/>
        <v>272934.62890893832</v>
      </c>
      <c r="BD60">
        <f t="shared" si="22"/>
        <v>264746.59004167019</v>
      </c>
      <c r="BE60">
        <f t="shared" si="22"/>
        <v>256804.19234042009</v>
      </c>
      <c r="BF60">
        <f t="shared" si="22"/>
        <v>249100.06657020748</v>
      </c>
      <c r="BG60">
        <f t="shared" si="22"/>
        <v>241627.06457310126</v>
      </c>
      <c r="BH60">
        <f t="shared" si="22"/>
        <v>234378.25263590823</v>
      </c>
      <c r="BI60">
        <f t="shared" si="22"/>
        <v>227346.90505683099</v>
      </c>
      <c r="BJ60">
        <f t="shared" si="22"/>
        <v>220526.49790512607</v>
      </c>
      <c r="BK60">
        <f t="shared" si="22"/>
        <v>213910.70296797229</v>
      </c>
      <c r="BL60">
        <f t="shared" si="22"/>
        <v>207493.38187893311</v>
      </c>
      <c r="BM60">
        <f t="shared" si="22"/>
        <v>201268.58042256511</v>
      </c>
      <c r="BN60">
        <f t="shared" si="22"/>
        <v>195230.52300988816</v>
      </c>
      <c r="BO60">
        <f t="shared" ref="BO60:BS60" si="23">BN60-BN60*0.03</f>
        <v>189373.60731959151</v>
      </c>
      <c r="BP60">
        <f t="shared" si="23"/>
        <v>183692.39910000376</v>
      </c>
      <c r="BQ60">
        <f t="shared" si="23"/>
        <v>178181.62712700365</v>
      </c>
      <c r="BR60">
        <f t="shared" si="23"/>
        <v>172836.17831319355</v>
      </c>
      <c r="BS60">
        <f t="shared" si="23"/>
        <v>167651.09296379774</v>
      </c>
    </row>
    <row r="61" spans="1:72" x14ac:dyDescent="0.35">
      <c r="A61" s="1" t="s">
        <v>31</v>
      </c>
      <c r="B61" s="15">
        <f t="shared" si="17"/>
        <v>2134336.5972768208</v>
      </c>
      <c r="C61">
        <f t="shared" ref="C61:BN61" si="24">B61-B61*0.03</f>
        <v>2070306.4993585162</v>
      </c>
      <c r="D61">
        <f t="shared" si="24"/>
        <v>2008197.3043777607</v>
      </c>
      <c r="E61">
        <f t="shared" si="24"/>
        <v>1947951.385246428</v>
      </c>
      <c r="F61">
        <f t="shared" si="24"/>
        <v>1889512.8436890352</v>
      </c>
      <c r="G61">
        <f t="shared" si="24"/>
        <v>1832827.4583783641</v>
      </c>
      <c r="H61">
        <f t="shared" si="24"/>
        <v>1777842.6346270132</v>
      </c>
      <c r="I61">
        <f t="shared" si="24"/>
        <v>1724507.3555882028</v>
      </c>
      <c r="J61">
        <f t="shared" si="24"/>
        <v>1672772.1349205568</v>
      </c>
      <c r="K61">
        <f t="shared" si="24"/>
        <v>1622588.97087294</v>
      </c>
      <c r="L61">
        <f t="shared" si="24"/>
        <v>1573911.3017467519</v>
      </c>
      <c r="M61">
        <f t="shared" si="24"/>
        <v>1526693.9626943492</v>
      </c>
      <c r="N61">
        <f t="shared" si="24"/>
        <v>1480893.1438135188</v>
      </c>
      <c r="O61">
        <f t="shared" si="24"/>
        <v>1436466.3494991132</v>
      </c>
      <c r="P61">
        <f t="shared" si="24"/>
        <v>1393372.3590141397</v>
      </c>
      <c r="Q61">
        <f t="shared" si="24"/>
        <v>1351571.1882437156</v>
      </c>
      <c r="R61">
        <f t="shared" si="24"/>
        <v>1311024.052596404</v>
      </c>
      <c r="S61">
        <f t="shared" si="24"/>
        <v>1271693.3310185119</v>
      </c>
      <c r="T61">
        <f t="shared" si="24"/>
        <v>1233542.5310879566</v>
      </c>
      <c r="U61">
        <f t="shared" si="24"/>
        <v>1196536.255155318</v>
      </c>
      <c r="V61">
        <f t="shared" si="24"/>
        <v>1160640.1675006584</v>
      </c>
      <c r="W61">
        <f t="shared" si="24"/>
        <v>1125820.9624756386</v>
      </c>
      <c r="X61">
        <f t="shared" si="24"/>
        <v>1092046.3336013695</v>
      </c>
      <c r="Y61">
        <f t="shared" si="24"/>
        <v>1059284.9435933284</v>
      </c>
      <c r="Z61">
        <f t="shared" si="24"/>
        <v>1027506.3952855285</v>
      </c>
      <c r="AA61">
        <f t="shared" si="24"/>
        <v>996681.2034269626</v>
      </c>
      <c r="AB61">
        <f t="shared" si="24"/>
        <v>966780.76732415368</v>
      </c>
      <c r="AC61">
        <f t="shared" si="24"/>
        <v>937777.34430442902</v>
      </c>
      <c r="AD61">
        <f t="shared" si="24"/>
        <v>909644.02397529618</v>
      </c>
      <c r="AE61">
        <f t="shared" si="24"/>
        <v>882354.70325603732</v>
      </c>
      <c r="AF61">
        <f t="shared" si="24"/>
        <v>855884.06215835619</v>
      </c>
      <c r="AG61">
        <f t="shared" si="24"/>
        <v>830207.54029360553</v>
      </c>
      <c r="AH61">
        <f t="shared" si="24"/>
        <v>805301.3140847974</v>
      </c>
      <c r="AI61">
        <f t="shared" si="24"/>
        <v>781142.27466225345</v>
      </c>
      <c r="AJ61">
        <f t="shared" si="24"/>
        <v>757708.00642238581</v>
      </c>
      <c r="AK61">
        <f t="shared" si="24"/>
        <v>734976.76622971427</v>
      </c>
      <c r="AL61">
        <f t="shared" si="24"/>
        <v>712927.46324282279</v>
      </c>
      <c r="AM61">
        <f t="shared" si="24"/>
        <v>691539.6393455381</v>
      </c>
      <c r="AN61">
        <f t="shared" si="24"/>
        <v>670793.45016517199</v>
      </c>
      <c r="AO61">
        <f t="shared" si="24"/>
        <v>650669.64666021685</v>
      </c>
      <c r="AP61">
        <f t="shared" si="24"/>
        <v>631149.55726041039</v>
      </c>
      <c r="AQ61">
        <f t="shared" si="24"/>
        <v>612215.07054259814</v>
      </c>
      <c r="AR61">
        <f t="shared" si="24"/>
        <v>593848.61842632014</v>
      </c>
      <c r="AS61">
        <f t="shared" si="24"/>
        <v>576033.1598735305</v>
      </c>
      <c r="AT61">
        <f t="shared" si="24"/>
        <v>558752.16507732461</v>
      </c>
      <c r="AU61">
        <f t="shared" si="24"/>
        <v>541989.60012500489</v>
      </c>
      <c r="AV61">
        <f t="shared" si="24"/>
        <v>525729.91212125472</v>
      </c>
      <c r="AW61">
        <f t="shared" si="24"/>
        <v>509958.01475761709</v>
      </c>
      <c r="AX61">
        <f t="shared" si="24"/>
        <v>494659.27431488858</v>
      </c>
      <c r="AY61">
        <f t="shared" si="24"/>
        <v>479819.4960854419</v>
      </c>
      <c r="AZ61">
        <f t="shared" si="24"/>
        <v>465424.91120287863</v>
      </c>
      <c r="BA61">
        <f t="shared" si="24"/>
        <v>451462.16386679228</v>
      </c>
      <c r="BB61">
        <f t="shared" si="24"/>
        <v>437918.29895078851</v>
      </c>
      <c r="BC61">
        <f t="shared" si="24"/>
        <v>424780.74998226482</v>
      </c>
      <c r="BD61">
        <f t="shared" si="24"/>
        <v>412037.32748279686</v>
      </c>
      <c r="BE61">
        <f t="shared" si="24"/>
        <v>399676.20765831292</v>
      </c>
      <c r="BF61">
        <f t="shared" si="24"/>
        <v>387685.92142856354</v>
      </c>
      <c r="BG61">
        <f t="shared" si="24"/>
        <v>376055.34378570662</v>
      </c>
      <c r="BH61">
        <f t="shared" si="24"/>
        <v>364773.6834721354</v>
      </c>
      <c r="BI61">
        <f t="shared" si="24"/>
        <v>353830.47296797135</v>
      </c>
      <c r="BJ61">
        <f t="shared" si="24"/>
        <v>343215.5587789322</v>
      </c>
      <c r="BK61">
        <f t="shared" si="24"/>
        <v>332919.09201556421</v>
      </c>
      <c r="BL61">
        <f t="shared" si="24"/>
        <v>322931.51925509726</v>
      </c>
      <c r="BM61">
        <f t="shared" si="24"/>
        <v>313243.57367744436</v>
      </c>
      <c r="BN61">
        <f t="shared" si="24"/>
        <v>303846.26646712102</v>
      </c>
      <c r="BO61">
        <f t="shared" ref="BO61:BS61" si="25">BN61-BN61*0.03</f>
        <v>294730.87847310741</v>
      </c>
      <c r="BP61">
        <f t="shared" si="25"/>
        <v>285888.95211891417</v>
      </c>
      <c r="BQ61">
        <f t="shared" si="25"/>
        <v>277312.28355534672</v>
      </c>
      <c r="BR61">
        <f t="shared" si="25"/>
        <v>268992.91504868632</v>
      </c>
      <c r="BS61">
        <f t="shared" si="25"/>
        <v>260923.12759722574</v>
      </c>
    </row>
    <row r="62" spans="1:72" x14ac:dyDescent="0.35">
      <c r="A62" s="1" t="s">
        <v>32</v>
      </c>
      <c r="B62" s="15">
        <f t="shared" si="17"/>
        <v>3870982.4293479733</v>
      </c>
      <c r="C62">
        <f t="shared" ref="C62:BN62" si="26">B62-B62*0.03</f>
        <v>3754852.9564675339</v>
      </c>
      <c r="D62">
        <f t="shared" si="26"/>
        <v>3642207.3677735077</v>
      </c>
      <c r="E62">
        <f t="shared" si="26"/>
        <v>3532941.1467403024</v>
      </c>
      <c r="F62">
        <f t="shared" si="26"/>
        <v>3426952.9123380934</v>
      </c>
      <c r="G62">
        <f t="shared" si="26"/>
        <v>3324144.3249679506</v>
      </c>
      <c r="H62">
        <f t="shared" si="26"/>
        <v>3224419.9952189121</v>
      </c>
      <c r="I62">
        <f t="shared" si="26"/>
        <v>3127687.3953623446</v>
      </c>
      <c r="J62">
        <f t="shared" si="26"/>
        <v>3033856.7735014744</v>
      </c>
      <c r="K62">
        <f t="shared" si="26"/>
        <v>2942841.07029643</v>
      </c>
      <c r="L62">
        <f t="shared" si="26"/>
        <v>2854555.8381875372</v>
      </c>
      <c r="M62">
        <f t="shared" si="26"/>
        <v>2768919.1630419111</v>
      </c>
      <c r="N62">
        <f t="shared" si="26"/>
        <v>2685851.588150654</v>
      </c>
      <c r="O62">
        <f t="shared" si="26"/>
        <v>2605276.0405061343</v>
      </c>
      <c r="P62">
        <f t="shared" si="26"/>
        <v>2527117.7592909504</v>
      </c>
      <c r="Q62">
        <f t="shared" si="26"/>
        <v>2451304.2265122221</v>
      </c>
      <c r="R62">
        <f t="shared" si="26"/>
        <v>2377765.0997168552</v>
      </c>
      <c r="S62">
        <f t="shared" si="26"/>
        <v>2306432.1467253496</v>
      </c>
      <c r="T62">
        <f t="shared" si="26"/>
        <v>2237239.182323589</v>
      </c>
      <c r="U62">
        <f t="shared" si="26"/>
        <v>2170122.0068538813</v>
      </c>
      <c r="V62">
        <f t="shared" si="26"/>
        <v>2105018.3466482647</v>
      </c>
      <c r="W62">
        <f t="shared" si="26"/>
        <v>2041867.7962488167</v>
      </c>
      <c r="X62">
        <f t="shared" si="26"/>
        <v>1980611.7623613521</v>
      </c>
      <c r="Y62">
        <f t="shared" si="26"/>
        <v>1921193.4094905115</v>
      </c>
      <c r="Z62">
        <f t="shared" si="26"/>
        <v>1863557.6072057963</v>
      </c>
      <c r="AA62">
        <f t="shared" si="26"/>
        <v>1807650.8789896225</v>
      </c>
      <c r="AB62">
        <f t="shared" si="26"/>
        <v>1753421.3526199339</v>
      </c>
      <c r="AC62">
        <f t="shared" si="26"/>
        <v>1700818.7120413359</v>
      </c>
      <c r="AD62">
        <f t="shared" si="26"/>
        <v>1649794.1506800959</v>
      </c>
      <c r="AE62">
        <f t="shared" si="26"/>
        <v>1600300.3261596931</v>
      </c>
      <c r="AF62">
        <f t="shared" si="26"/>
        <v>1552291.3163749024</v>
      </c>
      <c r="AG62">
        <f t="shared" si="26"/>
        <v>1505722.5768836553</v>
      </c>
      <c r="AH62">
        <f t="shared" si="26"/>
        <v>1460550.8995771457</v>
      </c>
      <c r="AI62">
        <f t="shared" si="26"/>
        <v>1416734.3725898312</v>
      </c>
      <c r="AJ62">
        <f t="shared" si="26"/>
        <v>1374232.3414121363</v>
      </c>
      <c r="AK62">
        <f t="shared" si="26"/>
        <v>1333005.3711697722</v>
      </c>
      <c r="AL62">
        <f t="shared" si="26"/>
        <v>1293015.2100346792</v>
      </c>
      <c r="AM62">
        <f t="shared" si="26"/>
        <v>1254224.7537336387</v>
      </c>
      <c r="AN62">
        <f t="shared" si="26"/>
        <v>1216598.0111216295</v>
      </c>
      <c r="AO62">
        <f t="shared" si="26"/>
        <v>1180100.0707879807</v>
      </c>
      <c r="AP62">
        <f t="shared" si="26"/>
        <v>1144697.0686643412</v>
      </c>
      <c r="AQ62">
        <f t="shared" si="26"/>
        <v>1110356.1566044111</v>
      </c>
      <c r="AR62">
        <f t="shared" si="26"/>
        <v>1077045.4719062787</v>
      </c>
      <c r="AS62">
        <f t="shared" si="26"/>
        <v>1044734.1077490904</v>
      </c>
      <c r="AT62">
        <f t="shared" si="26"/>
        <v>1013392.0845166177</v>
      </c>
      <c r="AU62">
        <f t="shared" si="26"/>
        <v>982990.32198111922</v>
      </c>
      <c r="AV62">
        <f t="shared" si="26"/>
        <v>953500.61232168565</v>
      </c>
      <c r="AW62">
        <f t="shared" si="26"/>
        <v>924895.59395203507</v>
      </c>
      <c r="AX62">
        <f t="shared" si="26"/>
        <v>897148.72613347403</v>
      </c>
      <c r="AY62">
        <f t="shared" si="26"/>
        <v>870234.2643494698</v>
      </c>
      <c r="AZ62">
        <f t="shared" si="26"/>
        <v>844127.23641898576</v>
      </c>
      <c r="BA62">
        <f t="shared" si="26"/>
        <v>818803.41932641622</v>
      </c>
      <c r="BB62">
        <f t="shared" si="26"/>
        <v>794239.31674662372</v>
      </c>
      <c r="BC62">
        <f t="shared" si="26"/>
        <v>770412.13724422501</v>
      </c>
      <c r="BD62">
        <f t="shared" si="26"/>
        <v>747299.77312689822</v>
      </c>
      <c r="BE62">
        <f t="shared" si="26"/>
        <v>724880.77993309125</v>
      </c>
      <c r="BF62">
        <f t="shared" si="26"/>
        <v>703134.35653509852</v>
      </c>
      <c r="BG62">
        <f t="shared" si="26"/>
        <v>682040.32583904557</v>
      </c>
      <c r="BH62">
        <f t="shared" si="26"/>
        <v>661579.11606387421</v>
      </c>
      <c r="BI62">
        <f t="shared" si="26"/>
        <v>641731.74258195795</v>
      </c>
      <c r="BJ62">
        <f t="shared" si="26"/>
        <v>622479.79030449921</v>
      </c>
      <c r="BK62">
        <f t="shared" si="26"/>
        <v>603805.3965953642</v>
      </c>
      <c r="BL62">
        <f t="shared" si="26"/>
        <v>585691.23469750327</v>
      </c>
      <c r="BM62">
        <f t="shared" si="26"/>
        <v>568120.4976565782</v>
      </c>
      <c r="BN62">
        <f t="shared" si="26"/>
        <v>551076.88272688084</v>
      </c>
      <c r="BO62">
        <f t="shared" ref="BO62:BS62" si="27">BN62-BN62*0.03</f>
        <v>534544.57624507439</v>
      </c>
      <c r="BP62">
        <f t="shared" si="27"/>
        <v>518508.23895772215</v>
      </c>
      <c r="BQ62">
        <f t="shared" si="27"/>
        <v>502952.9917889905</v>
      </c>
      <c r="BR62">
        <f t="shared" si="27"/>
        <v>487864.40203532082</v>
      </c>
      <c r="BS62">
        <f t="shared" si="27"/>
        <v>473228.46997426118</v>
      </c>
    </row>
    <row r="63" spans="1:72" x14ac:dyDescent="0.35">
      <c r="A63" s="1" t="s">
        <v>33</v>
      </c>
      <c r="B63" s="15">
        <f t="shared" si="17"/>
        <v>5524432.1447085431</v>
      </c>
      <c r="C63">
        <f t="shared" ref="C63:BN63" si="28">B63-B63*0.03</f>
        <v>5358699.1803672872</v>
      </c>
      <c r="D63">
        <f t="shared" si="28"/>
        <v>5197938.2049562689</v>
      </c>
      <c r="E63">
        <f t="shared" si="28"/>
        <v>5042000.0588075807</v>
      </c>
      <c r="F63">
        <f t="shared" si="28"/>
        <v>4890740.0570433531</v>
      </c>
      <c r="G63">
        <f t="shared" si="28"/>
        <v>4744017.8553320523</v>
      </c>
      <c r="H63">
        <f t="shared" si="28"/>
        <v>4601697.3196720909</v>
      </c>
      <c r="I63">
        <f t="shared" si="28"/>
        <v>4463646.4000819279</v>
      </c>
      <c r="J63">
        <f t="shared" si="28"/>
        <v>4329737.0080794701</v>
      </c>
      <c r="K63">
        <f t="shared" si="28"/>
        <v>4199844.8978370856</v>
      </c>
      <c r="L63">
        <f t="shared" si="28"/>
        <v>4073849.5509019732</v>
      </c>
      <c r="M63">
        <f t="shared" si="28"/>
        <v>3951634.0643749139</v>
      </c>
      <c r="N63">
        <f t="shared" si="28"/>
        <v>3833085.0424436666</v>
      </c>
      <c r="O63">
        <f t="shared" si="28"/>
        <v>3718092.4911703565</v>
      </c>
      <c r="P63">
        <f t="shared" si="28"/>
        <v>3606549.7164352457</v>
      </c>
      <c r="Q63">
        <f t="shared" si="28"/>
        <v>3498353.2249421882</v>
      </c>
      <c r="R63">
        <f t="shared" si="28"/>
        <v>3393402.6281939228</v>
      </c>
      <c r="S63">
        <f t="shared" si="28"/>
        <v>3291600.5493481052</v>
      </c>
      <c r="T63">
        <f t="shared" si="28"/>
        <v>3192852.5328676621</v>
      </c>
      <c r="U63">
        <f t="shared" si="28"/>
        <v>3097066.9568816321</v>
      </c>
      <c r="V63">
        <f t="shared" si="28"/>
        <v>3004154.948175183</v>
      </c>
      <c r="W63">
        <f t="shared" si="28"/>
        <v>2914030.2997299274</v>
      </c>
      <c r="X63">
        <f t="shared" si="28"/>
        <v>2826609.3907380295</v>
      </c>
      <c r="Y63">
        <f t="shared" si="28"/>
        <v>2741811.1090158885</v>
      </c>
      <c r="Z63">
        <f t="shared" si="28"/>
        <v>2659556.7757454119</v>
      </c>
      <c r="AA63">
        <f t="shared" si="28"/>
        <v>2579770.0724730496</v>
      </c>
      <c r="AB63">
        <f t="shared" si="28"/>
        <v>2502376.9702988584</v>
      </c>
      <c r="AC63">
        <f t="shared" si="28"/>
        <v>2427305.6611898928</v>
      </c>
      <c r="AD63">
        <f t="shared" si="28"/>
        <v>2354486.4913541959</v>
      </c>
      <c r="AE63">
        <f t="shared" si="28"/>
        <v>2283851.8966135699</v>
      </c>
      <c r="AF63">
        <f t="shared" si="28"/>
        <v>2215336.3397151628</v>
      </c>
      <c r="AG63">
        <f t="shared" si="28"/>
        <v>2148876.2495237077</v>
      </c>
      <c r="AH63">
        <f t="shared" si="28"/>
        <v>2084409.9620379964</v>
      </c>
      <c r="AI63">
        <f t="shared" si="28"/>
        <v>2021877.6631768565</v>
      </c>
      <c r="AJ63">
        <f t="shared" si="28"/>
        <v>1961221.3332815508</v>
      </c>
      <c r="AK63">
        <f t="shared" si="28"/>
        <v>1902384.6932831043</v>
      </c>
      <c r="AL63">
        <f t="shared" si="28"/>
        <v>1845313.1524846111</v>
      </c>
      <c r="AM63">
        <f t="shared" si="28"/>
        <v>1789953.7579100728</v>
      </c>
      <c r="AN63">
        <f t="shared" si="28"/>
        <v>1736255.1451727706</v>
      </c>
      <c r="AO63">
        <f t="shared" si="28"/>
        <v>1684167.4908175876</v>
      </c>
      <c r="AP63">
        <f t="shared" si="28"/>
        <v>1633642.4660930599</v>
      </c>
      <c r="AQ63">
        <f t="shared" si="28"/>
        <v>1584633.1921102682</v>
      </c>
      <c r="AR63">
        <f t="shared" si="28"/>
        <v>1537094.19634696</v>
      </c>
      <c r="AS63">
        <f t="shared" si="28"/>
        <v>1490981.3704565512</v>
      </c>
      <c r="AT63">
        <f t="shared" si="28"/>
        <v>1446251.9293428548</v>
      </c>
      <c r="AU63">
        <f t="shared" si="28"/>
        <v>1402864.3714625691</v>
      </c>
      <c r="AV63">
        <f t="shared" si="28"/>
        <v>1360778.440318692</v>
      </c>
      <c r="AW63">
        <f t="shared" si="28"/>
        <v>1319955.0871091313</v>
      </c>
      <c r="AX63">
        <f t="shared" si="28"/>
        <v>1280356.4344958575</v>
      </c>
      <c r="AY63">
        <f t="shared" si="28"/>
        <v>1241945.7414609818</v>
      </c>
      <c r="AZ63">
        <f t="shared" si="28"/>
        <v>1204687.3692171522</v>
      </c>
      <c r="BA63">
        <f t="shared" si="28"/>
        <v>1168546.7481406378</v>
      </c>
      <c r="BB63">
        <f t="shared" si="28"/>
        <v>1133490.3456964185</v>
      </c>
      <c r="BC63">
        <f t="shared" si="28"/>
        <v>1099485.6353255259</v>
      </c>
      <c r="BD63">
        <f t="shared" si="28"/>
        <v>1066501.0662657602</v>
      </c>
      <c r="BE63">
        <f t="shared" si="28"/>
        <v>1034506.0342777874</v>
      </c>
      <c r="BF63">
        <f t="shared" si="28"/>
        <v>1003470.8532494538</v>
      </c>
      <c r="BG63">
        <f t="shared" si="28"/>
        <v>973366.72765197023</v>
      </c>
      <c r="BH63">
        <f t="shared" si="28"/>
        <v>944165.72582241113</v>
      </c>
      <c r="BI63">
        <f t="shared" si="28"/>
        <v>915840.75404773885</v>
      </c>
      <c r="BJ63">
        <f t="shared" si="28"/>
        <v>888365.5314263067</v>
      </c>
      <c r="BK63">
        <f t="shared" si="28"/>
        <v>861714.56548351748</v>
      </c>
      <c r="BL63">
        <f t="shared" si="28"/>
        <v>835863.12851901201</v>
      </c>
      <c r="BM63">
        <f t="shared" si="28"/>
        <v>810787.23466344166</v>
      </c>
      <c r="BN63">
        <f t="shared" si="28"/>
        <v>786463.61762353836</v>
      </c>
      <c r="BO63">
        <f t="shared" ref="BO63:BS63" si="29">BN63-BN63*0.03</f>
        <v>762869.70909483219</v>
      </c>
      <c r="BP63">
        <f t="shared" si="29"/>
        <v>739983.61782198725</v>
      </c>
      <c r="BQ63">
        <f t="shared" si="29"/>
        <v>717784.10928732762</v>
      </c>
      <c r="BR63">
        <f t="shared" si="29"/>
        <v>696250.58600870776</v>
      </c>
      <c r="BS63">
        <f t="shared" si="29"/>
        <v>675363.06842844654</v>
      </c>
    </row>
    <row r="64" spans="1:72" x14ac:dyDescent="0.35">
      <c r="A64" s="1" t="s">
        <v>34</v>
      </c>
      <c r="B64" s="15">
        <f t="shared" si="17"/>
        <v>8800702.9033879824</v>
      </c>
      <c r="C64">
        <f t="shared" ref="C64:BN64" si="30">B64-B64*0.03</f>
        <v>8536681.8162863422</v>
      </c>
      <c r="D64">
        <f t="shared" si="30"/>
        <v>8280581.3617977519</v>
      </c>
      <c r="E64">
        <f t="shared" si="30"/>
        <v>8032163.920943819</v>
      </c>
      <c r="F64">
        <f t="shared" si="30"/>
        <v>7791199.0033155046</v>
      </c>
      <c r="G64">
        <f t="shared" si="30"/>
        <v>7557463.0332160397</v>
      </c>
      <c r="H64">
        <f t="shared" si="30"/>
        <v>7330739.1422195584</v>
      </c>
      <c r="I64">
        <f t="shared" si="30"/>
        <v>7110816.9679529713</v>
      </c>
      <c r="J64">
        <f t="shared" si="30"/>
        <v>6897492.4589143824</v>
      </c>
      <c r="K64">
        <f t="shared" si="30"/>
        <v>6690567.6851469511</v>
      </c>
      <c r="L64">
        <f t="shared" si="30"/>
        <v>6489850.6545925429</v>
      </c>
      <c r="M64">
        <f t="shared" si="30"/>
        <v>6295155.1349547664</v>
      </c>
      <c r="N64">
        <f t="shared" si="30"/>
        <v>6106300.4809061233</v>
      </c>
      <c r="O64">
        <f t="shared" si="30"/>
        <v>5923111.4664789392</v>
      </c>
      <c r="P64">
        <f t="shared" si="30"/>
        <v>5745418.1224845713</v>
      </c>
      <c r="Q64">
        <f t="shared" si="30"/>
        <v>5573055.5788100343</v>
      </c>
      <c r="R64">
        <f t="shared" si="30"/>
        <v>5405863.9114457332</v>
      </c>
      <c r="S64">
        <f t="shared" si="30"/>
        <v>5243687.9941023616</v>
      </c>
      <c r="T64">
        <f t="shared" si="30"/>
        <v>5086377.3542792909</v>
      </c>
      <c r="U64">
        <f t="shared" si="30"/>
        <v>4933786.0336509123</v>
      </c>
      <c r="V64">
        <f t="shared" si="30"/>
        <v>4785772.4526413847</v>
      </c>
      <c r="W64">
        <f t="shared" si="30"/>
        <v>4642199.2790621435</v>
      </c>
      <c r="X64">
        <f t="shared" si="30"/>
        <v>4502933.3006902793</v>
      </c>
      <c r="Y64">
        <f t="shared" si="30"/>
        <v>4367845.3016695706</v>
      </c>
      <c r="Z64">
        <f t="shared" si="30"/>
        <v>4236809.9426194839</v>
      </c>
      <c r="AA64">
        <f t="shared" si="30"/>
        <v>4109705.6443408993</v>
      </c>
      <c r="AB64">
        <f t="shared" si="30"/>
        <v>3986414.4750106721</v>
      </c>
      <c r="AC64">
        <f t="shared" si="30"/>
        <v>3866822.0407603518</v>
      </c>
      <c r="AD64">
        <f t="shared" si="30"/>
        <v>3750817.3795375414</v>
      </c>
      <c r="AE64">
        <f t="shared" si="30"/>
        <v>3638292.8581514154</v>
      </c>
      <c r="AF64">
        <f t="shared" si="30"/>
        <v>3529144.0724068731</v>
      </c>
      <c r="AG64">
        <f t="shared" si="30"/>
        <v>3423269.7502346667</v>
      </c>
      <c r="AH64">
        <f t="shared" si="30"/>
        <v>3320571.6577276266</v>
      </c>
      <c r="AI64">
        <f t="shared" si="30"/>
        <v>3220954.5079957978</v>
      </c>
      <c r="AJ64">
        <f t="shared" si="30"/>
        <v>3124325.8727559238</v>
      </c>
      <c r="AK64">
        <f t="shared" si="30"/>
        <v>3030596.0965732462</v>
      </c>
      <c r="AL64">
        <f t="shared" si="30"/>
        <v>2939678.2136760489</v>
      </c>
      <c r="AM64">
        <f t="shared" si="30"/>
        <v>2851487.8672657674</v>
      </c>
      <c r="AN64">
        <f t="shared" si="30"/>
        <v>2765943.2312477943</v>
      </c>
      <c r="AO64">
        <f t="shared" si="30"/>
        <v>2682964.9343103603</v>
      </c>
      <c r="AP64">
        <f t="shared" si="30"/>
        <v>2602475.9862810494</v>
      </c>
      <c r="AQ64">
        <f t="shared" si="30"/>
        <v>2524401.7066926179</v>
      </c>
      <c r="AR64">
        <f t="shared" si="30"/>
        <v>2448669.6554918392</v>
      </c>
      <c r="AS64">
        <f t="shared" si="30"/>
        <v>2375209.5658270838</v>
      </c>
      <c r="AT64">
        <f t="shared" si="30"/>
        <v>2303953.2788522714</v>
      </c>
      <c r="AU64">
        <f t="shared" si="30"/>
        <v>2234834.6804867033</v>
      </c>
      <c r="AV64">
        <f t="shared" si="30"/>
        <v>2167789.6400721022</v>
      </c>
      <c r="AW64">
        <f t="shared" si="30"/>
        <v>2102755.9508699393</v>
      </c>
      <c r="AX64">
        <f t="shared" si="30"/>
        <v>2039673.2723438411</v>
      </c>
      <c r="AY64">
        <f t="shared" si="30"/>
        <v>1978483.0741735259</v>
      </c>
      <c r="AZ64">
        <f t="shared" si="30"/>
        <v>1919128.5819483201</v>
      </c>
      <c r="BA64">
        <f t="shared" si="30"/>
        <v>1861554.7244898705</v>
      </c>
      <c r="BB64">
        <f t="shared" si="30"/>
        <v>1805708.0827551745</v>
      </c>
      <c r="BC64">
        <f t="shared" si="30"/>
        <v>1751536.8402725193</v>
      </c>
      <c r="BD64">
        <f t="shared" si="30"/>
        <v>1698990.7350643438</v>
      </c>
      <c r="BE64">
        <f t="shared" si="30"/>
        <v>1648021.0130124134</v>
      </c>
      <c r="BF64">
        <f t="shared" si="30"/>
        <v>1598580.382622041</v>
      </c>
      <c r="BG64">
        <f t="shared" si="30"/>
        <v>1550622.9711433798</v>
      </c>
      <c r="BH64">
        <f t="shared" si="30"/>
        <v>1504104.2820090784</v>
      </c>
      <c r="BI64">
        <f t="shared" si="30"/>
        <v>1458981.153548806</v>
      </c>
      <c r="BJ64">
        <f t="shared" si="30"/>
        <v>1415211.7189423419</v>
      </c>
      <c r="BK64">
        <f t="shared" si="30"/>
        <v>1372755.3673740716</v>
      </c>
      <c r="BL64">
        <f t="shared" si="30"/>
        <v>1331572.7063528495</v>
      </c>
      <c r="BM64">
        <f t="shared" si="30"/>
        <v>1291625.525162264</v>
      </c>
      <c r="BN64">
        <f t="shared" si="30"/>
        <v>1252876.7594073962</v>
      </c>
      <c r="BO64">
        <f t="shared" ref="BO64:BS64" si="31">BN64-BN64*0.03</f>
        <v>1215290.4566251743</v>
      </c>
      <c r="BP64">
        <f t="shared" si="31"/>
        <v>1178831.742926419</v>
      </c>
      <c r="BQ64">
        <f t="shared" si="31"/>
        <v>1143466.7906386266</v>
      </c>
      <c r="BR64">
        <f t="shared" si="31"/>
        <v>1109162.7869194678</v>
      </c>
      <c r="BS64">
        <f t="shared" si="31"/>
        <v>1075887.9033118838</v>
      </c>
    </row>
    <row r="65" spans="1:71" x14ac:dyDescent="0.35">
      <c r="A65" s="1" t="s">
        <v>35</v>
      </c>
      <c r="B65" s="15">
        <f t="shared" si="17"/>
        <v>9644943.2670679167</v>
      </c>
      <c r="C65">
        <f t="shared" ref="C65:BN65" si="32">B65-B65*0.03</f>
        <v>9355594.9690558799</v>
      </c>
      <c r="D65">
        <f t="shared" si="32"/>
        <v>9074927.1199842039</v>
      </c>
      <c r="E65">
        <f t="shared" si="32"/>
        <v>8802679.3063846771</v>
      </c>
      <c r="F65">
        <f t="shared" si="32"/>
        <v>8538598.9271931369</v>
      </c>
      <c r="G65">
        <f t="shared" si="32"/>
        <v>8282440.9593773428</v>
      </c>
      <c r="H65">
        <f t="shared" si="32"/>
        <v>8033967.7305960227</v>
      </c>
      <c r="I65">
        <f t="shared" si="32"/>
        <v>7792948.6986781424</v>
      </c>
      <c r="J65">
        <f t="shared" si="32"/>
        <v>7559160.237717798</v>
      </c>
      <c r="K65">
        <f t="shared" si="32"/>
        <v>7332385.4305862645</v>
      </c>
      <c r="L65">
        <f t="shared" si="32"/>
        <v>7112413.8676686762</v>
      </c>
      <c r="M65">
        <f t="shared" si="32"/>
        <v>6899041.4516386157</v>
      </c>
      <c r="N65">
        <f t="shared" si="32"/>
        <v>6692070.2080894569</v>
      </c>
      <c r="O65">
        <f t="shared" si="32"/>
        <v>6491308.1018467732</v>
      </c>
      <c r="P65">
        <f t="shared" si="32"/>
        <v>6296568.8587913699</v>
      </c>
      <c r="Q65">
        <f t="shared" si="32"/>
        <v>6107671.7930276291</v>
      </c>
      <c r="R65">
        <f t="shared" si="32"/>
        <v>5924441.6392368004</v>
      </c>
      <c r="S65">
        <f t="shared" si="32"/>
        <v>5746708.3900596965</v>
      </c>
      <c r="T65">
        <f t="shared" si="32"/>
        <v>5574307.1383579057</v>
      </c>
      <c r="U65">
        <f t="shared" si="32"/>
        <v>5407077.9242071686</v>
      </c>
      <c r="V65">
        <f t="shared" si="32"/>
        <v>5244865.5864809537</v>
      </c>
      <c r="W65">
        <f t="shared" si="32"/>
        <v>5087519.6188865248</v>
      </c>
      <c r="X65">
        <f t="shared" si="32"/>
        <v>4934894.0303199291</v>
      </c>
      <c r="Y65">
        <f t="shared" si="32"/>
        <v>4786847.2094103312</v>
      </c>
      <c r="Z65">
        <f t="shared" si="32"/>
        <v>4643241.7931280211</v>
      </c>
      <c r="AA65">
        <f t="shared" si="32"/>
        <v>4503944.5393341808</v>
      </c>
      <c r="AB65">
        <f t="shared" si="32"/>
        <v>4368826.2031541551</v>
      </c>
      <c r="AC65">
        <f t="shared" si="32"/>
        <v>4237761.4170595305</v>
      </c>
      <c r="AD65">
        <f t="shared" si="32"/>
        <v>4110628.5745477444</v>
      </c>
      <c r="AE65">
        <f t="shared" si="32"/>
        <v>3987309.717311312</v>
      </c>
      <c r="AF65">
        <f t="shared" si="32"/>
        <v>3867690.4257919728</v>
      </c>
      <c r="AG65">
        <f t="shared" si="32"/>
        <v>3751659.7130182134</v>
      </c>
      <c r="AH65">
        <f t="shared" si="32"/>
        <v>3639109.9216276668</v>
      </c>
      <c r="AI65">
        <f t="shared" si="32"/>
        <v>3529936.6239788369</v>
      </c>
      <c r="AJ65">
        <f t="shared" si="32"/>
        <v>3424038.525259472</v>
      </c>
      <c r="AK65">
        <f t="shared" si="32"/>
        <v>3321317.3695016876</v>
      </c>
      <c r="AL65">
        <f t="shared" si="32"/>
        <v>3221677.8484166372</v>
      </c>
      <c r="AM65">
        <f t="shared" si="32"/>
        <v>3125027.5129641378</v>
      </c>
      <c r="AN65">
        <f t="shared" si="32"/>
        <v>3031276.6875752136</v>
      </c>
      <c r="AO65">
        <f t="shared" si="32"/>
        <v>2940338.3869479573</v>
      </c>
      <c r="AP65">
        <f t="shared" si="32"/>
        <v>2852128.2353395186</v>
      </c>
      <c r="AQ65">
        <f t="shared" si="32"/>
        <v>2766564.3882793332</v>
      </c>
      <c r="AR65">
        <f t="shared" si="32"/>
        <v>2683567.4566309531</v>
      </c>
      <c r="AS65">
        <f t="shared" si="32"/>
        <v>2603060.4329320244</v>
      </c>
      <c r="AT65">
        <f t="shared" si="32"/>
        <v>2524968.6199440635</v>
      </c>
      <c r="AU65">
        <f t="shared" si="32"/>
        <v>2449219.5613457416</v>
      </c>
      <c r="AV65">
        <f t="shared" si="32"/>
        <v>2375742.9745053696</v>
      </c>
      <c r="AW65">
        <f t="shared" si="32"/>
        <v>2304470.6852702084</v>
      </c>
      <c r="AX65">
        <f t="shared" si="32"/>
        <v>2235336.5647121021</v>
      </c>
      <c r="AY65">
        <f t="shared" si="32"/>
        <v>2168276.467770739</v>
      </c>
      <c r="AZ65">
        <f t="shared" si="32"/>
        <v>2103228.1737376167</v>
      </c>
      <c r="BA65">
        <f t="shared" si="32"/>
        <v>2040131.3285254883</v>
      </c>
      <c r="BB65">
        <f t="shared" si="32"/>
        <v>1978927.3886697236</v>
      </c>
      <c r="BC65">
        <f t="shared" si="32"/>
        <v>1919559.567009632</v>
      </c>
      <c r="BD65">
        <f t="shared" si="32"/>
        <v>1861972.779999343</v>
      </c>
      <c r="BE65">
        <f t="shared" si="32"/>
        <v>1806113.5965993628</v>
      </c>
      <c r="BF65">
        <f t="shared" si="32"/>
        <v>1751930.1887013819</v>
      </c>
      <c r="BG65">
        <f t="shared" si="32"/>
        <v>1699372.2830403405</v>
      </c>
      <c r="BH65">
        <f t="shared" si="32"/>
        <v>1648391.1145491302</v>
      </c>
      <c r="BI65">
        <f t="shared" si="32"/>
        <v>1598939.3811126563</v>
      </c>
      <c r="BJ65">
        <f t="shared" si="32"/>
        <v>1550971.1996792767</v>
      </c>
      <c r="BK65">
        <f t="shared" si="32"/>
        <v>1504442.0636888985</v>
      </c>
      <c r="BL65">
        <f t="shared" si="32"/>
        <v>1459308.8017782315</v>
      </c>
      <c r="BM65">
        <f t="shared" si="32"/>
        <v>1415529.5377248845</v>
      </c>
      <c r="BN65">
        <f t="shared" si="32"/>
        <v>1373063.651593138</v>
      </c>
      <c r="BO65">
        <f t="shared" ref="BO65:BS65" si="33">BN65-BN65*0.03</f>
        <v>1331871.7420453439</v>
      </c>
      <c r="BP65">
        <f t="shared" si="33"/>
        <v>1291915.5897839835</v>
      </c>
      <c r="BQ65">
        <f t="shared" si="33"/>
        <v>1253158.122090464</v>
      </c>
      <c r="BR65">
        <f t="shared" si="33"/>
        <v>1215563.37842775</v>
      </c>
      <c r="BS65">
        <f t="shared" si="33"/>
        <v>1179096.4770749174</v>
      </c>
    </row>
    <row r="66" spans="1:71" x14ac:dyDescent="0.35">
      <c r="A66" s="1" t="s">
        <v>36</v>
      </c>
      <c r="B66" s="15">
        <f t="shared" si="17"/>
        <v>11860466.090699226</v>
      </c>
      <c r="C66">
        <f t="shared" ref="C66:BN66" si="34">B66-B66*0.03</f>
        <v>11504652.107978249</v>
      </c>
      <c r="D66">
        <f t="shared" si="34"/>
        <v>11159512.544738902</v>
      </c>
      <c r="E66">
        <f t="shared" si="34"/>
        <v>10824727.168396736</v>
      </c>
      <c r="F66">
        <f t="shared" si="34"/>
        <v>10499985.353344833</v>
      </c>
      <c r="G66">
        <f t="shared" si="34"/>
        <v>10184985.792744489</v>
      </c>
      <c r="H66">
        <f t="shared" si="34"/>
        <v>9879436.2189621553</v>
      </c>
      <c r="I66">
        <f t="shared" si="34"/>
        <v>9583053.1323932912</v>
      </c>
      <c r="J66">
        <f t="shared" si="34"/>
        <v>9295561.538421493</v>
      </c>
      <c r="K66">
        <f t="shared" si="34"/>
        <v>9016694.6922688484</v>
      </c>
      <c r="L66">
        <f t="shared" si="34"/>
        <v>8746193.8515007831</v>
      </c>
      <c r="M66">
        <f t="shared" si="34"/>
        <v>8483808.0359557588</v>
      </c>
      <c r="N66">
        <f t="shared" si="34"/>
        <v>8229293.7948770858</v>
      </c>
      <c r="O66">
        <f t="shared" si="34"/>
        <v>7982414.9810307734</v>
      </c>
      <c r="P66">
        <f t="shared" si="34"/>
        <v>7742942.5315998504</v>
      </c>
      <c r="Q66">
        <f t="shared" si="34"/>
        <v>7510654.2556518549</v>
      </c>
      <c r="R66">
        <f t="shared" si="34"/>
        <v>7285334.6279822988</v>
      </c>
      <c r="S66">
        <f t="shared" si="34"/>
        <v>7066774.5891428301</v>
      </c>
      <c r="T66">
        <f t="shared" si="34"/>
        <v>6854771.3514685454</v>
      </c>
      <c r="U66">
        <f t="shared" si="34"/>
        <v>6649128.2109244894</v>
      </c>
      <c r="V66">
        <f t="shared" si="34"/>
        <v>6449654.3645967543</v>
      </c>
      <c r="W66">
        <f t="shared" si="34"/>
        <v>6256164.7336588521</v>
      </c>
      <c r="X66">
        <f t="shared" si="34"/>
        <v>6068479.7916490864</v>
      </c>
      <c r="Y66">
        <f t="shared" si="34"/>
        <v>5886425.3978996137</v>
      </c>
      <c r="Z66">
        <f t="shared" si="34"/>
        <v>5709832.635962625</v>
      </c>
      <c r="AA66">
        <f t="shared" si="34"/>
        <v>5538537.6568837464</v>
      </c>
      <c r="AB66">
        <f t="shared" si="34"/>
        <v>5372381.5271772342</v>
      </c>
      <c r="AC66">
        <f t="shared" si="34"/>
        <v>5211210.0813619168</v>
      </c>
      <c r="AD66">
        <f t="shared" si="34"/>
        <v>5054873.7789210593</v>
      </c>
      <c r="AE66">
        <f t="shared" si="34"/>
        <v>4903227.5655534277</v>
      </c>
      <c r="AF66">
        <f t="shared" si="34"/>
        <v>4756130.7385868244</v>
      </c>
      <c r="AG66">
        <f t="shared" si="34"/>
        <v>4613446.8164292201</v>
      </c>
      <c r="AH66">
        <f t="shared" si="34"/>
        <v>4475043.4119363436</v>
      </c>
      <c r="AI66">
        <f t="shared" si="34"/>
        <v>4340792.1095782537</v>
      </c>
      <c r="AJ66">
        <f t="shared" si="34"/>
        <v>4210568.346290906</v>
      </c>
      <c r="AK66">
        <f t="shared" si="34"/>
        <v>4084251.2959021786</v>
      </c>
      <c r="AL66">
        <f t="shared" si="34"/>
        <v>3961723.7570251133</v>
      </c>
      <c r="AM66">
        <f t="shared" si="34"/>
        <v>3842872.0443143598</v>
      </c>
      <c r="AN66">
        <f t="shared" si="34"/>
        <v>3727585.8829849288</v>
      </c>
      <c r="AO66">
        <f t="shared" si="34"/>
        <v>3615758.3064953811</v>
      </c>
      <c r="AP66">
        <f t="shared" si="34"/>
        <v>3507285.5573005197</v>
      </c>
      <c r="AQ66">
        <f t="shared" si="34"/>
        <v>3402066.9905815041</v>
      </c>
      <c r="AR66">
        <f t="shared" si="34"/>
        <v>3300004.9808640592</v>
      </c>
      <c r="AS66">
        <f t="shared" si="34"/>
        <v>3201004.8314381372</v>
      </c>
      <c r="AT66">
        <f t="shared" si="34"/>
        <v>3104974.686494993</v>
      </c>
      <c r="AU66">
        <f t="shared" si="34"/>
        <v>3011825.4459001431</v>
      </c>
      <c r="AV66">
        <f t="shared" si="34"/>
        <v>2921470.6825231388</v>
      </c>
      <c r="AW66">
        <f t="shared" si="34"/>
        <v>2833826.5620474447</v>
      </c>
      <c r="AX66">
        <f t="shared" si="34"/>
        <v>2748811.7651860216</v>
      </c>
      <c r="AY66">
        <f t="shared" si="34"/>
        <v>2666347.4122304409</v>
      </c>
      <c r="AZ66">
        <f t="shared" si="34"/>
        <v>2586356.9898635275</v>
      </c>
      <c r="BA66">
        <f t="shared" si="34"/>
        <v>2508766.2801676216</v>
      </c>
      <c r="BB66">
        <f t="shared" si="34"/>
        <v>2433503.2917625927</v>
      </c>
      <c r="BC66">
        <f t="shared" si="34"/>
        <v>2360498.1930097151</v>
      </c>
      <c r="BD66">
        <f t="shared" si="34"/>
        <v>2289683.2472194238</v>
      </c>
      <c r="BE66">
        <f t="shared" si="34"/>
        <v>2220992.7498028409</v>
      </c>
      <c r="BF66">
        <f t="shared" si="34"/>
        <v>2154362.9673087555</v>
      </c>
      <c r="BG66">
        <f t="shared" si="34"/>
        <v>2089732.0782894928</v>
      </c>
      <c r="BH66">
        <f t="shared" si="34"/>
        <v>2027040.1159408081</v>
      </c>
      <c r="BI66">
        <f t="shared" si="34"/>
        <v>1966228.9124625837</v>
      </c>
      <c r="BJ66">
        <f t="shared" si="34"/>
        <v>1907242.0450887063</v>
      </c>
      <c r="BK66">
        <f t="shared" si="34"/>
        <v>1850024.783736045</v>
      </c>
      <c r="BL66">
        <f t="shared" si="34"/>
        <v>1794524.0402239636</v>
      </c>
      <c r="BM66">
        <f t="shared" si="34"/>
        <v>1740688.3190172447</v>
      </c>
      <c r="BN66">
        <f t="shared" si="34"/>
        <v>1688467.6694467275</v>
      </c>
      <c r="BO66">
        <f t="shared" ref="BO66:BS66" si="35">BN66-BN66*0.03</f>
        <v>1637813.6393633257</v>
      </c>
      <c r="BP66">
        <f t="shared" si="35"/>
        <v>1588679.2301824258</v>
      </c>
      <c r="BQ66">
        <f t="shared" si="35"/>
        <v>1541018.8532769531</v>
      </c>
      <c r="BR66">
        <f t="shared" si="35"/>
        <v>1494788.2876786445</v>
      </c>
      <c r="BS66">
        <f t="shared" si="35"/>
        <v>1449944.6390482851</v>
      </c>
    </row>
    <row r="67" spans="1:71" x14ac:dyDescent="0.35">
      <c r="A67" s="1" t="s">
        <v>37</v>
      </c>
      <c r="B67" s="15">
        <f t="shared" si="17"/>
        <v>10937444.071291842</v>
      </c>
      <c r="C67">
        <f t="shared" ref="C67:BN67" si="36">B67-B67*0.03</f>
        <v>10609320.749153087</v>
      </c>
      <c r="D67">
        <f t="shared" si="36"/>
        <v>10291041.126678495</v>
      </c>
      <c r="E67">
        <f t="shared" si="36"/>
        <v>9982309.8928781394</v>
      </c>
      <c r="F67">
        <f t="shared" si="36"/>
        <v>9682840.5960917957</v>
      </c>
      <c r="G67">
        <f t="shared" si="36"/>
        <v>9392355.3782090414</v>
      </c>
      <c r="H67">
        <f t="shared" si="36"/>
        <v>9110584.7168627698</v>
      </c>
      <c r="I67">
        <f t="shared" si="36"/>
        <v>8837267.1753568873</v>
      </c>
      <c r="J67">
        <f t="shared" si="36"/>
        <v>8572149.1600961816</v>
      </c>
      <c r="K67">
        <f t="shared" si="36"/>
        <v>8314984.6852932964</v>
      </c>
      <c r="L67">
        <f t="shared" si="36"/>
        <v>8065535.1447344972</v>
      </c>
      <c r="M67">
        <f t="shared" si="36"/>
        <v>7823569.090392462</v>
      </c>
      <c r="N67">
        <f t="shared" si="36"/>
        <v>7588862.0176806878</v>
      </c>
      <c r="O67">
        <f t="shared" si="36"/>
        <v>7361196.1571502676</v>
      </c>
      <c r="P67">
        <f t="shared" si="36"/>
        <v>7140360.2724357592</v>
      </c>
      <c r="Q67">
        <f t="shared" si="36"/>
        <v>6926149.4642626867</v>
      </c>
      <c r="R67">
        <f t="shared" si="36"/>
        <v>6718364.9803348063</v>
      </c>
      <c r="S67">
        <f t="shared" si="36"/>
        <v>6516814.0309247617</v>
      </c>
      <c r="T67">
        <f t="shared" si="36"/>
        <v>6321309.6099970192</v>
      </c>
      <c r="U67">
        <f t="shared" si="36"/>
        <v>6131670.3216971084</v>
      </c>
      <c r="V67">
        <f t="shared" si="36"/>
        <v>5947720.2120461948</v>
      </c>
      <c r="W67">
        <f t="shared" si="36"/>
        <v>5769288.6056848094</v>
      </c>
      <c r="X67">
        <f t="shared" si="36"/>
        <v>5596209.9475142648</v>
      </c>
      <c r="Y67">
        <f t="shared" si="36"/>
        <v>5428323.6490888372</v>
      </c>
      <c r="Z67">
        <f t="shared" si="36"/>
        <v>5265473.9396161716</v>
      </c>
      <c r="AA67">
        <f t="shared" si="36"/>
        <v>5107509.7214276865</v>
      </c>
      <c r="AB67">
        <f t="shared" si="36"/>
        <v>4954284.4297848558</v>
      </c>
      <c r="AC67">
        <f t="shared" si="36"/>
        <v>4805655.8968913099</v>
      </c>
      <c r="AD67">
        <f t="shared" si="36"/>
        <v>4661486.2199845705</v>
      </c>
      <c r="AE67">
        <f t="shared" si="36"/>
        <v>4521641.6333850333</v>
      </c>
      <c r="AF67">
        <f t="shared" si="36"/>
        <v>4385992.3843834819</v>
      </c>
      <c r="AG67">
        <f t="shared" si="36"/>
        <v>4254412.6128519773</v>
      </c>
      <c r="AH67">
        <f t="shared" si="36"/>
        <v>4126780.2344664182</v>
      </c>
      <c r="AI67">
        <f t="shared" si="36"/>
        <v>4002976.8274324257</v>
      </c>
      <c r="AJ67">
        <f t="shared" si="36"/>
        <v>3882887.5226094527</v>
      </c>
      <c r="AK67">
        <f t="shared" si="36"/>
        <v>3766400.8969311691</v>
      </c>
      <c r="AL67">
        <f t="shared" si="36"/>
        <v>3653408.8700232338</v>
      </c>
      <c r="AM67">
        <f t="shared" si="36"/>
        <v>3543806.6039225366</v>
      </c>
      <c r="AN67">
        <f t="shared" si="36"/>
        <v>3437492.4058048604</v>
      </c>
      <c r="AO67">
        <f t="shared" si="36"/>
        <v>3334367.6336307144</v>
      </c>
      <c r="AP67">
        <f t="shared" si="36"/>
        <v>3234336.6046217931</v>
      </c>
      <c r="AQ67">
        <f t="shared" si="36"/>
        <v>3137306.5064831395</v>
      </c>
      <c r="AR67">
        <f t="shared" si="36"/>
        <v>3043187.3112886455</v>
      </c>
      <c r="AS67">
        <f t="shared" si="36"/>
        <v>2951891.6919499859</v>
      </c>
      <c r="AT67">
        <f t="shared" si="36"/>
        <v>2863334.9411914865</v>
      </c>
      <c r="AU67">
        <f t="shared" si="36"/>
        <v>2777434.8929557418</v>
      </c>
      <c r="AV67">
        <f t="shared" si="36"/>
        <v>2694111.8461670694</v>
      </c>
      <c r="AW67">
        <f t="shared" si="36"/>
        <v>2613288.4907820574</v>
      </c>
      <c r="AX67">
        <f t="shared" si="36"/>
        <v>2534889.8360585957</v>
      </c>
      <c r="AY67">
        <f t="shared" si="36"/>
        <v>2458843.1409768378</v>
      </c>
      <c r="AZ67">
        <f t="shared" si="36"/>
        <v>2385077.8467475325</v>
      </c>
      <c r="BA67">
        <f t="shared" si="36"/>
        <v>2313525.5113451066</v>
      </c>
      <c r="BB67">
        <f t="shared" si="36"/>
        <v>2244119.7460047533</v>
      </c>
      <c r="BC67">
        <f t="shared" si="36"/>
        <v>2176796.1536246105</v>
      </c>
      <c r="BD67">
        <f t="shared" si="36"/>
        <v>2111492.2690158724</v>
      </c>
      <c r="BE67">
        <f t="shared" si="36"/>
        <v>2048147.5009453963</v>
      </c>
      <c r="BF67">
        <f t="shared" si="36"/>
        <v>1986703.0759170344</v>
      </c>
      <c r="BG67">
        <f t="shared" si="36"/>
        <v>1927101.9836395234</v>
      </c>
      <c r="BH67">
        <f t="shared" si="36"/>
        <v>1869288.9241303378</v>
      </c>
      <c r="BI67">
        <f t="shared" si="36"/>
        <v>1813210.2564064276</v>
      </c>
      <c r="BJ67">
        <f t="shared" si="36"/>
        <v>1758813.9487142349</v>
      </c>
      <c r="BK67">
        <f t="shared" si="36"/>
        <v>1706049.5302528078</v>
      </c>
      <c r="BL67">
        <f t="shared" si="36"/>
        <v>1654868.0443452236</v>
      </c>
      <c r="BM67">
        <f t="shared" si="36"/>
        <v>1605222.003014867</v>
      </c>
      <c r="BN67">
        <f t="shared" si="36"/>
        <v>1557065.342924421</v>
      </c>
      <c r="BO67">
        <f t="shared" ref="BO67:BS67" si="37">BN67-BN67*0.03</f>
        <v>1510353.3826366884</v>
      </c>
      <c r="BP67">
        <f t="shared" si="37"/>
        <v>1465042.7811575877</v>
      </c>
      <c r="BQ67">
        <f t="shared" si="37"/>
        <v>1421091.49772286</v>
      </c>
      <c r="BR67">
        <f t="shared" si="37"/>
        <v>1378458.7527911742</v>
      </c>
      <c r="BS67">
        <f t="shared" si="37"/>
        <v>1337104.9902074391</v>
      </c>
    </row>
    <row r="68" spans="1:71" x14ac:dyDescent="0.35">
      <c r="A68" s="1" t="s">
        <v>38</v>
      </c>
      <c r="B68" s="15">
        <f t="shared" si="17"/>
        <v>10903167.157003744</v>
      </c>
      <c r="C68">
        <f t="shared" ref="C68:BN68" si="38">B68-B68*0.03</f>
        <v>10576072.142293632</v>
      </c>
      <c r="D68">
        <f t="shared" si="38"/>
        <v>10258789.978024824</v>
      </c>
      <c r="E68">
        <f t="shared" si="38"/>
        <v>9951026.2786840796</v>
      </c>
      <c r="F68">
        <f t="shared" si="38"/>
        <v>9652495.4903235566</v>
      </c>
      <c r="G68">
        <f t="shared" si="38"/>
        <v>9362920.6256138496</v>
      </c>
      <c r="H68">
        <f t="shared" si="38"/>
        <v>9082033.0068454333</v>
      </c>
      <c r="I68">
        <f t="shared" si="38"/>
        <v>8809572.0166400708</v>
      </c>
      <c r="J68">
        <f t="shared" si="38"/>
        <v>8545284.8561408687</v>
      </c>
      <c r="K68">
        <f t="shared" si="38"/>
        <v>8288926.3104566429</v>
      </c>
      <c r="L68">
        <f t="shared" si="38"/>
        <v>8040258.5211429438</v>
      </c>
      <c r="M68">
        <f t="shared" si="38"/>
        <v>7799050.7655086555</v>
      </c>
      <c r="N68">
        <f t="shared" si="38"/>
        <v>7565079.2425433956</v>
      </c>
      <c r="O68">
        <f t="shared" si="38"/>
        <v>7338126.8652670942</v>
      </c>
      <c r="P68">
        <f t="shared" si="38"/>
        <v>7117983.0593090812</v>
      </c>
      <c r="Q68">
        <f t="shared" si="38"/>
        <v>6904443.5675298087</v>
      </c>
      <c r="R68">
        <f t="shared" si="38"/>
        <v>6697310.2605039142</v>
      </c>
      <c r="S68">
        <f t="shared" si="38"/>
        <v>6496390.9526887964</v>
      </c>
      <c r="T68">
        <f t="shared" si="38"/>
        <v>6301499.2241081325</v>
      </c>
      <c r="U68">
        <f t="shared" si="38"/>
        <v>6112454.2473848881</v>
      </c>
      <c r="V68">
        <f t="shared" si="38"/>
        <v>5929080.6199633414</v>
      </c>
      <c r="W68">
        <f t="shared" si="38"/>
        <v>5751208.2013644408</v>
      </c>
      <c r="X68">
        <f t="shared" si="38"/>
        <v>5578671.955323508</v>
      </c>
      <c r="Y68">
        <f t="shared" si="38"/>
        <v>5411311.796663803</v>
      </c>
      <c r="Z68">
        <f t="shared" si="38"/>
        <v>5248972.4427638892</v>
      </c>
      <c r="AA68">
        <f t="shared" si="38"/>
        <v>5091503.2694809726</v>
      </c>
      <c r="AB68">
        <f t="shared" si="38"/>
        <v>4938758.1713965433</v>
      </c>
      <c r="AC68">
        <f t="shared" si="38"/>
        <v>4790595.4262546469</v>
      </c>
      <c r="AD68">
        <f t="shared" si="38"/>
        <v>4646877.5634670071</v>
      </c>
      <c r="AE68">
        <f t="shared" si="38"/>
        <v>4507471.2365629971</v>
      </c>
      <c r="AF68">
        <f t="shared" si="38"/>
        <v>4372247.0994661069</v>
      </c>
      <c r="AG68">
        <f t="shared" si="38"/>
        <v>4241079.686482124</v>
      </c>
      <c r="AH68">
        <f t="shared" si="38"/>
        <v>4113847.2958876602</v>
      </c>
      <c r="AI68">
        <f t="shared" si="38"/>
        <v>3990431.8770110304</v>
      </c>
      <c r="AJ68">
        <f t="shared" si="38"/>
        <v>3870718.9207006996</v>
      </c>
      <c r="AK68">
        <f t="shared" si="38"/>
        <v>3754597.3530796785</v>
      </c>
      <c r="AL68">
        <f t="shared" si="38"/>
        <v>3641959.432487288</v>
      </c>
      <c r="AM68">
        <f t="shared" si="38"/>
        <v>3532700.6495126695</v>
      </c>
      <c r="AN68">
        <f t="shared" si="38"/>
        <v>3426719.6300272895</v>
      </c>
      <c r="AO68">
        <f t="shared" si="38"/>
        <v>3323918.041126471</v>
      </c>
      <c r="AP68">
        <f t="shared" si="38"/>
        <v>3224200.4998926767</v>
      </c>
      <c r="AQ68">
        <f t="shared" si="38"/>
        <v>3127474.4848958966</v>
      </c>
      <c r="AR68">
        <f t="shared" si="38"/>
        <v>3033650.2503490197</v>
      </c>
      <c r="AS68">
        <f t="shared" si="38"/>
        <v>2942640.742838549</v>
      </c>
      <c r="AT68">
        <f t="shared" si="38"/>
        <v>2854361.5205533924</v>
      </c>
      <c r="AU68">
        <f t="shared" si="38"/>
        <v>2768730.6749367905</v>
      </c>
      <c r="AV68">
        <f t="shared" si="38"/>
        <v>2685668.7546886867</v>
      </c>
      <c r="AW68">
        <f t="shared" si="38"/>
        <v>2605098.6920480262</v>
      </c>
      <c r="AX68">
        <f t="shared" si="38"/>
        <v>2526945.7312865853</v>
      </c>
      <c r="AY68">
        <f t="shared" si="38"/>
        <v>2451137.3593479879</v>
      </c>
      <c r="AZ68">
        <f t="shared" si="38"/>
        <v>2377603.2385675483</v>
      </c>
      <c r="BA68">
        <f t="shared" si="38"/>
        <v>2306275.1414105217</v>
      </c>
      <c r="BB68">
        <f t="shared" si="38"/>
        <v>2237086.8871682063</v>
      </c>
      <c r="BC68">
        <f t="shared" si="38"/>
        <v>2169974.2805531602</v>
      </c>
      <c r="BD68">
        <f t="shared" si="38"/>
        <v>2104875.0521365656</v>
      </c>
      <c r="BE68">
        <f t="shared" si="38"/>
        <v>2041728.8005724687</v>
      </c>
      <c r="BF68">
        <f t="shared" si="38"/>
        <v>1980476.9365552946</v>
      </c>
      <c r="BG68">
        <f t="shared" si="38"/>
        <v>1921062.6284586356</v>
      </c>
      <c r="BH68">
        <f t="shared" si="38"/>
        <v>1863430.7496048766</v>
      </c>
      <c r="BI68">
        <f t="shared" si="38"/>
        <v>1807527.8271167304</v>
      </c>
      <c r="BJ68">
        <f t="shared" si="38"/>
        <v>1753301.9923032285</v>
      </c>
      <c r="BK68">
        <f t="shared" si="38"/>
        <v>1700702.9325341317</v>
      </c>
      <c r="BL68">
        <f t="shared" si="38"/>
        <v>1649681.8445581077</v>
      </c>
      <c r="BM68">
        <f t="shared" si="38"/>
        <v>1600191.3892213644</v>
      </c>
      <c r="BN68">
        <f t="shared" si="38"/>
        <v>1552185.6475447235</v>
      </c>
      <c r="BO68">
        <f t="shared" ref="BO68:BS68" si="39">BN68-BN68*0.03</f>
        <v>1505620.0781183818</v>
      </c>
      <c r="BP68">
        <f t="shared" si="39"/>
        <v>1460451.4757748304</v>
      </c>
      <c r="BQ68">
        <f t="shared" si="39"/>
        <v>1416637.9315015855</v>
      </c>
      <c r="BR68">
        <f t="shared" si="39"/>
        <v>1374138.7935565379</v>
      </c>
      <c r="BS68">
        <f t="shared" si="39"/>
        <v>1332914.6297498418</v>
      </c>
    </row>
    <row r="69" spans="1:71" x14ac:dyDescent="0.35">
      <c r="A69" s="1" t="s">
        <v>39</v>
      </c>
      <c r="B69" s="15">
        <f t="shared" si="17"/>
        <v>8146355.1342891753</v>
      </c>
      <c r="C69">
        <f t="shared" ref="C69:BN69" si="40">B69-B69*0.03</f>
        <v>7901964.4802604998</v>
      </c>
      <c r="D69">
        <f t="shared" si="40"/>
        <v>7664905.5458526844</v>
      </c>
      <c r="E69">
        <f t="shared" si="40"/>
        <v>7434958.3794771042</v>
      </c>
      <c r="F69">
        <f t="shared" si="40"/>
        <v>7211909.628092791</v>
      </c>
      <c r="G69">
        <f t="shared" si="40"/>
        <v>6995552.3392500076</v>
      </c>
      <c r="H69">
        <f t="shared" si="40"/>
        <v>6785685.7690725075</v>
      </c>
      <c r="I69">
        <f t="shared" si="40"/>
        <v>6582115.196000332</v>
      </c>
      <c r="J69">
        <f t="shared" si="40"/>
        <v>6384651.7401203224</v>
      </c>
      <c r="K69">
        <f t="shared" si="40"/>
        <v>6193112.1879167128</v>
      </c>
      <c r="L69">
        <f t="shared" si="40"/>
        <v>6007318.8222792111</v>
      </c>
      <c r="M69">
        <f t="shared" si="40"/>
        <v>5827099.2576108351</v>
      </c>
      <c r="N69">
        <f t="shared" si="40"/>
        <v>5652286.2798825102</v>
      </c>
      <c r="O69">
        <f t="shared" si="40"/>
        <v>5482717.6914860345</v>
      </c>
      <c r="P69">
        <f t="shared" si="40"/>
        <v>5318236.160741454</v>
      </c>
      <c r="Q69">
        <f t="shared" si="40"/>
        <v>5158689.07591921</v>
      </c>
      <c r="R69">
        <f t="shared" si="40"/>
        <v>5003928.4036416337</v>
      </c>
      <c r="S69">
        <f t="shared" si="40"/>
        <v>4853810.5515323849</v>
      </c>
      <c r="T69">
        <f t="shared" si="40"/>
        <v>4708196.2349864133</v>
      </c>
      <c r="U69">
        <f t="shared" si="40"/>
        <v>4566950.3479368212</v>
      </c>
      <c r="V69">
        <f t="shared" si="40"/>
        <v>4429941.837498717</v>
      </c>
      <c r="W69">
        <f t="shared" si="40"/>
        <v>4297043.5823737551</v>
      </c>
      <c r="X69">
        <f t="shared" si="40"/>
        <v>4168132.2749025426</v>
      </c>
      <c r="Y69">
        <f t="shared" si="40"/>
        <v>4043088.3066554661</v>
      </c>
      <c r="Z69">
        <f t="shared" si="40"/>
        <v>3921795.657455802</v>
      </c>
      <c r="AA69">
        <f t="shared" si="40"/>
        <v>3804141.7877321281</v>
      </c>
      <c r="AB69">
        <f t="shared" si="40"/>
        <v>3690017.5341001642</v>
      </c>
      <c r="AC69">
        <f t="shared" si="40"/>
        <v>3579317.0080771591</v>
      </c>
      <c r="AD69">
        <f t="shared" si="40"/>
        <v>3471937.4978348445</v>
      </c>
      <c r="AE69">
        <f t="shared" si="40"/>
        <v>3367779.3728997991</v>
      </c>
      <c r="AF69">
        <f t="shared" si="40"/>
        <v>3266745.9917128053</v>
      </c>
      <c r="AG69">
        <f t="shared" si="40"/>
        <v>3168743.6119614211</v>
      </c>
      <c r="AH69">
        <f t="shared" si="40"/>
        <v>3073681.3036025786</v>
      </c>
      <c r="AI69">
        <f t="shared" si="40"/>
        <v>2981470.8644945011</v>
      </c>
      <c r="AJ69">
        <f t="shared" si="40"/>
        <v>2892026.7385596661</v>
      </c>
      <c r="AK69">
        <f t="shared" si="40"/>
        <v>2805265.9364028759</v>
      </c>
      <c r="AL69">
        <f t="shared" si="40"/>
        <v>2721107.9583107894</v>
      </c>
      <c r="AM69">
        <f t="shared" si="40"/>
        <v>2639474.7195614656</v>
      </c>
      <c r="AN69">
        <f t="shared" si="40"/>
        <v>2560290.4779746216</v>
      </c>
      <c r="AO69">
        <f t="shared" si="40"/>
        <v>2483481.763635383</v>
      </c>
      <c r="AP69">
        <f t="shared" si="40"/>
        <v>2408977.3107263213</v>
      </c>
      <c r="AQ69">
        <f t="shared" si="40"/>
        <v>2336707.9914045315</v>
      </c>
      <c r="AR69">
        <f t="shared" si="40"/>
        <v>2266606.7516623954</v>
      </c>
      <c r="AS69">
        <f t="shared" si="40"/>
        <v>2198608.5491125234</v>
      </c>
      <c r="AT69">
        <f t="shared" si="40"/>
        <v>2132650.292639148</v>
      </c>
      <c r="AU69">
        <f t="shared" si="40"/>
        <v>2068670.7838599735</v>
      </c>
      <c r="AV69">
        <f t="shared" si="40"/>
        <v>2006610.6603441744</v>
      </c>
      <c r="AW69">
        <f t="shared" si="40"/>
        <v>1946412.3405338491</v>
      </c>
      <c r="AX69">
        <f t="shared" si="40"/>
        <v>1888019.9703178336</v>
      </c>
      <c r="AY69">
        <f t="shared" si="40"/>
        <v>1831379.3712082985</v>
      </c>
      <c r="AZ69">
        <f t="shared" si="40"/>
        <v>1776437.9900720494</v>
      </c>
      <c r="BA69">
        <f t="shared" si="40"/>
        <v>1723144.8503698879</v>
      </c>
      <c r="BB69">
        <f t="shared" si="40"/>
        <v>1671450.5048587914</v>
      </c>
      <c r="BC69">
        <f t="shared" si="40"/>
        <v>1621306.9897130276</v>
      </c>
      <c r="BD69">
        <f t="shared" si="40"/>
        <v>1572667.7800216367</v>
      </c>
      <c r="BE69">
        <f t="shared" si="40"/>
        <v>1525487.7466209875</v>
      </c>
      <c r="BF69">
        <f t="shared" si="40"/>
        <v>1479723.114222358</v>
      </c>
      <c r="BG69">
        <f t="shared" si="40"/>
        <v>1435331.4207956872</v>
      </c>
      <c r="BH69">
        <f t="shared" si="40"/>
        <v>1392271.4781718166</v>
      </c>
      <c r="BI69">
        <f t="shared" si="40"/>
        <v>1350503.333826662</v>
      </c>
      <c r="BJ69">
        <f t="shared" si="40"/>
        <v>1309988.2338118623</v>
      </c>
      <c r="BK69">
        <f t="shared" si="40"/>
        <v>1270688.5867975065</v>
      </c>
      <c r="BL69">
        <f t="shared" si="40"/>
        <v>1232567.9291935815</v>
      </c>
      <c r="BM69">
        <f t="shared" si="40"/>
        <v>1195590.8913177741</v>
      </c>
      <c r="BN69">
        <f t="shared" si="40"/>
        <v>1159723.1645782408</v>
      </c>
      <c r="BO69">
        <f t="shared" ref="BO69:BS69" si="41">BN69-BN69*0.03</f>
        <v>1124931.4696408936</v>
      </c>
      <c r="BP69">
        <f t="shared" si="41"/>
        <v>1091183.5255516667</v>
      </c>
      <c r="BQ69">
        <f t="shared" si="41"/>
        <v>1058448.0197851167</v>
      </c>
      <c r="BR69">
        <f t="shared" si="41"/>
        <v>1026694.5791915632</v>
      </c>
      <c r="BS69">
        <f t="shared" si="41"/>
        <v>995893.74181581626</v>
      </c>
    </row>
    <row r="70" spans="1:71" x14ac:dyDescent="0.35">
      <c r="A70" s="1" t="s">
        <v>40</v>
      </c>
      <c r="B70" s="15">
        <f t="shared" si="17"/>
        <v>14953206.107770817</v>
      </c>
      <c r="C70">
        <f t="shared" ref="C70:BN70" si="42">B70-B70*0.03</f>
        <v>14504609.924537692</v>
      </c>
      <c r="D70">
        <f t="shared" si="42"/>
        <v>14069471.626801562</v>
      </c>
      <c r="E70">
        <f t="shared" si="42"/>
        <v>13647387.477997515</v>
      </c>
      <c r="F70">
        <f t="shared" si="42"/>
        <v>13237965.85365759</v>
      </c>
      <c r="G70">
        <f t="shared" si="42"/>
        <v>12840826.878047863</v>
      </c>
      <c r="H70">
        <f t="shared" si="42"/>
        <v>12455602.071706427</v>
      </c>
      <c r="I70">
        <f t="shared" si="42"/>
        <v>12081934.009555234</v>
      </c>
      <c r="J70">
        <f t="shared" si="42"/>
        <v>11719475.989268577</v>
      </c>
      <c r="K70">
        <f t="shared" si="42"/>
        <v>11367891.709590519</v>
      </c>
      <c r="L70">
        <f t="shared" si="42"/>
        <v>11026854.958302803</v>
      </c>
      <c r="M70">
        <f t="shared" si="42"/>
        <v>10696049.30955372</v>
      </c>
      <c r="N70">
        <f t="shared" si="42"/>
        <v>10375167.830267109</v>
      </c>
      <c r="O70">
        <f t="shared" si="42"/>
        <v>10063912.795359096</v>
      </c>
      <c r="P70">
        <f t="shared" si="42"/>
        <v>9761995.4114983231</v>
      </c>
      <c r="Q70">
        <f t="shared" si="42"/>
        <v>9469135.5491533726</v>
      </c>
      <c r="R70">
        <f t="shared" si="42"/>
        <v>9185061.482678771</v>
      </c>
      <c r="S70">
        <f t="shared" si="42"/>
        <v>8909509.6381984074</v>
      </c>
      <c r="T70">
        <f t="shared" si="42"/>
        <v>8642224.3490524553</v>
      </c>
      <c r="U70">
        <f t="shared" si="42"/>
        <v>8382957.6185808815</v>
      </c>
      <c r="V70">
        <f t="shared" si="42"/>
        <v>8131468.890023455</v>
      </c>
      <c r="W70">
        <f t="shared" si="42"/>
        <v>7887524.8233227516</v>
      </c>
      <c r="X70">
        <f t="shared" si="42"/>
        <v>7650899.0786230695</v>
      </c>
      <c r="Y70">
        <f t="shared" si="42"/>
        <v>7421372.106264377</v>
      </c>
      <c r="Z70">
        <f t="shared" si="42"/>
        <v>7198730.9430764457</v>
      </c>
      <c r="AA70">
        <f t="shared" si="42"/>
        <v>6982769.0147841526</v>
      </c>
      <c r="AB70">
        <f t="shared" si="42"/>
        <v>6773285.9443406276</v>
      </c>
      <c r="AC70">
        <f t="shared" si="42"/>
        <v>6570087.3660104088</v>
      </c>
      <c r="AD70">
        <f t="shared" si="42"/>
        <v>6372984.7450300967</v>
      </c>
      <c r="AE70">
        <f t="shared" si="42"/>
        <v>6181795.2026791936</v>
      </c>
      <c r="AF70">
        <f t="shared" si="42"/>
        <v>5996341.346598818</v>
      </c>
      <c r="AG70">
        <f t="shared" si="42"/>
        <v>5816451.1062008534</v>
      </c>
      <c r="AH70">
        <f t="shared" si="42"/>
        <v>5641957.5730148274</v>
      </c>
      <c r="AI70">
        <f t="shared" si="42"/>
        <v>5472698.8458243823</v>
      </c>
      <c r="AJ70">
        <f t="shared" si="42"/>
        <v>5308517.8804496508</v>
      </c>
      <c r="AK70">
        <f t="shared" si="42"/>
        <v>5149262.344036161</v>
      </c>
      <c r="AL70">
        <f t="shared" si="42"/>
        <v>4994784.4737150762</v>
      </c>
      <c r="AM70">
        <f t="shared" si="42"/>
        <v>4844940.9395036241</v>
      </c>
      <c r="AN70">
        <f t="shared" si="42"/>
        <v>4699592.7113185152</v>
      </c>
      <c r="AO70">
        <f t="shared" si="42"/>
        <v>4558604.9299789602</v>
      </c>
      <c r="AP70">
        <f t="shared" si="42"/>
        <v>4421846.7820795914</v>
      </c>
      <c r="AQ70">
        <f t="shared" si="42"/>
        <v>4289191.3786172038</v>
      </c>
      <c r="AR70">
        <f t="shared" si="42"/>
        <v>4160515.6372586875</v>
      </c>
      <c r="AS70">
        <f t="shared" si="42"/>
        <v>4035700.1681409269</v>
      </c>
      <c r="AT70">
        <f t="shared" si="42"/>
        <v>3914629.1630966989</v>
      </c>
      <c r="AU70">
        <f t="shared" si="42"/>
        <v>3797190.2882037978</v>
      </c>
      <c r="AV70">
        <f t="shared" si="42"/>
        <v>3683274.5795576838</v>
      </c>
      <c r="AW70">
        <f t="shared" si="42"/>
        <v>3572776.3421709533</v>
      </c>
      <c r="AX70">
        <f t="shared" si="42"/>
        <v>3465593.0519058248</v>
      </c>
      <c r="AY70">
        <f t="shared" si="42"/>
        <v>3361625.2603486502</v>
      </c>
      <c r="AZ70">
        <f t="shared" si="42"/>
        <v>3260776.5025381907</v>
      </c>
      <c r="BA70">
        <f t="shared" si="42"/>
        <v>3162953.2074620449</v>
      </c>
      <c r="BB70">
        <f t="shared" si="42"/>
        <v>3068064.6112381835</v>
      </c>
      <c r="BC70">
        <f t="shared" si="42"/>
        <v>2976022.6729010381</v>
      </c>
      <c r="BD70">
        <f t="shared" si="42"/>
        <v>2886741.9927140069</v>
      </c>
      <c r="BE70">
        <f t="shared" si="42"/>
        <v>2800139.7329325867</v>
      </c>
      <c r="BF70">
        <f t="shared" si="42"/>
        <v>2716135.5409446089</v>
      </c>
      <c r="BG70">
        <f t="shared" si="42"/>
        <v>2634651.4747162708</v>
      </c>
      <c r="BH70">
        <f t="shared" si="42"/>
        <v>2555611.9304747828</v>
      </c>
      <c r="BI70">
        <f t="shared" si="42"/>
        <v>2478943.5725605395</v>
      </c>
      <c r="BJ70">
        <f t="shared" si="42"/>
        <v>2404575.2653837232</v>
      </c>
      <c r="BK70">
        <f t="shared" si="42"/>
        <v>2332438.0074222116</v>
      </c>
      <c r="BL70">
        <f t="shared" si="42"/>
        <v>2262464.8671995453</v>
      </c>
      <c r="BM70">
        <f t="shared" si="42"/>
        <v>2194590.9211835591</v>
      </c>
      <c r="BN70">
        <f t="shared" si="42"/>
        <v>2128753.1935480526</v>
      </c>
      <c r="BO70">
        <f t="shared" ref="BO70:BS70" si="43">BN70-BN70*0.03</f>
        <v>2064890.5977416111</v>
      </c>
      <c r="BP70">
        <f t="shared" si="43"/>
        <v>2002943.8798093628</v>
      </c>
      <c r="BQ70">
        <f t="shared" si="43"/>
        <v>1942855.5634150819</v>
      </c>
      <c r="BR70">
        <f t="shared" si="43"/>
        <v>1884569.8965126295</v>
      </c>
      <c r="BS70">
        <f t="shared" si="43"/>
        <v>1828032.7996172507</v>
      </c>
    </row>
    <row r="71" spans="1:71" x14ac:dyDescent="0.35">
      <c r="A71" s="1" t="s">
        <v>22</v>
      </c>
      <c r="B71" s="15">
        <f t="shared" si="17"/>
        <v>0</v>
      </c>
      <c r="C71">
        <f t="shared" ref="C71:BN71" si="44">B71-B71*0.03</f>
        <v>0</v>
      </c>
      <c r="D71">
        <f t="shared" si="44"/>
        <v>0</v>
      </c>
      <c r="E71">
        <f t="shared" si="44"/>
        <v>0</v>
      </c>
      <c r="F71">
        <f t="shared" si="44"/>
        <v>0</v>
      </c>
      <c r="G71">
        <f t="shared" si="44"/>
        <v>0</v>
      </c>
      <c r="H71">
        <f t="shared" si="44"/>
        <v>0</v>
      </c>
      <c r="I71">
        <f t="shared" si="44"/>
        <v>0</v>
      </c>
      <c r="J71">
        <f t="shared" si="44"/>
        <v>0</v>
      </c>
      <c r="K71">
        <f t="shared" si="44"/>
        <v>0</v>
      </c>
      <c r="L71">
        <f t="shared" si="44"/>
        <v>0</v>
      </c>
      <c r="M71">
        <f t="shared" si="44"/>
        <v>0</v>
      </c>
      <c r="N71">
        <f t="shared" si="44"/>
        <v>0</v>
      </c>
      <c r="O71">
        <f t="shared" si="44"/>
        <v>0</v>
      </c>
      <c r="P71">
        <f t="shared" si="44"/>
        <v>0</v>
      </c>
      <c r="Q71">
        <f t="shared" si="44"/>
        <v>0</v>
      </c>
      <c r="R71">
        <f t="shared" si="44"/>
        <v>0</v>
      </c>
      <c r="S71">
        <f t="shared" si="44"/>
        <v>0</v>
      </c>
      <c r="T71">
        <f t="shared" si="44"/>
        <v>0</v>
      </c>
      <c r="U71">
        <f t="shared" si="44"/>
        <v>0</v>
      </c>
      <c r="V71">
        <f t="shared" si="44"/>
        <v>0</v>
      </c>
      <c r="W71">
        <f t="shared" si="44"/>
        <v>0</v>
      </c>
      <c r="X71">
        <f t="shared" si="44"/>
        <v>0</v>
      </c>
      <c r="Y71">
        <f t="shared" si="44"/>
        <v>0</v>
      </c>
      <c r="Z71">
        <f t="shared" si="44"/>
        <v>0</v>
      </c>
      <c r="AA71">
        <f t="shared" si="44"/>
        <v>0</v>
      </c>
      <c r="AB71">
        <f t="shared" si="44"/>
        <v>0</v>
      </c>
      <c r="AC71">
        <f t="shared" si="44"/>
        <v>0</v>
      </c>
      <c r="AD71">
        <f t="shared" si="44"/>
        <v>0</v>
      </c>
      <c r="AE71">
        <f t="shared" si="44"/>
        <v>0</v>
      </c>
      <c r="AF71">
        <f t="shared" si="44"/>
        <v>0</v>
      </c>
      <c r="AG71">
        <f t="shared" si="44"/>
        <v>0</v>
      </c>
      <c r="AH71">
        <f t="shared" si="44"/>
        <v>0</v>
      </c>
      <c r="AI71">
        <f t="shared" si="44"/>
        <v>0</v>
      </c>
      <c r="AJ71">
        <f t="shared" si="44"/>
        <v>0</v>
      </c>
      <c r="AK71">
        <f t="shared" si="44"/>
        <v>0</v>
      </c>
      <c r="AL71">
        <f t="shared" si="44"/>
        <v>0</v>
      </c>
      <c r="AM71">
        <f t="shared" si="44"/>
        <v>0</v>
      </c>
      <c r="AN71">
        <f t="shared" si="44"/>
        <v>0</v>
      </c>
      <c r="AO71">
        <f t="shared" si="44"/>
        <v>0</v>
      </c>
      <c r="AP71">
        <f t="shared" si="44"/>
        <v>0</v>
      </c>
      <c r="AQ71">
        <f t="shared" si="44"/>
        <v>0</v>
      </c>
      <c r="AR71">
        <f t="shared" si="44"/>
        <v>0</v>
      </c>
      <c r="AS71">
        <f t="shared" si="44"/>
        <v>0</v>
      </c>
      <c r="AT71">
        <f t="shared" si="44"/>
        <v>0</v>
      </c>
      <c r="AU71">
        <f t="shared" si="44"/>
        <v>0</v>
      </c>
      <c r="AV71">
        <f t="shared" si="44"/>
        <v>0</v>
      </c>
      <c r="AW71">
        <f t="shared" si="44"/>
        <v>0</v>
      </c>
      <c r="AX71">
        <f t="shared" si="44"/>
        <v>0</v>
      </c>
      <c r="AY71">
        <f t="shared" si="44"/>
        <v>0</v>
      </c>
      <c r="AZ71">
        <f t="shared" si="44"/>
        <v>0</v>
      </c>
      <c r="BA71">
        <f t="shared" si="44"/>
        <v>0</v>
      </c>
      <c r="BB71">
        <f t="shared" si="44"/>
        <v>0</v>
      </c>
      <c r="BC71">
        <f t="shared" si="44"/>
        <v>0</v>
      </c>
      <c r="BD71">
        <f t="shared" si="44"/>
        <v>0</v>
      </c>
      <c r="BE71">
        <f t="shared" si="44"/>
        <v>0</v>
      </c>
      <c r="BF71">
        <f t="shared" si="44"/>
        <v>0</v>
      </c>
      <c r="BG71">
        <f t="shared" si="44"/>
        <v>0</v>
      </c>
      <c r="BH71">
        <f t="shared" si="44"/>
        <v>0</v>
      </c>
      <c r="BI71">
        <f t="shared" si="44"/>
        <v>0</v>
      </c>
      <c r="BJ71">
        <f t="shared" si="44"/>
        <v>0</v>
      </c>
      <c r="BK71">
        <f t="shared" si="44"/>
        <v>0</v>
      </c>
      <c r="BL71">
        <f t="shared" si="44"/>
        <v>0</v>
      </c>
      <c r="BM71">
        <f t="shared" si="44"/>
        <v>0</v>
      </c>
      <c r="BN71">
        <f t="shared" si="44"/>
        <v>0</v>
      </c>
      <c r="BO71">
        <f t="shared" ref="BO71:BS71" si="45">BN71-BN71*0.03</f>
        <v>0</v>
      </c>
      <c r="BP71">
        <f t="shared" si="45"/>
        <v>0</v>
      </c>
      <c r="BQ71">
        <f t="shared" si="45"/>
        <v>0</v>
      </c>
      <c r="BR71">
        <f t="shared" si="45"/>
        <v>0</v>
      </c>
      <c r="BS71">
        <f t="shared" si="45"/>
        <v>0</v>
      </c>
    </row>
    <row r="72" spans="1:71" x14ac:dyDescent="0.35">
      <c r="F72"/>
      <c r="G72"/>
      <c r="H72"/>
      <c r="I72"/>
    </row>
    <row r="73" spans="1:71" x14ac:dyDescent="0.35">
      <c r="A73" s="1" t="s">
        <v>42</v>
      </c>
    </row>
    <row r="74" spans="1:71" x14ac:dyDescent="0.35">
      <c r="A74" s="1" t="s">
        <v>27</v>
      </c>
      <c r="B74" s="15">
        <f>D20*F20*12*H20</f>
        <v>-2.202145875988203E-6</v>
      </c>
      <c r="C74">
        <f>B74-B74*0.03</f>
        <v>-2.1360814997085567E-6</v>
      </c>
      <c r="D74">
        <f t="shared" ref="D74:BO74" si="46">C74-C74*0.03</f>
        <v>-2.0719990547173001E-6</v>
      </c>
      <c r="E74">
        <f t="shared" si="46"/>
        <v>-2.0098390830757809E-6</v>
      </c>
      <c r="F74">
        <f t="shared" si="46"/>
        <v>-1.9495439105835074E-6</v>
      </c>
      <c r="G74">
        <f t="shared" si="46"/>
        <v>-1.8910575932660022E-6</v>
      </c>
      <c r="H74">
        <f t="shared" si="46"/>
        <v>-1.8343258654680222E-6</v>
      </c>
      <c r="I74">
        <f t="shared" si="46"/>
        <v>-1.7792960895039816E-6</v>
      </c>
      <c r="J74">
        <f t="shared" si="46"/>
        <v>-1.7259172068188621E-6</v>
      </c>
      <c r="K74">
        <f t="shared" si="46"/>
        <v>-1.6741396906142962E-6</v>
      </c>
      <c r="L74">
        <f t="shared" si="46"/>
        <v>-1.6239154998958674E-6</v>
      </c>
      <c r="M74">
        <f t="shared" si="46"/>
        <v>-1.5751980348989915E-6</v>
      </c>
      <c r="N74">
        <f t="shared" si="46"/>
        <v>-1.5279420938520217E-6</v>
      </c>
      <c r="O74">
        <f t="shared" si="46"/>
        <v>-1.4821038310364609E-6</v>
      </c>
      <c r="P74">
        <f t="shared" si="46"/>
        <v>-1.4376407161053672E-6</v>
      </c>
      <c r="Q74">
        <f t="shared" si="46"/>
        <v>-1.3945114946222062E-6</v>
      </c>
      <c r="R74">
        <f t="shared" si="46"/>
        <v>-1.35267614978354E-6</v>
      </c>
      <c r="S74">
        <f t="shared" si="46"/>
        <v>-1.3120958652900339E-6</v>
      </c>
      <c r="T74">
        <f t="shared" si="46"/>
        <v>-1.2727329893313329E-6</v>
      </c>
      <c r="U74">
        <f t="shared" si="46"/>
        <v>-1.2345509996513929E-6</v>
      </c>
      <c r="V74">
        <f t="shared" si="46"/>
        <v>-1.1975144696618511E-6</v>
      </c>
      <c r="W74">
        <f t="shared" si="46"/>
        <v>-1.1615890355719956E-6</v>
      </c>
      <c r="X74">
        <f t="shared" si="46"/>
        <v>-1.1267413645048357E-6</v>
      </c>
      <c r="Y74">
        <f t="shared" si="46"/>
        <v>-1.0929391235696907E-6</v>
      </c>
      <c r="Z74">
        <f t="shared" si="46"/>
        <v>-1.0601509498626E-6</v>
      </c>
      <c r="AA74">
        <f t="shared" si="46"/>
        <v>-1.028346421366722E-6</v>
      </c>
      <c r="AB74">
        <f t="shared" si="46"/>
        <v>-9.9749602872572022E-7</v>
      </c>
      <c r="AC74">
        <f t="shared" si="46"/>
        <v>-9.6757114786394852E-7</v>
      </c>
      <c r="AD74">
        <f t="shared" si="46"/>
        <v>-9.3854401342803008E-7</v>
      </c>
      <c r="AE74">
        <f t="shared" si="46"/>
        <v>-9.1038769302518921E-7</v>
      </c>
      <c r="AF74">
        <f t="shared" si="46"/>
        <v>-8.8307606223443357E-7</v>
      </c>
      <c r="AG74">
        <f t="shared" si="46"/>
        <v>-8.5658378036740055E-7</v>
      </c>
      <c r="AH74">
        <f t="shared" si="46"/>
        <v>-8.3088626695637855E-7</v>
      </c>
      <c r="AI74">
        <f t="shared" si="46"/>
        <v>-8.0595967894768719E-7</v>
      </c>
      <c r="AJ74">
        <f t="shared" si="46"/>
        <v>-7.8178088857925661E-7</v>
      </c>
      <c r="AK74">
        <f t="shared" si="46"/>
        <v>-7.5832746192187889E-7</v>
      </c>
      <c r="AL74">
        <f t="shared" si="46"/>
        <v>-7.3557763806422255E-7</v>
      </c>
      <c r="AM74">
        <f t="shared" si="46"/>
        <v>-7.1351030892229589E-7</v>
      </c>
      <c r="AN74">
        <f t="shared" si="46"/>
        <v>-6.9210499965462702E-7</v>
      </c>
      <c r="AO74">
        <f t="shared" si="46"/>
        <v>-6.7134184966498821E-7</v>
      </c>
      <c r="AP74">
        <f t="shared" si="46"/>
        <v>-6.5120159417503858E-7</v>
      </c>
      <c r="AQ74">
        <f t="shared" si="46"/>
        <v>-6.3166554634978742E-7</v>
      </c>
      <c r="AR74">
        <f t="shared" si="46"/>
        <v>-6.1271557995929377E-7</v>
      </c>
      <c r="AS74">
        <f t="shared" si="46"/>
        <v>-5.9433411256051499E-7</v>
      </c>
      <c r="AT74">
        <f t="shared" si="46"/>
        <v>-5.7650408918369955E-7</v>
      </c>
      <c r="AU74">
        <f t="shared" si="46"/>
        <v>-5.5920896650818853E-7</v>
      </c>
      <c r="AV74">
        <f t="shared" si="46"/>
        <v>-5.4243269751294283E-7</v>
      </c>
      <c r="AW74">
        <f t="shared" si="46"/>
        <v>-5.2615971658755459E-7</v>
      </c>
      <c r="AX74">
        <f t="shared" si="46"/>
        <v>-5.1037492508992791E-7</v>
      </c>
      <c r="AY74">
        <f t="shared" si="46"/>
        <v>-4.9506367733723006E-7</v>
      </c>
      <c r="AZ74">
        <f t="shared" si="46"/>
        <v>-4.8021176701711312E-7</v>
      </c>
      <c r="BA74">
        <f t="shared" si="46"/>
        <v>-4.6580541400659971E-7</v>
      </c>
      <c r="BB74">
        <f t="shared" si="46"/>
        <v>-4.5183125158640173E-7</v>
      </c>
      <c r="BC74">
        <f t="shared" si="46"/>
        <v>-4.3827631403880967E-7</v>
      </c>
      <c r="BD74">
        <f t="shared" si="46"/>
        <v>-4.2512802461764539E-7</v>
      </c>
      <c r="BE74">
        <f t="shared" si="46"/>
        <v>-4.1237418387911603E-7</v>
      </c>
      <c r="BF74">
        <f t="shared" si="46"/>
        <v>-4.0000295836274257E-7</v>
      </c>
      <c r="BG74">
        <f t="shared" si="46"/>
        <v>-3.880028696118603E-7</v>
      </c>
      <c r="BH74">
        <f t="shared" si="46"/>
        <v>-3.7636278352350448E-7</v>
      </c>
      <c r="BI74">
        <f t="shared" si="46"/>
        <v>-3.6507190001779932E-7</v>
      </c>
      <c r="BJ74">
        <f t="shared" si="46"/>
        <v>-3.5411974301726536E-7</v>
      </c>
      <c r="BK74">
        <f t="shared" si="46"/>
        <v>-3.4349615072674737E-7</v>
      </c>
      <c r="BL74">
        <f t="shared" si="46"/>
        <v>-3.3319126620494494E-7</v>
      </c>
      <c r="BM74">
        <f t="shared" si="46"/>
        <v>-3.2319552821879656E-7</v>
      </c>
      <c r="BN74">
        <f t="shared" si="46"/>
        <v>-3.1349966237223269E-7</v>
      </c>
      <c r="BO74">
        <f t="shared" si="46"/>
        <v>-3.040946725010657E-7</v>
      </c>
      <c r="BP74">
        <f t="shared" ref="BP74:BS74" si="47">BO74-BO74*0.03</f>
        <v>-2.949718323260337E-7</v>
      </c>
      <c r="BQ74">
        <f t="shared" si="47"/>
        <v>-2.8612267735625268E-7</v>
      </c>
      <c r="BR74">
        <f t="shared" si="47"/>
        <v>-2.7753899703556511E-7</v>
      </c>
      <c r="BS74">
        <f t="shared" si="47"/>
        <v>-2.6921282712449817E-7</v>
      </c>
    </row>
    <row r="75" spans="1:71" x14ac:dyDescent="0.35">
      <c r="A75" s="1" t="s">
        <v>28</v>
      </c>
      <c r="B75" s="15">
        <f t="shared" ref="B75:B88" si="48">D21*F21*12*H21</f>
        <v>-3.9482064014549037E-6</v>
      </c>
      <c r="C75">
        <f t="shared" ref="C75:BN75" si="49">B75-B75*0.03</f>
        <v>-3.8297602094112567E-6</v>
      </c>
      <c r="D75">
        <f t="shared" si="49"/>
        <v>-3.7148674031289191E-6</v>
      </c>
      <c r="E75">
        <f t="shared" si="49"/>
        <v>-3.6034213810350515E-6</v>
      </c>
      <c r="F75">
        <f t="shared" si="49"/>
        <v>-3.4953187396039998E-6</v>
      </c>
      <c r="G75">
        <f t="shared" si="49"/>
        <v>-3.3904591774158796E-6</v>
      </c>
      <c r="H75">
        <f t="shared" si="49"/>
        <v>-3.2887454020934033E-6</v>
      </c>
      <c r="I75">
        <f t="shared" si="49"/>
        <v>-3.1900830400306012E-6</v>
      </c>
      <c r="J75">
        <f t="shared" si="49"/>
        <v>-3.0943805488296833E-6</v>
      </c>
      <c r="K75">
        <f t="shared" si="49"/>
        <v>-3.0015491323647929E-6</v>
      </c>
      <c r="L75">
        <f t="shared" si="49"/>
        <v>-2.9115026583938492E-6</v>
      </c>
      <c r="M75">
        <f t="shared" si="49"/>
        <v>-2.8241575786420337E-6</v>
      </c>
      <c r="N75">
        <f t="shared" si="49"/>
        <v>-2.7394328512827729E-6</v>
      </c>
      <c r="O75">
        <f t="shared" si="49"/>
        <v>-2.6572498657442896E-6</v>
      </c>
      <c r="P75">
        <f t="shared" si="49"/>
        <v>-2.5775323697719611E-6</v>
      </c>
      <c r="Q75">
        <f t="shared" si="49"/>
        <v>-2.5002063986788024E-6</v>
      </c>
      <c r="R75">
        <f t="shared" si="49"/>
        <v>-2.4252002067184383E-6</v>
      </c>
      <c r="S75">
        <f t="shared" si="49"/>
        <v>-2.3524442005168853E-6</v>
      </c>
      <c r="T75">
        <f t="shared" si="49"/>
        <v>-2.2818708745013788E-6</v>
      </c>
      <c r="U75">
        <f t="shared" si="49"/>
        <v>-2.2134147482663376E-6</v>
      </c>
      <c r="V75">
        <f t="shared" si="49"/>
        <v>-2.1470123058183473E-6</v>
      </c>
      <c r="W75">
        <f t="shared" si="49"/>
        <v>-2.0826019366437967E-6</v>
      </c>
      <c r="X75">
        <f t="shared" si="49"/>
        <v>-2.0201238785444829E-6</v>
      </c>
      <c r="Y75">
        <f t="shared" si="49"/>
        <v>-1.9595201621881486E-6</v>
      </c>
      <c r="Z75">
        <f t="shared" si="49"/>
        <v>-1.9007345573225042E-6</v>
      </c>
      <c r="AA75">
        <f t="shared" si="49"/>
        <v>-1.843712520602829E-6</v>
      </c>
      <c r="AB75">
        <f t="shared" si="49"/>
        <v>-1.7884011449847442E-6</v>
      </c>
      <c r="AC75">
        <f t="shared" si="49"/>
        <v>-1.7347491106352018E-6</v>
      </c>
      <c r="AD75">
        <f t="shared" si="49"/>
        <v>-1.6827066373161458E-6</v>
      </c>
      <c r="AE75">
        <f t="shared" si="49"/>
        <v>-1.6322254381966613E-6</v>
      </c>
      <c r="AF75">
        <f t="shared" si="49"/>
        <v>-1.5832586750507615E-6</v>
      </c>
      <c r="AG75">
        <f t="shared" si="49"/>
        <v>-1.5357609147992385E-6</v>
      </c>
      <c r="AH75">
        <f t="shared" si="49"/>
        <v>-1.4896880873552615E-6</v>
      </c>
      <c r="AI75">
        <f t="shared" si="49"/>
        <v>-1.4449974447346037E-6</v>
      </c>
      <c r="AJ75">
        <f t="shared" si="49"/>
        <v>-1.4016475213925656E-6</v>
      </c>
      <c r="AK75">
        <f t="shared" si="49"/>
        <v>-1.3595980957507887E-6</v>
      </c>
      <c r="AL75">
        <f t="shared" si="49"/>
        <v>-1.3188101528782649E-6</v>
      </c>
      <c r="AM75">
        <f t="shared" si="49"/>
        <v>-1.279245848291917E-6</v>
      </c>
      <c r="AN75">
        <f t="shared" si="49"/>
        <v>-1.2408684728431595E-6</v>
      </c>
      <c r="AO75">
        <f t="shared" si="49"/>
        <v>-1.2036424186578648E-6</v>
      </c>
      <c r="AP75">
        <f t="shared" si="49"/>
        <v>-1.1675331460981288E-6</v>
      </c>
      <c r="AQ75">
        <f t="shared" si="49"/>
        <v>-1.1325071517151848E-6</v>
      </c>
      <c r="AR75">
        <f t="shared" si="49"/>
        <v>-1.0985319371637292E-6</v>
      </c>
      <c r="AS75">
        <f t="shared" si="49"/>
        <v>-1.0655759790488173E-6</v>
      </c>
      <c r="AT75">
        <f t="shared" si="49"/>
        <v>-1.0336086996773528E-6</v>
      </c>
      <c r="AU75">
        <f t="shared" si="49"/>
        <v>-1.0026004386870323E-6</v>
      </c>
      <c r="AV75">
        <f t="shared" si="49"/>
        <v>-9.7252242552642138E-7</v>
      </c>
      <c r="AW75">
        <f t="shared" si="49"/>
        <v>-9.4334675276062871E-7</v>
      </c>
      <c r="AX75">
        <f t="shared" si="49"/>
        <v>-9.1504635017780982E-7</v>
      </c>
      <c r="AY75">
        <f t="shared" si="49"/>
        <v>-8.8759495967247556E-7</v>
      </c>
      <c r="AZ75">
        <f t="shared" si="49"/>
        <v>-8.6096711088230129E-7</v>
      </c>
      <c r="BA75">
        <f t="shared" si="49"/>
        <v>-8.3513809755583221E-7</v>
      </c>
      <c r="BB75">
        <f t="shared" si="49"/>
        <v>-8.1008395462915723E-7</v>
      </c>
      <c r="BC75">
        <f t="shared" si="49"/>
        <v>-7.8578143599028247E-7</v>
      </c>
      <c r="BD75">
        <f t="shared" si="49"/>
        <v>-7.6220799291057404E-7</v>
      </c>
      <c r="BE75">
        <f t="shared" si="49"/>
        <v>-7.3934175312325685E-7</v>
      </c>
      <c r="BF75">
        <f t="shared" si="49"/>
        <v>-7.1716150052955916E-7</v>
      </c>
      <c r="BG75">
        <f t="shared" si="49"/>
        <v>-6.9564665551367244E-7</v>
      </c>
      <c r="BH75">
        <f t="shared" si="49"/>
        <v>-6.7477725584826226E-7</v>
      </c>
      <c r="BI75">
        <f t="shared" si="49"/>
        <v>-6.5453393817281443E-7</v>
      </c>
      <c r="BJ75">
        <f t="shared" si="49"/>
        <v>-6.3489792002763003E-7</v>
      </c>
      <c r="BK75">
        <f t="shared" si="49"/>
        <v>-6.1585098242680112E-7</v>
      </c>
      <c r="BL75">
        <f t="shared" si="49"/>
        <v>-5.973754529539971E-7</v>
      </c>
      <c r="BM75">
        <f t="shared" si="49"/>
        <v>-5.7945418936537716E-7</v>
      </c>
      <c r="BN75">
        <f t="shared" si="49"/>
        <v>-5.6207056368441589E-7</v>
      </c>
      <c r="BO75">
        <f t="shared" ref="BO75:BS75" si="50">BN75-BN75*0.03</f>
        <v>-5.4520844677388342E-7</v>
      </c>
      <c r="BP75">
        <f t="shared" si="50"/>
        <v>-5.2885219337066695E-7</v>
      </c>
      <c r="BQ75">
        <f t="shared" si="50"/>
        <v>-5.1298662756954695E-7</v>
      </c>
      <c r="BR75">
        <f t="shared" si="50"/>
        <v>-4.9759702874246051E-7</v>
      </c>
      <c r="BS75">
        <f t="shared" si="50"/>
        <v>-4.8266911788018671E-7</v>
      </c>
    </row>
    <row r="76" spans="1:71" x14ac:dyDescent="0.35">
      <c r="A76" s="1" t="s">
        <v>29</v>
      </c>
      <c r="B76" s="15">
        <f t="shared" si="48"/>
        <v>278029.62802517647</v>
      </c>
      <c r="C76">
        <f t="shared" ref="C76:BN76" si="51">B76-B76*0.03</f>
        <v>269688.7391844212</v>
      </c>
      <c r="D76">
        <f t="shared" si="51"/>
        <v>261598.07700888856</v>
      </c>
      <c r="E76">
        <f t="shared" si="51"/>
        <v>253750.1346986219</v>
      </c>
      <c r="F76">
        <f t="shared" si="51"/>
        <v>246137.63065766325</v>
      </c>
      <c r="G76">
        <f t="shared" si="51"/>
        <v>238753.50173793334</v>
      </c>
      <c r="H76">
        <f t="shared" si="51"/>
        <v>231590.89668579533</v>
      </c>
      <c r="I76">
        <f t="shared" si="51"/>
        <v>224643.16978522149</v>
      </c>
      <c r="J76">
        <f t="shared" si="51"/>
        <v>217903.87469166485</v>
      </c>
      <c r="K76">
        <f t="shared" si="51"/>
        <v>211366.7584509149</v>
      </c>
      <c r="L76">
        <f t="shared" si="51"/>
        <v>205025.75569738745</v>
      </c>
      <c r="M76">
        <f t="shared" si="51"/>
        <v>198874.98302646581</v>
      </c>
      <c r="N76">
        <f t="shared" si="51"/>
        <v>192908.73353567184</v>
      </c>
      <c r="O76">
        <f t="shared" si="51"/>
        <v>187121.47152960169</v>
      </c>
      <c r="P76">
        <f t="shared" si="51"/>
        <v>181507.82738371365</v>
      </c>
      <c r="Q76">
        <f t="shared" si="51"/>
        <v>176062.59256220225</v>
      </c>
      <c r="R76">
        <f t="shared" si="51"/>
        <v>170780.71478533617</v>
      </c>
      <c r="S76">
        <f t="shared" si="51"/>
        <v>165657.29334177609</v>
      </c>
      <c r="T76">
        <f t="shared" si="51"/>
        <v>160687.5745415228</v>
      </c>
      <c r="U76">
        <f t="shared" si="51"/>
        <v>155866.94730527711</v>
      </c>
      <c r="V76">
        <f t="shared" si="51"/>
        <v>151190.93888611879</v>
      </c>
      <c r="W76">
        <f t="shared" si="51"/>
        <v>146655.21071953521</v>
      </c>
      <c r="X76">
        <f t="shared" si="51"/>
        <v>142255.55439794916</v>
      </c>
      <c r="Y76">
        <f t="shared" si="51"/>
        <v>137987.88776601068</v>
      </c>
      <c r="Z76">
        <f t="shared" si="51"/>
        <v>133848.25113303037</v>
      </c>
      <c r="AA76">
        <f t="shared" si="51"/>
        <v>129832.80359903946</v>
      </c>
      <c r="AB76">
        <f t="shared" si="51"/>
        <v>125937.81949106828</v>
      </c>
      <c r="AC76">
        <f t="shared" si="51"/>
        <v>122159.68490633623</v>
      </c>
      <c r="AD76">
        <f t="shared" si="51"/>
        <v>118494.89435914614</v>
      </c>
      <c r="AE76">
        <f t="shared" si="51"/>
        <v>114940.04752837175</v>
      </c>
      <c r="AF76">
        <f t="shared" si="51"/>
        <v>111491.84610252061</v>
      </c>
      <c r="AG76">
        <f t="shared" si="51"/>
        <v>108147.09071944498</v>
      </c>
      <c r="AH76">
        <f t="shared" si="51"/>
        <v>104902.67799786164</v>
      </c>
      <c r="AI76">
        <f t="shared" si="51"/>
        <v>101755.59765792578</v>
      </c>
      <c r="AJ76">
        <f t="shared" si="51"/>
        <v>98702.929728188014</v>
      </c>
      <c r="AK76">
        <f t="shared" si="51"/>
        <v>95741.84183634237</v>
      </c>
      <c r="AL76">
        <f t="shared" si="51"/>
        <v>92869.586581252093</v>
      </c>
      <c r="AM76">
        <f t="shared" si="51"/>
        <v>90083.498983814527</v>
      </c>
      <c r="AN76">
        <f t="shared" si="51"/>
        <v>87380.994014300086</v>
      </c>
      <c r="AO76">
        <f t="shared" si="51"/>
        <v>84759.564193871076</v>
      </c>
      <c r="AP76">
        <f t="shared" si="51"/>
        <v>82216.777268054939</v>
      </c>
      <c r="AQ76">
        <f t="shared" si="51"/>
        <v>79750.273950013288</v>
      </c>
      <c r="AR76">
        <f t="shared" si="51"/>
        <v>77357.765731512889</v>
      </c>
      <c r="AS76">
        <f t="shared" si="51"/>
        <v>75037.032759567504</v>
      </c>
      <c r="AT76">
        <f t="shared" si="51"/>
        <v>72785.92177678048</v>
      </c>
      <c r="AU76">
        <f t="shared" si="51"/>
        <v>70602.344123477073</v>
      </c>
      <c r="AV76">
        <f t="shared" si="51"/>
        <v>68484.273799772767</v>
      </c>
      <c r="AW76">
        <f t="shared" si="51"/>
        <v>66429.745585779587</v>
      </c>
      <c r="AX76">
        <f t="shared" si="51"/>
        <v>64436.853218206197</v>
      </c>
      <c r="AY76">
        <f t="shared" si="51"/>
        <v>62503.747621660012</v>
      </c>
      <c r="AZ76">
        <f t="shared" si="51"/>
        <v>60628.63519301021</v>
      </c>
      <c r="BA76">
        <f t="shared" si="51"/>
        <v>58809.776137219902</v>
      </c>
      <c r="BB76">
        <f t="shared" si="51"/>
        <v>57045.482853103305</v>
      </c>
      <c r="BC76">
        <f t="shared" si="51"/>
        <v>55334.118367510207</v>
      </c>
      <c r="BD76">
        <f t="shared" si="51"/>
        <v>53674.094816484903</v>
      </c>
      <c r="BE76">
        <f t="shared" si="51"/>
        <v>52063.871971990353</v>
      </c>
      <c r="BF76">
        <f t="shared" si="51"/>
        <v>50501.955812830645</v>
      </c>
      <c r="BG76">
        <f t="shared" si="51"/>
        <v>48986.897138445725</v>
      </c>
      <c r="BH76">
        <f t="shared" si="51"/>
        <v>47517.290224292352</v>
      </c>
      <c r="BI76">
        <f t="shared" si="51"/>
        <v>46091.771517563582</v>
      </c>
      <c r="BJ76">
        <f t="shared" si="51"/>
        <v>44709.018372036677</v>
      </c>
      <c r="BK76">
        <f t="shared" si="51"/>
        <v>43367.747820875578</v>
      </c>
      <c r="BL76">
        <f t="shared" si="51"/>
        <v>42066.715386249314</v>
      </c>
      <c r="BM76">
        <f t="shared" si="51"/>
        <v>40804.713924661832</v>
      </c>
      <c r="BN76">
        <f t="shared" si="51"/>
        <v>39580.572506921977</v>
      </c>
      <c r="BO76">
        <f t="shared" ref="BO76:BS76" si="52">BN76-BN76*0.03</f>
        <v>38393.155331714319</v>
      </c>
      <c r="BP76">
        <f t="shared" si="52"/>
        <v>37241.360671762886</v>
      </c>
      <c r="BQ76">
        <f t="shared" si="52"/>
        <v>36124.119851609998</v>
      </c>
      <c r="BR76">
        <f t="shared" si="52"/>
        <v>35040.3962560617</v>
      </c>
      <c r="BS76">
        <f t="shared" si="52"/>
        <v>33989.184368379851</v>
      </c>
    </row>
    <row r="77" spans="1:71" x14ac:dyDescent="0.35">
      <c r="A77" s="1" t="s">
        <v>30</v>
      </c>
      <c r="B77" s="15">
        <f t="shared" si="48"/>
        <v>653230.04383042501</v>
      </c>
      <c r="C77">
        <f t="shared" ref="C77:BN77" si="53">B77-B77*0.03</f>
        <v>633633.1425155123</v>
      </c>
      <c r="D77">
        <f t="shared" si="53"/>
        <v>614624.14824004692</v>
      </c>
      <c r="E77">
        <f t="shared" si="53"/>
        <v>596185.42379284557</v>
      </c>
      <c r="F77">
        <f t="shared" si="53"/>
        <v>578299.86107906024</v>
      </c>
      <c r="G77">
        <f t="shared" si="53"/>
        <v>560950.86524668848</v>
      </c>
      <c r="H77">
        <f t="shared" si="53"/>
        <v>544122.3392892878</v>
      </c>
      <c r="I77">
        <f t="shared" si="53"/>
        <v>527798.66911060922</v>
      </c>
      <c r="J77">
        <f t="shared" si="53"/>
        <v>511964.70903729094</v>
      </c>
      <c r="K77">
        <f t="shared" si="53"/>
        <v>496605.76776617224</v>
      </c>
      <c r="L77">
        <f t="shared" si="53"/>
        <v>481707.59473318706</v>
      </c>
      <c r="M77">
        <f t="shared" si="53"/>
        <v>467256.36689119146</v>
      </c>
      <c r="N77">
        <f t="shared" si="53"/>
        <v>453238.67588445573</v>
      </c>
      <c r="O77">
        <f t="shared" si="53"/>
        <v>439641.51560792205</v>
      </c>
      <c r="P77">
        <f t="shared" si="53"/>
        <v>426452.27013968438</v>
      </c>
      <c r="Q77">
        <f t="shared" si="53"/>
        <v>413658.70203549386</v>
      </c>
      <c r="R77">
        <f t="shared" si="53"/>
        <v>401248.94097442902</v>
      </c>
      <c r="S77">
        <f t="shared" si="53"/>
        <v>389211.47274519614</v>
      </c>
      <c r="T77">
        <f t="shared" si="53"/>
        <v>377535.12856284023</v>
      </c>
      <c r="U77">
        <f t="shared" si="53"/>
        <v>366209.07470595499</v>
      </c>
      <c r="V77">
        <f t="shared" si="53"/>
        <v>355222.80246477632</v>
      </c>
      <c r="W77">
        <f t="shared" si="53"/>
        <v>344566.11839083303</v>
      </c>
      <c r="X77">
        <f t="shared" si="53"/>
        <v>334229.13483910804</v>
      </c>
      <c r="Y77">
        <f t="shared" si="53"/>
        <v>324202.26079393481</v>
      </c>
      <c r="Z77">
        <f t="shared" si="53"/>
        <v>314476.19297011674</v>
      </c>
      <c r="AA77">
        <f t="shared" si="53"/>
        <v>305041.90718101326</v>
      </c>
      <c r="AB77">
        <f t="shared" si="53"/>
        <v>295890.64996558288</v>
      </c>
      <c r="AC77">
        <f t="shared" si="53"/>
        <v>287013.93046661542</v>
      </c>
      <c r="AD77">
        <f t="shared" si="53"/>
        <v>278403.51255261694</v>
      </c>
      <c r="AE77">
        <f t="shared" si="53"/>
        <v>270051.40717603842</v>
      </c>
      <c r="AF77">
        <f t="shared" si="53"/>
        <v>261949.86496075726</v>
      </c>
      <c r="AG77">
        <f t="shared" si="53"/>
        <v>254091.36901193456</v>
      </c>
      <c r="AH77">
        <f t="shared" si="53"/>
        <v>246468.62794157653</v>
      </c>
      <c r="AI77">
        <f t="shared" si="53"/>
        <v>239074.56910332924</v>
      </c>
      <c r="AJ77">
        <f t="shared" si="53"/>
        <v>231902.33203022936</v>
      </c>
      <c r="AK77">
        <f t="shared" si="53"/>
        <v>224945.26206932249</v>
      </c>
      <c r="AL77">
        <f t="shared" si="53"/>
        <v>218196.90420724283</v>
      </c>
      <c r="AM77">
        <f t="shared" si="53"/>
        <v>211650.99708102553</v>
      </c>
      <c r="AN77">
        <f t="shared" si="53"/>
        <v>205301.46716859477</v>
      </c>
      <c r="AO77">
        <f t="shared" si="53"/>
        <v>199142.42315353692</v>
      </c>
      <c r="AP77">
        <f t="shared" si="53"/>
        <v>193168.15045893082</v>
      </c>
      <c r="AQ77">
        <f t="shared" si="53"/>
        <v>187373.10594516288</v>
      </c>
      <c r="AR77">
        <f t="shared" si="53"/>
        <v>181751.912766808</v>
      </c>
      <c r="AS77">
        <f t="shared" si="53"/>
        <v>176299.35538380378</v>
      </c>
      <c r="AT77">
        <f t="shared" si="53"/>
        <v>171010.37472228968</v>
      </c>
      <c r="AU77">
        <f t="shared" si="53"/>
        <v>165880.063480621</v>
      </c>
      <c r="AV77">
        <f t="shared" si="53"/>
        <v>160903.66157620237</v>
      </c>
      <c r="AW77">
        <f t="shared" si="53"/>
        <v>156076.5517289163</v>
      </c>
      <c r="AX77">
        <f t="shared" si="53"/>
        <v>151394.25517704882</v>
      </c>
      <c r="AY77">
        <f t="shared" si="53"/>
        <v>146852.42752173735</v>
      </c>
      <c r="AZ77">
        <f t="shared" si="53"/>
        <v>142446.85469608524</v>
      </c>
      <c r="BA77">
        <f t="shared" si="53"/>
        <v>138173.44905520268</v>
      </c>
      <c r="BB77">
        <f t="shared" si="53"/>
        <v>134028.24558354661</v>
      </c>
      <c r="BC77">
        <f t="shared" si="53"/>
        <v>130007.39821604021</v>
      </c>
      <c r="BD77">
        <f t="shared" si="53"/>
        <v>126107.176269559</v>
      </c>
      <c r="BE77">
        <f t="shared" si="53"/>
        <v>122323.96098147224</v>
      </c>
      <c r="BF77">
        <f t="shared" si="53"/>
        <v>118654.24215202806</v>
      </c>
      <c r="BG77">
        <f t="shared" si="53"/>
        <v>115094.61488746722</v>
      </c>
      <c r="BH77">
        <f t="shared" si="53"/>
        <v>111641.77644084321</v>
      </c>
      <c r="BI77">
        <f t="shared" si="53"/>
        <v>108292.52314761792</v>
      </c>
      <c r="BJ77">
        <f t="shared" si="53"/>
        <v>105043.74745318938</v>
      </c>
      <c r="BK77">
        <f t="shared" si="53"/>
        <v>101892.4350295937</v>
      </c>
      <c r="BL77">
        <f t="shared" si="53"/>
        <v>98835.661978705888</v>
      </c>
      <c r="BM77">
        <f t="shared" si="53"/>
        <v>95870.592119344714</v>
      </c>
      <c r="BN77">
        <f t="shared" si="53"/>
        <v>92994.474355764367</v>
      </c>
      <c r="BO77">
        <f t="shared" ref="BO77:BS77" si="54">BN77-BN77*0.03</f>
        <v>90204.640125091435</v>
      </c>
      <c r="BP77">
        <f t="shared" si="54"/>
        <v>87498.500921338695</v>
      </c>
      <c r="BQ77">
        <f t="shared" si="54"/>
        <v>84873.545893698538</v>
      </c>
      <c r="BR77">
        <f t="shared" si="54"/>
        <v>82327.339516887587</v>
      </c>
      <c r="BS77">
        <f t="shared" si="54"/>
        <v>79857.519331380958</v>
      </c>
    </row>
    <row r="78" spans="1:71" x14ac:dyDescent="0.35">
      <c r="A78" s="1" t="s">
        <v>31</v>
      </c>
      <c r="B78" s="15">
        <f t="shared" si="48"/>
        <v>1263355.4362255444</v>
      </c>
      <c r="C78">
        <f t="shared" ref="C78:BN78" si="55">B78-B78*0.03</f>
        <v>1225454.7731387781</v>
      </c>
      <c r="D78">
        <f t="shared" si="55"/>
        <v>1188691.1299446146</v>
      </c>
      <c r="E78">
        <f t="shared" si="55"/>
        <v>1153030.3960462762</v>
      </c>
      <c r="F78">
        <f t="shared" si="55"/>
        <v>1118439.484164888</v>
      </c>
      <c r="G78">
        <f t="shared" si="55"/>
        <v>1084886.2996399414</v>
      </c>
      <c r="H78">
        <f t="shared" si="55"/>
        <v>1052339.7106507432</v>
      </c>
      <c r="I78">
        <f t="shared" si="55"/>
        <v>1020769.5193312209</v>
      </c>
      <c r="J78">
        <f t="shared" si="55"/>
        <v>990146.43375128426</v>
      </c>
      <c r="K78">
        <f t="shared" si="55"/>
        <v>960442.04073874571</v>
      </c>
      <c r="L78">
        <f t="shared" si="55"/>
        <v>931628.77951658331</v>
      </c>
      <c r="M78">
        <f t="shared" si="55"/>
        <v>903679.91613108583</v>
      </c>
      <c r="N78">
        <f t="shared" si="55"/>
        <v>876569.51864715328</v>
      </c>
      <c r="O78">
        <f t="shared" si="55"/>
        <v>850272.4330877387</v>
      </c>
      <c r="P78">
        <f t="shared" si="55"/>
        <v>824764.26009510655</v>
      </c>
      <c r="Q78">
        <f t="shared" si="55"/>
        <v>800021.33229225338</v>
      </c>
      <c r="R78">
        <f t="shared" si="55"/>
        <v>776020.69232348574</v>
      </c>
      <c r="S78">
        <f t="shared" si="55"/>
        <v>752740.07155378116</v>
      </c>
      <c r="T78">
        <f t="shared" si="55"/>
        <v>730157.86940716777</v>
      </c>
      <c r="U78">
        <f t="shared" si="55"/>
        <v>708253.1333249528</v>
      </c>
      <c r="V78">
        <f t="shared" si="55"/>
        <v>687005.53932520421</v>
      </c>
      <c r="W78">
        <f t="shared" si="55"/>
        <v>666395.37314544804</v>
      </c>
      <c r="X78">
        <f t="shared" si="55"/>
        <v>646403.5119510846</v>
      </c>
      <c r="Y78">
        <f t="shared" si="55"/>
        <v>627011.40659255208</v>
      </c>
      <c r="Z78">
        <f t="shared" si="55"/>
        <v>608201.06439477555</v>
      </c>
      <c r="AA78">
        <f t="shared" si="55"/>
        <v>589955.03246293229</v>
      </c>
      <c r="AB78">
        <f t="shared" si="55"/>
        <v>572256.38148904429</v>
      </c>
      <c r="AC78">
        <f t="shared" si="55"/>
        <v>555088.69004437292</v>
      </c>
      <c r="AD78">
        <f t="shared" si="55"/>
        <v>538436.02934304171</v>
      </c>
      <c r="AE78">
        <f t="shared" si="55"/>
        <v>522282.94846275047</v>
      </c>
      <c r="AF78">
        <f t="shared" si="55"/>
        <v>506614.46000886796</v>
      </c>
      <c r="AG78">
        <f t="shared" si="55"/>
        <v>491416.02620860189</v>
      </c>
      <c r="AH78">
        <f t="shared" si="55"/>
        <v>476673.54542234383</v>
      </c>
      <c r="AI78">
        <f t="shared" si="55"/>
        <v>462373.33905967354</v>
      </c>
      <c r="AJ78">
        <f t="shared" si="55"/>
        <v>448502.13888788334</v>
      </c>
      <c r="AK78">
        <f t="shared" si="55"/>
        <v>435047.07472124684</v>
      </c>
      <c r="AL78">
        <f t="shared" si="55"/>
        <v>421995.66247960943</v>
      </c>
      <c r="AM78">
        <f t="shared" si="55"/>
        <v>409335.79260522116</v>
      </c>
      <c r="AN78">
        <f t="shared" si="55"/>
        <v>397055.7188270645</v>
      </c>
      <c r="AO78">
        <f t="shared" si="55"/>
        <v>385144.04726225254</v>
      </c>
      <c r="AP78">
        <f t="shared" si="55"/>
        <v>373589.72584438499</v>
      </c>
      <c r="AQ78">
        <f t="shared" si="55"/>
        <v>362382.03406905342</v>
      </c>
      <c r="AR78">
        <f t="shared" si="55"/>
        <v>351510.57304698182</v>
      </c>
      <c r="AS78">
        <f t="shared" si="55"/>
        <v>340965.25585557235</v>
      </c>
      <c r="AT78">
        <f t="shared" si="55"/>
        <v>330736.29817990516</v>
      </c>
      <c r="AU78">
        <f t="shared" si="55"/>
        <v>320814.20923450799</v>
      </c>
      <c r="AV78">
        <f t="shared" si="55"/>
        <v>311189.78295747272</v>
      </c>
      <c r="AW78">
        <f t="shared" si="55"/>
        <v>301854.08946874854</v>
      </c>
      <c r="AX78">
        <f t="shared" si="55"/>
        <v>292798.46678468608</v>
      </c>
      <c r="AY78">
        <f t="shared" si="55"/>
        <v>284014.51278114552</v>
      </c>
      <c r="AZ78">
        <f t="shared" si="55"/>
        <v>275494.07739771117</v>
      </c>
      <c r="BA78">
        <f t="shared" si="55"/>
        <v>267229.25507577986</v>
      </c>
      <c r="BB78">
        <f t="shared" si="55"/>
        <v>259212.37742350646</v>
      </c>
      <c r="BC78">
        <f t="shared" si="55"/>
        <v>251436.00610080126</v>
      </c>
      <c r="BD78">
        <f t="shared" si="55"/>
        <v>243892.92591777723</v>
      </c>
      <c r="BE78">
        <f t="shared" si="55"/>
        <v>236576.13814024391</v>
      </c>
      <c r="BF78">
        <f t="shared" si="55"/>
        <v>229478.8539960366</v>
      </c>
      <c r="BG78">
        <f t="shared" si="55"/>
        <v>222594.4883761555</v>
      </c>
      <c r="BH78">
        <f t="shared" si="55"/>
        <v>215916.65372487082</v>
      </c>
      <c r="BI78">
        <f t="shared" si="55"/>
        <v>209439.15411312471</v>
      </c>
      <c r="BJ78">
        <f t="shared" si="55"/>
        <v>203155.97948973096</v>
      </c>
      <c r="BK78">
        <f t="shared" si="55"/>
        <v>197061.30010503903</v>
      </c>
      <c r="BL78">
        <f t="shared" si="55"/>
        <v>191149.46110188786</v>
      </c>
      <c r="BM78">
        <f t="shared" si="55"/>
        <v>185414.97726883122</v>
      </c>
      <c r="BN78">
        <f t="shared" si="55"/>
        <v>179852.52795076629</v>
      </c>
      <c r="BO78">
        <f t="shared" ref="BO78:BS78" si="56">BN78-BN78*0.03</f>
        <v>174456.95211224331</v>
      </c>
      <c r="BP78">
        <f t="shared" si="56"/>
        <v>169223.24354887599</v>
      </c>
      <c r="BQ78">
        <f t="shared" si="56"/>
        <v>164146.54624240971</v>
      </c>
      <c r="BR78">
        <f t="shared" si="56"/>
        <v>159222.14985513742</v>
      </c>
      <c r="BS78">
        <f t="shared" si="56"/>
        <v>154445.48535948331</v>
      </c>
    </row>
    <row r="79" spans="1:71" x14ac:dyDescent="0.35">
      <c r="A79" s="1" t="s">
        <v>32</v>
      </c>
      <c r="B79" s="15">
        <f t="shared" si="48"/>
        <v>2181212.9907980142</v>
      </c>
      <c r="C79">
        <f t="shared" ref="C79:BN79" si="57">B79-B79*0.03</f>
        <v>2115776.6010740739</v>
      </c>
      <c r="D79">
        <f t="shared" si="57"/>
        <v>2052303.3030418516</v>
      </c>
      <c r="E79">
        <f t="shared" si="57"/>
        <v>1990734.203950596</v>
      </c>
      <c r="F79">
        <f t="shared" si="57"/>
        <v>1931012.1778320782</v>
      </c>
      <c r="G79">
        <f t="shared" si="57"/>
        <v>1873081.8124971159</v>
      </c>
      <c r="H79">
        <f t="shared" si="57"/>
        <v>1816889.3581222026</v>
      </c>
      <c r="I79">
        <f t="shared" si="57"/>
        <v>1762382.6773785364</v>
      </c>
      <c r="J79">
        <f t="shared" si="57"/>
        <v>1709511.1970571803</v>
      </c>
      <c r="K79">
        <f t="shared" si="57"/>
        <v>1658225.8611454649</v>
      </c>
      <c r="L79">
        <f t="shared" si="57"/>
        <v>1608479.0853111011</v>
      </c>
      <c r="M79">
        <f t="shared" si="57"/>
        <v>1560224.7127517681</v>
      </c>
      <c r="N79">
        <f t="shared" si="57"/>
        <v>1513417.9713692151</v>
      </c>
      <c r="O79">
        <f t="shared" si="57"/>
        <v>1468015.4322281387</v>
      </c>
      <c r="P79">
        <f t="shared" si="57"/>
        <v>1423974.9692612945</v>
      </c>
      <c r="Q79">
        <f t="shared" si="57"/>
        <v>1381255.7201834556</v>
      </c>
      <c r="R79">
        <f t="shared" si="57"/>
        <v>1339818.048577952</v>
      </c>
      <c r="S79">
        <f t="shared" si="57"/>
        <v>1299623.5071206135</v>
      </c>
      <c r="T79">
        <f t="shared" si="57"/>
        <v>1260634.801906995</v>
      </c>
      <c r="U79">
        <f t="shared" si="57"/>
        <v>1222815.7578497853</v>
      </c>
      <c r="V79">
        <f t="shared" si="57"/>
        <v>1186131.2851142918</v>
      </c>
      <c r="W79">
        <f t="shared" si="57"/>
        <v>1150547.3465608631</v>
      </c>
      <c r="X79">
        <f t="shared" si="57"/>
        <v>1116030.9261640371</v>
      </c>
      <c r="Y79">
        <f t="shared" si="57"/>
        <v>1082549.9983791159</v>
      </c>
      <c r="Z79">
        <f t="shared" si="57"/>
        <v>1050073.4984277424</v>
      </c>
      <c r="AA79">
        <f t="shared" si="57"/>
        <v>1018571.2934749101</v>
      </c>
      <c r="AB79">
        <f t="shared" si="57"/>
        <v>988014.15467066283</v>
      </c>
      <c r="AC79">
        <f t="shared" si="57"/>
        <v>958373.73003054294</v>
      </c>
      <c r="AD79">
        <f t="shared" si="57"/>
        <v>929622.51812962664</v>
      </c>
      <c r="AE79">
        <f t="shared" si="57"/>
        <v>901733.84258573782</v>
      </c>
      <c r="AF79">
        <f t="shared" si="57"/>
        <v>874681.82730816572</v>
      </c>
      <c r="AG79">
        <f t="shared" si="57"/>
        <v>848441.37248892081</v>
      </c>
      <c r="AH79">
        <f t="shared" si="57"/>
        <v>822988.1313142532</v>
      </c>
      <c r="AI79">
        <f t="shared" si="57"/>
        <v>798298.48737482564</v>
      </c>
      <c r="AJ79">
        <f t="shared" si="57"/>
        <v>774349.53275358083</v>
      </c>
      <c r="AK79">
        <f t="shared" si="57"/>
        <v>751119.04677097336</v>
      </c>
      <c r="AL79">
        <f t="shared" si="57"/>
        <v>728585.4753678441</v>
      </c>
      <c r="AM79">
        <f t="shared" si="57"/>
        <v>706727.91110680881</v>
      </c>
      <c r="AN79">
        <f t="shared" si="57"/>
        <v>685526.07377360458</v>
      </c>
      <c r="AO79">
        <f t="shared" si="57"/>
        <v>664960.29156039644</v>
      </c>
      <c r="AP79">
        <f t="shared" si="57"/>
        <v>645011.4828135845</v>
      </c>
      <c r="AQ79">
        <f t="shared" si="57"/>
        <v>625661.13832917693</v>
      </c>
      <c r="AR79">
        <f t="shared" si="57"/>
        <v>606891.3041793016</v>
      </c>
      <c r="AS79">
        <f t="shared" si="57"/>
        <v>588684.56505392259</v>
      </c>
      <c r="AT79">
        <f t="shared" si="57"/>
        <v>571024.0281023049</v>
      </c>
      <c r="AU79">
        <f t="shared" si="57"/>
        <v>553893.30725923576</v>
      </c>
      <c r="AV79">
        <f t="shared" si="57"/>
        <v>537276.50804145867</v>
      </c>
      <c r="AW79">
        <f t="shared" si="57"/>
        <v>521158.21280021488</v>
      </c>
      <c r="AX79">
        <f t="shared" si="57"/>
        <v>505523.46641620842</v>
      </c>
      <c r="AY79">
        <f t="shared" si="57"/>
        <v>490357.76242372219</v>
      </c>
      <c r="AZ79">
        <f t="shared" si="57"/>
        <v>475647.02955101052</v>
      </c>
      <c r="BA79">
        <f t="shared" si="57"/>
        <v>461377.61866448022</v>
      </c>
      <c r="BB79">
        <f t="shared" si="57"/>
        <v>447536.29010454583</v>
      </c>
      <c r="BC79">
        <f t="shared" si="57"/>
        <v>434110.20140140946</v>
      </c>
      <c r="BD79">
        <f t="shared" si="57"/>
        <v>421086.89535936719</v>
      </c>
      <c r="BE79">
        <f t="shared" si="57"/>
        <v>408454.28849858616</v>
      </c>
      <c r="BF79">
        <f t="shared" si="57"/>
        <v>396200.65984362859</v>
      </c>
      <c r="BG79">
        <f t="shared" si="57"/>
        <v>384314.64004831971</v>
      </c>
      <c r="BH79">
        <f t="shared" si="57"/>
        <v>372785.20084687014</v>
      </c>
      <c r="BI79">
        <f t="shared" si="57"/>
        <v>361601.64482146403</v>
      </c>
      <c r="BJ79">
        <f t="shared" si="57"/>
        <v>350753.59547682013</v>
      </c>
      <c r="BK79">
        <f t="shared" si="57"/>
        <v>340230.98761251551</v>
      </c>
      <c r="BL79">
        <f t="shared" si="57"/>
        <v>330024.05798414006</v>
      </c>
      <c r="BM79">
        <f t="shared" si="57"/>
        <v>320123.33624461584</v>
      </c>
      <c r="BN79">
        <f t="shared" si="57"/>
        <v>310519.63615727739</v>
      </c>
      <c r="BO79">
        <f t="shared" ref="BO79:BS79" si="58">BN79-BN79*0.03</f>
        <v>301204.04707255907</v>
      </c>
      <c r="BP79">
        <f t="shared" si="58"/>
        <v>292167.92566038232</v>
      </c>
      <c r="BQ79">
        <f t="shared" si="58"/>
        <v>283402.88789057086</v>
      </c>
      <c r="BR79">
        <f t="shared" si="58"/>
        <v>274900.80125385372</v>
      </c>
      <c r="BS79">
        <f t="shared" si="58"/>
        <v>266653.77721623809</v>
      </c>
    </row>
    <row r="80" spans="1:71" x14ac:dyDescent="0.35">
      <c r="A80" s="1" t="s">
        <v>33</v>
      </c>
      <c r="B80" s="15">
        <f t="shared" si="48"/>
        <v>3021955.4325294704</v>
      </c>
      <c r="C80">
        <f t="shared" ref="C80:BN80" si="59">B80-B80*0.03</f>
        <v>2931296.7695535864</v>
      </c>
      <c r="D80">
        <f t="shared" si="59"/>
        <v>2843357.8664669786</v>
      </c>
      <c r="E80">
        <f t="shared" si="59"/>
        <v>2758057.1304729693</v>
      </c>
      <c r="F80">
        <f t="shared" si="59"/>
        <v>2675315.4165587802</v>
      </c>
      <c r="G80">
        <f t="shared" si="59"/>
        <v>2595055.9540620167</v>
      </c>
      <c r="H80">
        <f t="shared" si="59"/>
        <v>2517204.275440156</v>
      </c>
      <c r="I80">
        <f t="shared" si="59"/>
        <v>2441688.1471769512</v>
      </c>
      <c r="J80">
        <f t="shared" si="59"/>
        <v>2368437.5027616424</v>
      </c>
      <c r="K80">
        <f t="shared" si="59"/>
        <v>2297384.3776787934</v>
      </c>
      <c r="L80">
        <f t="shared" si="59"/>
        <v>2228462.8463484296</v>
      </c>
      <c r="M80">
        <f t="shared" si="59"/>
        <v>2161608.9609579765</v>
      </c>
      <c r="N80">
        <f t="shared" si="59"/>
        <v>2096760.6921292371</v>
      </c>
      <c r="O80">
        <f t="shared" si="59"/>
        <v>2033857.87136536</v>
      </c>
      <c r="P80">
        <f t="shared" si="59"/>
        <v>1972842.1352243992</v>
      </c>
      <c r="Q80">
        <f t="shared" si="59"/>
        <v>1913656.8711676672</v>
      </c>
      <c r="R80">
        <f t="shared" si="59"/>
        <v>1856247.1650326373</v>
      </c>
      <c r="S80">
        <f t="shared" si="59"/>
        <v>1800559.7500816581</v>
      </c>
      <c r="T80">
        <f t="shared" si="59"/>
        <v>1746542.9575792083</v>
      </c>
      <c r="U80">
        <f t="shared" si="59"/>
        <v>1694146.6688518322</v>
      </c>
      <c r="V80">
        <f t="shared" si="59"/>
        <v>1643322.2687862772</v>
      </c>
      <c r="W80">
        <f t="shared" si="59"/>
        <v>1594022.6007226889</v>
      </c>
      <c r="X80">
        <f t="shared" si="59"/>
        <v>1546201.9227010084</v>
      </c>
      <c r="Y80">
        <f t="shared" si="59"/>
        <v>1499815.865019978</v>
      </c>
      <c r="Z80">
        <f t="shared" si="59"/>
        <v>1454821.3890693786</v>
      </c>
      <c r="AA80">
        <f t="shared" si="59"/>
        <v>1411176.7473972973</v>
      </c>
      <c r="AB80">
        <f t="shared" si="59"/>
        <v>1368841.4449753785</v>
      </c>
      <c r="AC80">
        <f t="shared" si="59"/>
        <v>1327776.2016261171</v>
      </c>
      <c r="AD80">
        <f t="shared" si="59"/>
        <v>1287942.9155773337</v>
      </c>
      <c r="AE80">
        <f t="shared" si="59"/>
        <v>1249304.6281100137</v>
      </c>
      <c r="AF80">
        <f t="shared" si="59"/>
        <v>1211825.4892667131</v>
      </c>
      <c r="AG80">
        <f t="shared" si="59"/>
        <v>1175470.7245887117</v>
      </c>
      <c r="AH80">
        <f t="shared" si="59"/>
        <v>1140206.6028510504</v>
      </c>
      <c r="AI80">
        <f t="shared" si="59"/>
        <v>1106000.4047655188</v>
      </c>
      <c r="AJ80">
        <f t="shared" si="59"/>
        <v>1072820.3926225533</v>
      </c>
      <c r="AK80">
        <f t="shared" si="59"/>
        <v>1040635.7808438767</v>
      </c>
      <c r="AL80">
        <f t="shared" si="59"/>
        <v>1009416.7074185604</v>
      </c>
      <c r="AM80">
        <f t="shared" si="59"/>
        <v>979134.20619600359</v>
      </c>
      <c r="AN80">
        <f t="shared" si="59"/>
        <v>949760.18001012353</v>
      </c>
      <c r="AO80">
        <f t="shared" si="59"/>
        <v>921267.37460981985</v>
      </c>
      <c r="AP80">
        <f t="shared" si="59"/>
        <v>893629.3533715253</v>
      </c>
      <c r="AQ80">
        <f t="shared" si="59"/>
        <v>866820.47277037951</v>
      </c>
      <c r="AR80">
        <f t="shared" si="59"/>
        <v>840815.85858726816</v>
      </c>
      <c r="AS80">
        <f t="shared" si="59"/>
        <v>815591.38282965007</v>
      </c>
      <c r="AT80">
        <f t="shared" si="59"/>
        <v>791123.64134476054</v>
      </c>
      <c r="AU80">
        <f t="shared" si="59"/>
        <v>767389.9321044177</v>
      </c>
      <c r="AV80">
        <f t="shared" si="59"/>
        <v>744368.23414128518</v>
      </c>
      <c r="AW80">
        <f t="shared" si="59"/>
        <v>722037.18711704668</v>
      </c>
      <c r="AX80">
        <f t="shared" si="59"/>
        <v>700376.07150353526</v>
      </c>
      <c r="AY80">
        <f t="shared" si="59"/>
        <v>679364.78935842926</v>
      </c>
      <c r="AZ80">
        <f t="shared" si="59"/>
        <v>658983.84567767638</v>
      </c>
      <c r="BA80">
        <f t="shared" si="59"/>
        <v>639214.33030734607</v>
      </c>
      <c r="BB80">
        <f t="shared" si="59"/>
        <v>620037.90039812564</v>
      </c>
      <c r="BC80">
        <f t="shared" si="59"/>
        <v>601436.7633861819</v>
      </c>
      <c r="BD80">
        <f t="shared" si="59"/>
        <v>583393.6604845965</v>
      </c>
      <c r="BE80">
        <f t="shared" si="59"/>
        <v>565891.85067005863</v>
      </c>
      <c r="BF80">
        <f t="shared" si="59"/>
        <v>548915.09514995688</v>
      </c>
      <c r="BG80">
        <f t="shared" si="59"/>
        <v>532447.64229545812</v>
      </c>
      <c r="BH80">
        <f t="shared" si="59"/>
        <v>516474.21302659437</v>
      </c>
      <c r="BI80">
        <f t="shared" si="59"/>
        <v>500979.98663579655</v>
      </c>
      <c r="BJ80">
        <f t="shared" si="59"/>
        <v>485950.58703672263</v>
      </c>
      <c r="BK80">
        <f t="shared" si="59"/>
        <v>471372.06942562095</v>
      </c>
      <c r="BL80">
        <f t="shared" si="59"/>
        <v>457230.90734285233</v>
      </c>
      <c r="BM80">
        <f t="shared" si="59"/>
        <v>443513.98012256675</v>
      </c>
      <c r="BN80">
        <f t="shared" si="59"/>
        <v>430208.56071888976</v>
      </c>
      <c r="BO80">
        <f t="shared" ref="BO80:BS80" si="60">BN80-BN80*0.03</f>
        <v>417302.30389732309</v>
      </c>
      <c r="BP80">
        <f t="shared" si="60"/>
        <v>404783.23478040338</v>
      </c>
      <c r="BQ80">
        <f t="shared" si="60"/>
        <v>392639.73773699126</v>
      </c>
      <c r="BR80">
        <f t="shared" si="60"/>
        <v>380860.54560488154</v>
      </c>
      <c r="BS80">
        <f t="shared" si="60"/>
        <v>369434.72923673509</v>
      </c>
    </row>
    <row r="81" spans="1:71" x14ac:dyDescent="0.35">
      <c r="A81" s="1" t="s">
        <v>34</v>
      </c>
      <c r="B81" s="15">
        <f t="shared" si="48"/>
        <v>4471034.3846960897</v>
      </c>
      <c r="C81">
        <f t="shared" ref="C81:BN81" si="61">B81-B81*0.03</f>
        <v>4336903.3531552069</v>
      </c>
      <c r="D81">
        <f t="shared" si="61"/>
        <v>4206796.2525605503</v>
      </c>
      <c r="E81">
        <f t="shared" si="61"/>
        <v>4080592.3649837337</v>
      </c>
      <c r="F81">
        <f t="shared" si="61"/>
        <v>3958174.594034222</v>
      </c>
      <c r="G81">
        <f t="shared" si="61"/>
        <v>3839429.3562131952</v>
      </c>
      <c r="H81">
        <f t="shared" si="61"/>
        <v>3724246.4755267994</v>
      </c>
      <c r="I81">
        <f t="shared" si="61"/>
        <v>3612519.0812609955</v>
      </c>
      <c r="J81">
        <f t="shared" si="61"/>
        <v>3504143.5088231657</v>
      </c>
      <c r="K81">
        <f t="shared" si="61"/>
        <v>3399019.2035584706</v>
      </c>
      <c r="L81">
        <f t="shared" si="61"/>
        <v>3297048.6274517165</v>
      </c>
      <c r="M81">
        <f t="shared" si="61"/>
        <v>3198137.168628165</v>
      </c>
      <c r="N81">
        <f t="shared" si="61"/>
        <v>3102193.0535693201</v>
      </c>
      <c r="O81">
        <f t="shared" si="61"/>
        <v>3009127.2619622406</v>
      </c>
      <c r="P81">
        <f t="shared" si="61"/>
        <v>2918853.4441033732</v>
      </c>
      <c r="Q81">
        <f t="shared" si="61"/>
        <v>2831287.8407802721</v>
      </c>
      <c r="R81">
        <f t="shared" si="61"/>
        <v>2746349.2055568639</v>
      </c>
      <c r="S81">
        <f t="shared" si="61"/>
        <v>2663958.7293901579</v>
      </c>
      <c r="T81">
        <f t="shared" si="61"/>
        <v>2584039.9675084529</v>
      </c>
      <c r="U81">
        <f t="shared" si="61"/>
        <v>2506518.7684831992</v>
      </c>
      <c r="V81">
        <f t="shared" si="61"/>
        <v>2431323.2054287032</v>
      </c>
      <c r="W81">
        <f t="shared" si="61"/>
        <v>2358383.5092658419</v>
      </c>
      <c r="X81">
        <f t="shared" si="61"/>
        <v>2287632.0039878665</v>
      </c>
      <c r="Y81">
        <f t="shared" si="61"/>
        <v>2219003.0438682307</v>
      </c>
      <c r="Z81">
        <f t="shared" si="61"/>
        <v>2152432.9525521835</v>
      </c>
      <c r="AA81">
        <f t="shared" si="61"/>
        <v>2087859.9639756181</v>
      </c>
      <c r="AB81">
        <f t="shared" si="61"/>
        <v>2025224.1650563495</v>
      </c>
      <c r="AC81">
        <f t="shared" si="61"/>
        <v>1964467.4401046589</v>
      </c>
      <c r="AD81">
        <f t="shared" si="61"/>
        <v>1905533.4169015193</v>
      </c>
      <c r="AE81">
        <f t="shared" si="61"/>
        <v>1848367.4143944737</v>
      </c>
      <c r="AF81">
        <f t="shared" si="61"/>
        <v>1792916.3919626395</v>
      </c>
      <c r="AG81">
        <f t="shared" si="61"/>
        <v>1739128.9002037602</v>
      </c>
      <c r="AH81">
        <f t="shared" si="61"/>
        <v>1686955.0331976474</v>
      </c>
      <c r="AI81">
        <f t="shared" si="61"/>
        <v>1636346.3822017179</v>
      </c>
      <c r="AJ81">
        <f t="shared" si="61"/>
        <v>1587255.9907356664</v>
      </c>
      <c r="AK81">
        <f t="shared" si="61"/>
        <v>1539638.3110135964</v>
      </c>
      <c r="AL81">
        <f t="shared" si="61"/>
        <v>1493449.1616831885</v>
      </c>
      <c r="AM81">
        <f t="shared" si="61"/>
        <v>1448645.6868326929</v>
      </c>
      <c r="AN81">
        <f t="shared" si="61"/>
        <v>1405186.3162277122</v>
      </c>
      <c r="AO81">
        <f t="shared" si="61"/>
        <v>1363030.7267408809</v>
      </c>
      <c r="AP81">
        <f t="shared" si="61"/>
        <v>1322139.8049386544</v>
      </c>
      <c r="AQ81">
        <f t="shared" si="61"/>
        <v>1282475.6107904948</v>
      </c>
      <c r="AR81">
        <f t="shared" si="61"/>
        <v>1244001.34246678</v>
      </c>
      <c r="AS81">
        <f t="shared" si="61"/>
        <v>1206681.3021927767</v>
      </c>
      <c r="AT81">
        <f t="shared" si="61"/>
        <v>1170480.8631269934</v>
      </c>
      <c r="AU81">
        <f t="shared" si="61"/>
        <v>1135366.4372331835</v>
      </c>
      <c r="AV81">
        <f t="shared" si="61"/>
        <v>1101305.444116188</v>
      </c>
      <c r="AW81">
        <f t="shared" si="61"/>
        <v>1068266.2807927025</v>
      </c>
      <c r="AX81">
        <f t="shared" si="61"/>
        <v>1036218.2923689213</v>
      </c>
      <c r="AY81">
        <f t="shared" si="61"/>
        <v>1005131.7435978537</v>
      </c>
      <c r="AZ81">
        <f t="shared" si="61"/>
        <v>974977.79128991812</v>
      </c>
      <c r="BA81">
        <f t="shared" si="61"/>
        <v>945728.45755122055</v>
      </c>
      <c r="BB81">
        <f t="shared" si="61"/>
        <v>917356.60382468393</v>
      </c>
      <c r="BC81">
        <f t="shared" si="61"/>
        <v>889835.90570994338</v>
      </c>
      <c r="BD81">
        <f t="shared" si="61"/>
        <v>863140.82853864506</v>
      </c>
      <c r="BE81">
        <f t="shared" si="61"/>
        <v>837246.60368248576</v>
      </c>
      <c r="BF81">
        <f t="shared" si="61"/>
        <v>812129.20557201118</v>
      </c>
      <c r="BG81">
        <f t="shared" si="61"/>
        <v>787765.32940485084</v>
      </c>
      <c r="BH81">
        <f t="shared" si="61"/>
        <v>764132.36952270532</v>
      </c>
      <c r="BI81">
        <f t="shared" si="61"/>
        <v>741208.39843702421</v>
      </c>
      <c r="BJ81">
        <f t="shared" si="61"/>
        <v>718972.14648391353</v>
      </c>
      <c r="BK81">
        <f t="shared" si="61"/>
        <v>697402.9820893961</v>
      </c>
      <c r="BL81">
        <f t="shared" si="61"/>
        <v>676480.89262671419</v>
      </c>
      <c r="BM81">
        <f t="shared" si="61"/>
        <v>656186.46584791271</v>
      </c>
      <c r="BN81">
        <f t="shared" si="61"/>
        <v>636500.87187247537</v>
      </c>
      <c r="BO81">
        <f t="shared" ref="BO81:BS81" si="62">BN81-BN81*0.03</f>
        <v>617405.84571630112</v>
      </c>
      <c r="BP81">
        <f t="shared" si="62"/>
        <v>598883.6703448121</v>
      </c>
      <c r="BQ81">
        <f t="shared" si="62"/>
        <v>580917.16023446771</v>
      </c>
      <c r="BR81">
        <f t="shared" si="62"/>
        <v>563489.64542743366</v>
      </c>
      <c r="BS81">
        <f t="shared" si="62"/>
        <v>546584.95606461063</v>
      </c>
    </row>
    <row r="82" spans="1:71" x14ac:dyDescent="0.35">
      <c r="A82" s="1" t="s">
        <v>35</v>
      </c>
      <c r="B82" s="15">
        <f t="shared" si="48"/>
        <v>5090292.4315114701</v>
      </c>
      <c r="C82">
        <f t="shared" ref="C82:BN82" si="63">B82-B82*0.03</f>
        <v>4937583.6585661257</v>
      </c>
      <c r="D82">
        <f t="shared" si="63"/>
        <v>4789456.1488091415</v>
      </c>
      <c r="E82">
        <f t="shared" si="63"/>
        <v>4645772.4643448675</v>
      </c>
      <c r="F82">
        <f t="shared" si="63"/>
        <v>4506399.2904145215</v>
      </c>
      <c r="G82">
        <f t="shared" si="63"/>
        <v>4371207.3117020857</v>
      </c>
      <c r="H82">
        <f t="shared" si="63"/>
        <v>4240071.0923510231</v>
      </c>
      <c r="I82">
        <f t="shared" si="63"/>
        <v>4112868.9595804922</v>
      </c>
      <c r="J82">
        <f t="shared" si="63"/>
        <v>3989482.8907930776</v>
      </c>
      <c r="K82">
        <f t="shared" si="63"/>
        <v>3869798.4040692854</v>
      </c>
      <c r="L82">
        <f t="shared" si="63"/>
        <v>3753704.4519472066</v>
      </c>
      <c r="M82">
        <f t="shared" si="63"/>
        <v>3641093.3183887904</v>
      </c>
      <c r="N82">
        <f t="shared" si="63"/>
        <v>3531860.5188371264</v>
      </c>
      <c r="O82">
        <f t="shared" si="63"/>
        <v>3425904.7032720125</v>
      </c>
      <c r="P82">
        <f t="shared" si="63"/>
        <v>3323127.5621738522</v>
      </c>
      <c r="Q82">
        <f t="shared" si="63"/>
        <v>3223433.7353086364</v>
      </c>
      <c r="R82">
        <f t="shared" si="63"/>
        <v>3126730.7232493772</v>
      </c>
      <c r="S82">
        <f t="shared" si="63"/>
        <v>3032928.8015518957</v>
      </c>
      <c r="T82">
        <f t="shared" si="63"/>
        <v>2941940.9375053388</v>
      </c>
      <c r="U82">
        <f t="shared" si="63"/>
        <v>2853682.7093801787</v>
      </c>
      <c r="V82">
        <f t="shared" si="63"/>
        <v>2768072.2280987734</v>
      </c>
      <c r="W82">
        <f t="shared" si="63"/>
        <v>2685030.0612558103</v>
      </c>
      <c r="X82">
        <f t="shared" si="63"/>
        <v>2604479.1594181359</v>
      </c>
      <c r="Y82">
        <f t="shared" si="63"/>
        <v>2526344.7846355918</v>
      </c>
      <c r="Z82">
        <f t="shared" si="63"/>
        <v>2450554.4410965242</v>
      </c>
      <c r="AA82">
        <f t="shared" si="63"/>
        <v>2377037.8078636285</v>
      </c>
      <c r="AB82">
        <f t="shared" si="63"/>
        <v>2305726.6736277197</v>
      </c>
      <c r="AC82">
        <f t="shared" si="63"/>
        <v>2236554.8734188881</v>
      </c>
      <c r="AD82">
        <f t="shared" si="63"/>
        <v>2169458.2272163215</v>
      </c>
      <c r="AE82">
        <f t="shared" si="63"/>
        <v>2104374.4803998317</v>
      </c>
      <c r="AF82">
        <f t="shared" si="63"/>
        <v>2041243.2459878367</v>
      </c>
      <c r="AG82">
        <f t="shared" si="63"/>
        <v>1980005.9486082017</v>
      </c>
      <c r="AH82">
        <f t="shared" si="63"/>
        <v>1920605.7701499558</v>
      </c>
      <c r="AI82">
        <f t="shared" si="63"/>
        <v>1862987.597045457</v>
      </c>
      <c r="AJ82">
        <f t="shared" si="63"/>
        <v>1807097.9691340933</v>
      </c>
      <c r="AK82">
        <f t="shared" si="63"/>
        <v>1752885.0300600706</v>
      </c>
      <c r="AL82">
        <f t="shared" si="63"/>
        <v>1700298.4791582685</v>
      </c>
      <c r="AM82">
        <f t="shared" si="63"/>
        <v>1649289.5247835205</v>
      </c>
      <c r="AN82">
        <f t="shared" si="63"/>
        <v>1599810.8390400149</v>
      </c>
      <c r="AO82">
        <f t="shared" si="63"/>
        <v>1551816.5138688143</v>
      </c>
      <c r="AP82">
        <f t="shared" si="63"/>
        <v>1505262.0184527498</v>
      </c>
      <c r="AQ82">
        <f t="shared" si="63"/>
        <v>1460104.1578991674</v>
      </c>
      <c r="AR82">
        <f t="shared" si="63"/>
        <v>1416301.0331621924</v>
      </c>
      <c r="AS82">
        <f t="shared" si="63"/>
        <v>1373812.0021673266</v>
      </c>
      <c r="AT82">
        <f t="shared" si="63"/>
        <v>1332597.6421023069</v>
      </c>
      <c r="AU82">
        <f t="shared" si="63"/>
        <v>1292619.7128392376</v>
      </c>
      <c r="AV82">
        <f t="shared" si="63"/>
        <v>1253841.1214540605</v>
      </c>
      <c r="AW82">
        <f t="shared" si="63"/>
        <v>1216225.8878104386</v>
      </c>
      <c r="AX82">
        <f t="shared" si="63"/>
        <v>1179739.1111761255</v>
      </c>
      <c r="AY82">
        <f t="shared" si="63"/>
        <v>1144346.9378408417</v>
      </c>
      <c r="AZ82">
        <f t="shared" si="63"/>
        <v>1110016.5297056164</v>
      </c>
      <c r="BA82">
        <f t="shared" si="63"/>
        <v>1076716.0338144479</v>
      </c>
      <c r="BB82">
        <f t="shared" si="63"/>
        <v>1044414.5528000145</v>
      </c>
      <c r="BC82">
        <f t="shared" si="63"/>
        <v>1013082.116216014</v>
      </c>
      <c r="BD82">
        <f t="shared" si="63"/>
        <v>982689.65272953361</v>
      </c>
      <c r="BE82">
        <f t="shared" si="63"/>
        <v>953208.96314764756</v>
      </c>
      <c r="BF82">
        <f t="shared" si="63"/>
        <v>924612.69425321813</v>
      </c>
      <c r="BG82">
        <f t="shared" si="63"/>
        <v>896874.3134256216</v>
      </c>
      <c r="BH82">
        <f t="shared" si="63"/>
        <v>869968.08402285294</v>
      </c>
      <c r="BI82">
        <f t="shared" si="63"/>
        <v>843869.04150216735</v>
      </c>
      <c r="BJ82">
        <f t="shared" si="63"/>
        <v>818552.97025710228</v>
      </c>
      <c r="BK82">
        <f t="shared" si="63"/>
        <v>793996.3811493892</v>
      </c>
      <c r="BL82">
        <f t="shared" si="63"/>
        <v>770176.48971490748</v>
      </c>
      <c r="BM82">
        <f t="shared" si="63"/>
        <v>747071.19502346031</v>
      </c>
      <c r="BN82">
        <f t="shared" si="63"/>
        <v>724659.0591727565</v>
      </c>
      <c r="BO82">
        <f t="shared" ref="BO82:BS82" si="64">BN82-BN82*0.03</f>
        <v>702919.28739757382</v>
      </c>
      <c r="BP82">
        <f t="shared" si="64"/>
        <v>681831.70877564664</v>
      </c>
      <c r="BQ82">
        <f t="shared" si="64"/>
        <v>661376.75751237723</v>
      </c>
      <c r="BR82">
        <f t="shared" si="64"/>
        <v>641535.4547870059</v>
      </c>
      <c r="BS82">
        <f t="shared" si="64"/>
        <v>622289.39114339568</v>
      </c>
    </row>
    <row r="83" spans="1:71" x14ac:dyDescent="0.35">
      <c r="A83" s="1" t="s">
        <v>36</v>
      </c>
      <c r="B83" s="15">
        <f t="shared" si="48"/>
        <v>6663621.5531550609</v>
      </c>
      <c r="C83">
        <f t="shared" ref="C83:BN83" si="65">B83-B83*0.03</f>
        <v>6463712.9065604089</v>
      </c>
      <c r="D83">
        <f t="shared" si="65"/>
        <v>6269801.519363597</v>
      </c>
      <c r="E83">
        <f t="shared" si="65"/>
        <v>6081707.4737826893</v>
      </c>
      <c r="F83">
        <f t="shared" si="65"/>
        <v>5899256.2495692084</v>
      </c>
      <c r="G83">
        <f t="shared" si="65"/>
        <v>5722278.5620821323</v>
      </c>
      <c r="H83">
        <f t="shared" si="65"/>
        <v>5550610.2052196683</v>
      </c>
      <c r="I83">
        <f t="shared" si="65"/>
        <v>5384091.8990630787</v>
      </c>
      <c r="J83">
        <f t="shared" si="65"/>
        <v>5222569.1420911867</v>
      </c>
      <c r="K83">
        <f t="shared" si="65"/>
        <v>5065892.0678284513</v>
      </c>
      <c r="L83">
        <f t="shared" si="65"/>
        <v>4913915.3057935974</v>
      </c>
      <c r="M83">
        <f t="shared" si="65"/>
        <v>4766497.8466197895</v>
      </c>
      <c r="N83">
        <f t="shared" si="65"/>
        <v>4623502.9112211959</v>
      </c>
      <c r="O83">
        <f t="shared" si="65"/>
        <v>4484797.8238845598</v>
      </c>
      <c r="P83">
        <f t="shared" si="65"/>
        <v>4350253.8891680231</v>
      </c>
      <c r="Q83">
        <f t="shared" si="65"/>
        <v>4219746.2724929824</v>
      </c>
      <c r="R83">
        <f t="shared" si="65"/>
        <v>4093153.884318193</v>
      </c>
      <c r="S83">
        <f t="shared" si="65"/>
        <v>3970359.2677886472</v>
      </c>
      <c r="T83">
        <f t="shared" si="65"/>
        <v>3851248.4897549879</v>
      </c>
      <c r="U83">
        <f t="shared" si="65"/>
        <v>3735711.0350623382</v>
      </c>
      <c r="V83">
        <f t="shared" si="65"/>
        <v>3623639.704010468</v>
      </c>
      <c r="W83">
        <f t="shared" si="65"/>
        <v>3514930.512890154</v>
      </c>
      <c r="X83">
        <f t="shared" si="65"/>
        <v>3409482.5975034493</v>
      </c>
      <c r="Y83">
        <f t="shared" si="65"/>
        <v>3307198.1195783457</v>
      </c>
      <c r="Z83">
        <f t="shared" si="65"/>
        <v>3207982.1759909955</v>
      </c>
      <c r="AA83">
        <f t="shared" si="65"/>
        <v>3111742.7107112654</v>
      </c>
      <c r="AB83">
        <f t="shared" si="65"/>
        <v>3018390.4293899275</v>
      </c>
      <c r="AC83">
        <f t="shared" si="65"/>
        <v>2927838.7165082297</v>
      </c>
      <c r="AD83">
        <f t="shared" si="65"/>
        <v>2840003.5550129828</v>
      </c>
      <c r="AE83">
        <f t="shared" si="65"/>
        <v>2754803.4483625935</v>
      </c>
      <c r="AF83">
        <f t="shared" si="65"/>
        <v>2672159.3449117159</v>
      </c>
      <c r="AG83">
        <f t="shared" si="65"/>
        <v>2591994.5645643645</v>
      </c>
      <c r="AH83">
        <f t="shared" si="65"/>
        <v>2514234.7276274334</v>
      </c>
      <c r="AI83">
        <f t="shared" si="65"/>
        <v>2438807.6857986106</v>
      </c>
      <c r="AJ83">
        <f t="shared" si="65"/>
        <v>2365643.4552246523</v>
      </c>
      <c r="AK83">
        <f t="shared" si="65"/>
        <v>2294674.1515679127</v>
      </c>
      <c r="AL83">
        <f t="shared" si="65"/>
        <v>2225833.9270208753</v>
      </c>
      <c r="AM83">
        <f t="shared" si="65"/>
        <v>2159058.9092102489</v>
      </c>
      <c r="AN83">
        <f t="shared" si="65"/>
        <v>2094287.1419339413</v>
      </c>
      <c r="AO83">
        <f t="shared" si="65"/>
        <v>2031458.527675923</v>
      </c>
      <c r="AP83">
        <f t="shared" si="65"/>
        <v>1970514.7718456453</v>
      </c>
      <c r="AQ83">
        <f t="shared" si="65"/>
        <v>1911399.328690276</v>
      </c>
      <c r="AR83">
        <f t="shared" si="65"/>
        <v>1854057.3488295677</v>
      </c>
      <c r="AS83">
        <f t="shared" si="65"/>
        <v>1798435.6283646806</v>
      </c>
      <c r="AT83">
        <f t="shared" si="65"/>
        <v>1744482.5595137402</v>
      </c>
      <c r="AU83">
        <f t="shared" si="65"/>
        <v>1692148.082728328</v>
      </c>
      <c r="AV83">
        <f t="shared" si="65"/>
        <v>1641383.6402464781</v>
      </c>
      <c r="AW83">
        <f t="shared" si="65"/>
        <v>1592142.1310390837</v>
      </c>
      <c r="AX83">
        <f t="shared" si="65"/>
        <v>1544377.8671079113</v>
      </c>
      <c r="AY83">
        <f t="shared" si="65"/>
        <v>1498046.531094674</v>
      </c>
      <c r="AZ83">
        <f t="shared" si="65"/>
        <v>1453105.1351618338</v>
      </c>
      <c r="BA83">
        <f t="shared" si="65"/>
        <v>1409511.9811069788</v>
      </c>
      <c r="BB83">
        <f t="shared" si="65"/>
        <v>1367226.6216737696</v>
      </c>
      <c r="BC83">
        <f t="shared" si="65"/>
        <v>1326209.8230235565</v>
      </c>
      <c r="BD83">
        <f t="shared" si="65"/>
        <v>1286423.5283328497</v>
      </c>
      <c r="BE83">
        <f t="shared" si="65"/>
        <v>1247830.8224828641</v>
      </c>
      <c r="BF83">
        <f t="shared" si="65"/>
        <v>1210395.8978083783</v>
      </c>
      <c r="BG83">
        <f t="shared" si="65"/>
        <v>1174084.020874127</v>
      </c>
      <c r="BH83">
        <f t="shared" si="65"/>
        <v>1138861.5002479032</v>
      </c>
      <c r="BI83">
        <f t="shared" si="65"/>
        <v>1104695.6552404661</v>
      </c>
      <c r="BJ83">
        <f t="shared" si="65"/>
        <v>1071554.7855832521</v>
      </c>
      <c r="BK83">
        <f t="shared" si="65"/>
        <v>1039408.1420157545</v>
      </c>
      <c r="BL83">
        <f t="shared" si="65"/>
        <v>1008225.8977552819</v>
      </c>
      <c r="BM83">
        <f t="shared" si="65"/>
        <v>977979.12082262337</v>
      </c>
      <c r="BN83">
        <f t="shared" si="65"/>
        <v>948639.74719794467</v>
      </c>
      <c r="BO83">
        <f t="shared" ref="BO83:BS83" si="66">BN83-BN83*0.03</f>
        <v>920180.55478200631</v>
      </c>
      <c r="BP83">
        <f t="shared" si="66"/>
        <v>892575.13813854614</v>
      </c>
      <c r="BQ83">
        <f t="shared" si="66"/>
        <v>865797.88399438979</v>
      </c>
      <c r="BR83">
        <f t="shared" si="66"/>
        <v>839823.94747455814</v>
      </c>
      <c r="BS83">
        <f t="shared" si="66"/>
        <v>814629.22905032139</v>
      </c>
    </row>
    <row r="84" spans="1:71" x14ac:dyDescent="0.35">
      <c r="A84" s="1" t="s">
        <v>37</v>
      </c>
      <c r="B84" s="15">
        <f t="shared" si="48"/>
        <v>6751651.0849393466</v>
      </c>
      <c r="C84">
        <f t="shared" ref="C84:BN84" si="67">B84-B84*0.03</f>
        <v>6549101.5523911659</v>
      </c>
      <c r="D84">
        <f t="shared" si="67"/>
        <v>6352628.5058194306</v>
      </c>
      <c r="E84">
        <f t="shared" si="67"/>
        <v>6162049.6506448481</v>
      </c>
      <c r="F84">
        <f t="shared" si="67"/>
        <v>5977188.1611255025</v>
      </c>
      <c r="G84">
        <f t="shared" si="67"/>
        <v>5797872.5162917376</v>
      </c>
      <c r="H84">
        <f t="shared" si="67"/>
        <v>5623936.3408029852</v>
      </c>
      <c r="I84">
        <f t="shared" si="67"/>
        <v>5455218.2505788961</v>
      </c>
      <c r="J84">
        <f t="shared" si="67"/>
        <v>5291561.7030615294</v>
      </c>
      <c r="K84">
        <f t="shared" si="67"/>
        <v>5132814.8519696835</v>
      </c>
      <c r="L84">
        <f t="shared" si="67"/>
        <v>4978830.4064105926</v>
      </c>
      <c r="M84">
        <f t="shared" si="67"/>
        <v>4829465.494218275</v>
      </c>
      <c r="N84">
        <f t="shared" si="67"/>
        <v>4684581.5293917265</v>
      </c>
      <c r="O84">
        <f t="shared" si="67"/>
        <v>4544044.0835099751</v>
      </c>
      <c r="P84">
        <f t="shared" si="67"/>
        <v>4407722.7610046761</v>
      </c>
      <c r="Q84">
        <f t="shared" si="67"/>
        <v>4275491.0781745361</v>
      </c>
      <c r="R84">
        <f t="shared" si="67"/>
        <v>4147226.3458293001</v>
      </c>
      <c r="S84">
        <f t="shared" si="67"/>
        <v>4022809.5554544213</v>
      </c>
      <c r="T84">
        <f t="shared" si="67"/>
        <v>3902125.2687907885</v>
      </c>
      <c r="U84">
        <f t="shared" si="67"/>
        <v>3785061.5107270647</v>
      </c>
      <c r="V84">
        <f t="shared" si="67"/>
        <v>3671509.6654052529</v>
      </c>
      <c r="W84">
        <f t="shared" si="67"/>
        <v>3561364.3754430953</v>
      </c>
      <c r="X84">
        <f t="shared" si="67"/>
        <v>3454523.4441798027</v>
      </c>
      <c r="Y84">
        <f t="shared" si="67"/>
        <v>3350887.7408544086</v>
      </c>
      <c r="Z84">
        <f t="shared" si="67"/>
        <v>3250361.1086287764</v>
      </c>
      <c r="AA84">
        <f t="shared" si="67"/>
        <v>3152850.2753699133</v>
      </c>
      <c r="AB84">
        <f t="shared" si="67"/>
        <v>3058264.7671088157</v>
      </c>
      <c r="AC84">
        <f t="shared" si="67"/>
        <v>2966516.8240955514</v>
      </c>
      <c r="AD84">
        <f t="shared" si="67"/>
        <v>2877521.3193726847</v>
      </c>
      <c r="AE84">
        <f t="shared" si="67"/>
        <v>2791195.6797915041</v>
      </c>
      <c r="AF84">
        <f t="shared" si="67"/>
        <v>2707459.8093977589</v>
      </c>
      <c r="AG84">
        <f t="shared" si="67"/>
        <v>2626236.0151158264</v>
      </c>
      <c r="AH84">
        <f t="shared" si="67"/>
        <v>2547448.9346623514</v>
      </c>
      <c r="AI84">
        <f t="shared" si="67"/>
        <v>2471025.4666224807</v>
      </c>
      <c r="AJ84">
        <f t="shared" si="67"/>
        <v>2396894.7026238064</v>
      </c>
      <c r="AK84">
        <f t="shared" si="67"/>
        <v>2324987.8615450924</v>
      </c>
      <c r="AL84">
        <f t="shared" si="67"/>
        <v>2255238.2256987398</v>
      </c>
      <c r="AM84">
        <f t="shared" si="67"/>
        <v>2187581.0789277777</v>
      </c>
      <c r="AN84">
        <f t="shared" si="67"/>
        <v>2121953.6465599444</v>
      </c>
      <c r="AO84">
        <f t="shared" si="67"/>
        <v>2058295.0371631461</v>
      </c>
      <c r="AP84">
        <f t="shared" si="67"/>
        <v>1996546.1860482516</v>
      </c>
      <c r="AQ84">
        <f t="shared" si="67"/>
        <v>1936649.8004668041</v>
      </c>
      <c r="AR84">
        <f t="shared" si="67"/>
        <v>1878550.3064528001</v>
      </c>
      <c r="AS84">
        <f t="shared" si="67"/>
        <v>1822193.797259216</v>
      </c>
      <c r="AT84">
        <f t="shared" si="67"/>
        <v>1767527.9833414394</v>
      </c>
      <c r="AU84">
        <f t="shared" si="67"/>
        <v>1714502.1438411963</v>
      </c>
      <c r="AV84">
        <f t="shared" si="67"/>
        <v>1663067.0795259604</v>
      </c>
      <c r="AW84">
        <f t="shared" si="67"/>
        <v>1613175.0671401815</v>
      </c>
      <c r="AX84">
        <f t="shared" si="67"/>
        <v>1564779.8151259762</v>
      </c>
      <c r="AY84">
        <f t="shared" si="67"/>
        <v>1517836.4206721969</v>
      </c>
      <c r="AZ84">
        <f t="shared" si="67"/>
        <v>1472301.3280520309</v>
      </c>
      <c r="BA84">
        <f t="shared" si="67"/>
        <v>1428132.28821047</v>
      </c>
      <c r="BB84">
        <f t="shared" si="67"/>
        <v>1385288.319564156</v>
      </c>
      <c r="BC84">
        <f t="shared" si="67"/>
        <v>1343729.6699772314</v>
      </c>
      <c r="BD84">
        <f t="shared" si="67"/>
        <v>1303417.7798779146</v>
      </c>
      <c r="BE84">
        <f t="shared" si="67"/>
        <v>1264315.2464815772</v>
      </c>
      <c r="BF84">
        <f t="shared" si="67"/>
        <v>1226385.7890871298</v>
      </c>
      <c r="BG84">
        <f t="shared" si="67"/>
        <v>1189594.2154145159</v>
      </c>
      <c r="BH84">
        <f t="shared" si="67"/>
        <v>1153906.3889520804</v>
      </c>
      <c r="BI84">
        <f t="shared" si="67"/>
        <v>1119289.197283518</v>
      </c>
      <c r="BJ84">
        <f t="shared" si="67"/>
        <v>1085710.5213650125</v>
      </c>
      <c r="BK84">
        <f t="shared" si="67"/>
        <v>1053139.2057240622</v>
      </c>
      <c r="BL84">
        <f t="shared" si="67"/>
        <v>1021545.0295523403</v>
      </c>
      <c r="BM84">
        <f t="shared" si="67"/>
        <v>990898.6786657701</v>
      </c>
      <c r="BN84">
        <f t="shared" si="67"/>
        <v>961171.71830579697</v>
      </c>
      <c r="BO84">
        <f t="shared" ref="BO84:BS84" si="68">BN84-BN84*0.03</f>
        <v>932336.5667566231</v>
      </c>
      <c r="BP84">
        <f t="shared" si="68"/>
        <v>904366.46975392441</v>
      </c>
      <c r="BQ84">
        <f t="shared" si="68"/>
        <v>877235.47566130664</v>
      </c>
      <c r="BR84">
        <f t="shared" si="68"/>
        <v>850918.41139146744</v>
      </c>
      <c r="BS84">
        <f t="shared" si="68"/>
        <v>825390.85904972337</v>
      </c>
    </row>
    <row r="85" spans="1:71" x14ac:dyDescent="0.35">
      <c r="A85" s="1" t="s">
        <v>38</v>
      </c>
      <c r="B85" s="15">
        <f t="shared" si="48"/>
        <v>7906651.8830839992</v>
      </c>
      <c r="C85">
        <f t="shared" ref="C85:BN85" si="69">B85-B85*0.03</f>
        <v>7669452.3265914796</v>
      </c>
      <c r="D85">
        <f t="shared" si="69"/>
        <v>7439368.7567937355</v>
      </c>
      <c r="E85">
        <f t="shared" si="69"/>
        <v>7216187.6940899231</v>
      </c>
      <c r="F85">
        <f t="shared" si="69"/>
        <v>6999702.0632672254</v>
      </c>
      <c r="G85">
        <f t="shared" si="69"/>
        <v>6789711.001369209</v>
      </c>
      <c r="H85">
        <f t="shared" si="69"/>
        <v>6586019.671328133</v>
      </c>
      <c r="I85">
        <f t="shared" si="69"/>
        <v>6388439.0811882894</v>
      </c>
      <c r="J85">
        <f t="shared" si="69"/>
        <v>6196785.9087526407</v>
      </c>
      <c r="K85">
        <f t="shared" si="69"/>
        <v>6010882.3314900612</v>
      </c>
      <c r="L85">
        <f t="shared" si="69"/>
        <v>5830555.8615453597</v>
      </c>
      <c r="M85">
        <f t="shared" si="69"/>
        <v>5655639.1856989991</v>
      </c>
      <c r="N85">
        <f t="shared" si="69"/>
        <v>5485970.0101280287</v>
      </c>
      <c r="O85">
        <f t="shared" si="69"/>
        <v>5321390.9098241879</v>
      </c>
      <c r="P85">
        <f t="shared" si="69"/>
        <v>5161749.1825294625</v>
      </c>
      <c r="Q85">
        <f t="shared" si="69"/>
        <v>5006896.7070535785</v>
      </c>
      <c r="R85">
        <f t="shared" si="69"/>
        <v>4856689.8058419712</v>
      </c>
      <c r="S85">
        <f t="shared" si="69"/>
        <v>4710989.111666712</v>
      </c>
      <c r="T85">
        <f t="shared" si="69"/>
        <v>4569659.4383167103</v>
      </c>
      <c r="U85">
        <f t="shared" si="69"/>
        <v>4432569.655167209</v>
      </c>
      <c r="V85">
        <f t="shared" si="69"/>
        <v>4299592.5655121924</v>
      </c>
      <c r="W85">
        <f t="shared" si="69"/>
        <v>4170604.7885468267</v>
      </c>
      <c r="X85">
        <f t="shared" si="69"/>
        <v>4045486.644890422</v>
      </c>
      <c r="Y85">
        <f t="shared" si="69"/>
        <v>3924122.0455437093</v>
      </c>
      <c r="Z85">
        <f t="shared" si="69"/>
        <v>3806398.3841773979</v>
      </c>
      <c r="AA85">
        <f t="shared" si="69"/>
        <v>3692206.4326520758</v>
      </c>
      <c r="AB85">
        <f t="shared" si="69"/>
        <v>3581440.2396725137</v>
      </c>
      <c r="AC85">
        <f t="shared" si="69"/>
        <v>3473997.0324823381</v>
      </c>
      <c r="AD85">
        <f t="shared" si="69"/>
        <v>3369777.1215078682</v>
      </c>
      <c r="AE85">
        <f t="shared" si="69"/>
        <v>3268683.807862632</v>
      </c>
      <c r="AF85">
        <f t="shared" si="69"/>
        <v>3170623.2936267531</v>
      </c>
      <c r="AG85">
        <f t="shared" si="69"/>
        <v>3075504.5948179504</v>
      </c>
      <c r="AH85">
        <f t="shared" si="69"/>
        <v>2983239.4569734121</v>
      </c>
      <c r="AI85">
        <f t="shared" si="69"/>
        <v>2893742.2732642097</v>
      </c>
      <c r="AJ85">
        <f t="shared" si="69"/>
        <v>2806930.0050662835</v>
      </c>
      <c r="AK85">
        <f t="shared" si="69"/>
        <v>2722722.104914295</v>
      </c>
      <c r="AL85">
        <f t="shared" si="69"/>
        <v>2641040.441766866</v>
      </c>
      <c r="AM85">
        <f t="shared" si="69"/>
        <v>2561809.2285138601</v>
      </c>
      <c r="AN85">
        <f t="shared" si="69"/>
        <v>2484954.9516584445</v>
      </c>
      <c r="AO85">
        <f t="shared" si="69"/>
        <v>2410406.3031086912</v>
      </c>
      <c r="AP85">
        <f t="shared" si="69"/>
        <v>2338094.1140154307</v>
      </c>
      <c r="AQ85">
        <f t="shared" si="69"/>
        <v>2267951.2905949675</v>
      </c>
      <c r="AR85">
        <f t="shared" si="69"/>
        <v>2199912.7518771184</v>
      </c>
      <c r="AS85">
        <f t="shared" si="69"/>
        <v>2133915.3693208047</v>
      </c>
      <c r="AT85">
        <f t="shared" si="69"/>
        <v>2069897.9082411805</v>
      </c>
      <c r="AU85">
        <f t="shared" si="69"/>
        <v>2007800.9709939451</v>
      </c>
      <c r="AV85">
        <f t="shared" si="69"/>
        <v>1947566.9418641268</v>
      </c>
      <c r="AW85">
        <f t="shared" si="69"/>
        <v>1889139.933608203</v>
      </c>
      <c r="AX85">
        <f t="shared" si="69"/>
        <v>1832465.7355999569</v>
      </c>
      <c r="AY85">
        <f t="shared" si="69"/>
        <v>1777491.7635319582</v>
      </c>
      <c r="AZ85">
        <f t="shared" si="69"/>
        <v>1724167.0106259994</v>
      </c>
      <c r="BA85">
        <f t="shared" si="69"/>
        <v>1672442.0003072193</v>
      </c>
      <c r="BB85">
        <f t="shared" si="69"/>
        <v>1622268.7402980027</v>
      </c>
      <c r="BC85">
        <f t="shared" si="69"/>
        <v>1573600.6780890627</v>
      </c>
      <c r="BD85">
        <f t="shared" si="69"/>
        <v>1526392.6577463909</v>
      </c>
      <c r="BE85">
        <f t="shared" si="69"/>
        <v>1480600.8780139992</v>
      </c>
      <c r="BF85">
        <f t="shared" si="69"/>
        <v>1436182.8516735793</v>
      </c>
      <c r="BG85">
        <f t="shared" si="69"/>
        <v>1393097.366123372</v>
      </c>
      <c r="BH85">
        <f t="shared" si="69"/>
        <v>1351304.4451396707</v>
      </c>
      <c r="BI85">
        <f t="shared" si="69"/>
        <v>1310765.3117854807</v>
      </c>
      <c r="BJ85">
        <f t="shared" si="69"/>
        <v>1271442.3524319164</v>
      </c>
      <c r="BK85">
        <f t="shared" si="69"/>
        <v>1233299.0818589588</v>
      </c>
      <c r="BL85">
        <f t="shared" si="69"/>
        <v>1196300.10940319</v>
      </c>
      <c r="BM85">
        <f t="shared" si="69"/>
        <v>1160411.1061210942</v>
      </c>
      <c r="BN85">
        <f t="shared" si="69"/>
        <v>1125598.7729374613</v>
      </c>
      <c r="BO85">
        <f t="shared" ref="BO85:BS85" si="70">BN85-BN85*0.03</f>
        <v>1091830.8097493374</v>
      </c>
      <c r="BP85">
        <f t="shared" si="70"/>
        <v>1059075.8854568573</v>
      </c>
      <c r="BQ85">
        <f t="shared" si="70"/>
        <v>1027303.6088931515</v>
      </c>
      <c r="BR85">
        <f t="shared" si="70"/>
        <v>996484.50062635692</v>
      </c>
      <c r="BS85">
        <f t="shared" si="70"/>
        <v>966589.96560756618</v>
      </c>
    </row>
    <row r="86" spans="1:71" x14ac:dyDescent="0.35">
      <c r="A86" s="1" t="s">
        <v>39</v>
      </c>
      <c r="B86" s="15">
        <f t="shared" si="48"/>
        <v>7058704.4414424123</v>
      </c>
      <c r="C86">
        <f t="shared" ref="C86:BN86" si="71">B86-B86*0.03</f>
        <v>6846943.3081991402</v>
      </c>
      <c r="D86">
        <f t="shared" si="71"/>
        <v>6641535.0089531662</v>
      </c>
      <c r="E86">
        <f t="shared" si="71"/>
        <v>6442288.9586845711</v>
      </c>
      <c r="F86">
        <f t="shared" si="71"/>
        <v>6249020.2899240339</v>
      </c>
      <c r="G86">
        <f t="shared" si="71"/>
        <v>6061549.6812263131</v>
      </c>
      <c r="H86">
        <f t="shared" si="71"/>
        <v>5879703.1907895235</v>
      </c>
      <c r="I86">
        <f t="shared" si="71"/>
        <v>5703312.0950658377</v>
      </c>
      <c r="J86">
        <f t="shared" si="71"/>
        <v>5532212.7322138622</v>
      </c>
      <c r="K86">
        <f t="shared" si="71"/>
        <v>5366246.3502474464</v>
      </c>
      <c r="L86">
        <f t="shared" si="71"/>
        <v>5205258.9597400231</v>
      </c>
      <c r="M86">
        <f t="shared" si="71"/>
        <v>5049101.1909478223</v>
      </c>
      <c r="N86">
        <f t="shared" si="71"/>
        <v>4897628.1552193873</v>
      </c>
      <c r="O86">
        <f t="shared" si="71"/>
        <v>4750699.3105628053</v>
      </c>
      <c r="P86">
        <f t="shared" si="71"/>
        <v>4608178.3312459216</v>
      </c>
      <c r="Q86">
        <f t="shared" si="71"/>
        <v>4469932.9813085441</v>
      </c>
      <c r="R86">
        <f t="shared" si="71"/>
        <v>4335834.9918692876</v>
      </c>
      <c r="S86">
        <f t="shared" si="71"/>
        <v>4205759.9421132086</v>
      </c>
      <c r="T86">
        <f t="shared" si="71"/>
        <v>4079587.1438498124</v>
      </c>
      <c r="U86">
        <f t="shared" si="71"/>
        <v>3957199.529534318</v>
      </c>
      <c r="V86">
        <f t="shared" si="71"/>
        <v>3838483.5436482886</v>
      </c>
      <c r="W86">
        <f t="shared" si="71"/>
        <v>3723329.0373388398</v>
      </c>
      <c r="X86">
        <f t="shared" si="71"/>
        <v>3611629.1662186747</v>
      </c>
      <c r="Y86">
        <f t="shared" si="71"/>
        <v>3503280.2912321147</v>
      </c>
      <c r="Z86">
        <f t="shared" si="71"/>
        <v>3398181.8824951514</v>
      </c>
      <c r="AA86">
        <f t="shared" si="71"/>
        <v>3296236.4260202968</v>
      </c>
      <c r="AB86">
        <f t="shared" si="71"/>
        <v>3197349.3332396881</v>
      </c>
      <c r="AC86">
        <f t="shared" si="71"/>
        <v>3101428.8532424974</v>
      </c>
      <c r="AD86">
        <f t="shared" si="71"/>
        <v>3008385.9876452223</v>
      </c>
      <c r="AE86">
        <f t="shared" si="71"/>
        <v>2918134.4080158658</v>
      </c>
      <c r="AF86">
        <f t="shared" si="71"/>
        <v>2830590.3757753898</v>
      </c>
      <c r="AG86">
        <f t="shared" si="71"/>
        <v>2745672.664502128</v>
      </c>
      <c r="AH86">
        <f t="shared" si="71"/>
        <v>2663302.4845670643</v>
      </c>
      <c r="AI86">
        <f t="shared" si="71"/>
        <v>2583403.4100300525</v>
      </c>
      <c r="AJ86">
        <f t="shared" si="71"/>
        <v>2505901.3077291511</v>
      </c>
      <c r="AK86">
        <f t="shared" si="71"/>
        <v>2430724.2684972766</v>
      </c>
      <c r="AL86">
        <f t="shared" si="71"/>
        <v>2357802.5404423582</v>
      </c>
      <c r="AM86">
        <f t="shared" si="71"/>
        <v>2287068.4642290873</v>
      </c>
      <c r="AN86">
        <f t="shared" si="71"/>
        <v>2218456.4103022148</v>
      </c>
      <c r="AO86">
        <f t="shared" si="71"/>
        <v>2151902.7179931481</v>
      </c>
      <c r="AP86">
        <f t="shared" si="71"/>
        <v>2087345.6364533538</v>
      </c>
      <c r="AQ86">
        <f t="shared" si="71"/>
        <v>2024725.2673597531</v>
      </c>
      <c r="AR86">
        <f t="shared" si="71"/>
        <v>1963983.5093389605</v>
      </c>
      <c r="AS86">
        <f t="shared" si="71"/>
        <v>1905064.0040587918</v>
      </c>
      <c r="AT86">
        <f t="shared" si="71"/>
        <v>1847912.083937028</v>
      </c>
      <c r="AU86">
        <f t="shared" si="71"/>
        <v>1792474.7214189172</v>
      </c>
      <c r="AV86">
        <f t="shared" si="71"/>
        <v>1738700.4797763496</v>
      </c>
      <c r="AW86">
        <f t="shared" si="71"/>
        <v>1686539.4653830591</v>
      </c>
      <c r="AX86">
        <f t="shared" si="71"/>
        <v>1635943.2814215673</v>
      </c>
      <c r="AY86">
        <f t="shared" si="71"/>
        <v>1586864.9829789202</v>
      </c>
      <c r="AZ86">
        <f t="shared" si="71"/>
        <v>1539259.0334895526</v>
      </c>
      <c r="BA86">
        <f t="shared" si="71"/>
        <v>1493081.262484866</v>
      </c>
      <c r="BB86">
        <f t="shared" si="71"/>
        <v>1448288.8246103199</v>
      </c>
      <c r="BC86">
        <f t="shared" si="71"/>
        <v>1404840.1598720104</v>
      </c>
      <c r="BD86">
        <f t="shared" si="71"/>
        <v>1362694.95507585</v>
      </c>
      <c r="BE86">
        <f t="shared" si="71"/>
        <v>1321814.1064235745</v>
      </c>
      <c r="BF86">
        <f t="shared" si="71"/>
        <v>1282159.6832308674</v>
      </c>
      <c r="BG86">
        <f t="shared" si="71"/>
        <v>1243694.8927339413</v>
      </c>
      <c r="BH86">
        <f t="shared" si="71"/>
        <v>1206384.0459519231</v>
      </c>
      <c r="BI86">
        <f t="shared" si="71"/>
        <v>1170192.5245733655</v>
      </c>
      <c r="BJ86">
        <f t="shared" si="71"/>
        <v>1135086.7488361646</v>
      </c>
      <c r="BK86">
        <f t="shared" si="71"/>
        <v>1101034.1463710796</v>
      </c>
      <c r="BL86">
        <f t="shared" si="71"/>
        <v>1068003.1219799472</v>
      </c>
      <c r="BM86">
        <f t="shared" si="71"/>
        <v>1035963.0283205488</v>
      </c>
      <c r="BN86">
        <f t="shared" si="71"/>
        <v>1004884.1374709323</v>
      </c>
      <c r="BO86">
        <f t="shared" ref="BO86:BS86" si="72">BN86-BN86*0.03</f>
        <v>974737.6133468044</v>
      </c>
      <c r="BP86">
        <f t="shared" si="72"/>
        <v>945495.48494640028</v>
      </c>
      <c r="BQ86">
        <f t="shared" si="72"/>
        <v>917130.62039800826</v>
      </c>
      <c r="BR86">
        <f t="shared" si="72"/>
        <v>889616.70178606804</v>
      </c>
      <c r="BS86">
        <f t="shared" si="72"/>
        <v>862928.20073248597</v>
      </c>
    </row>
    <row r="87" spans="1:71" x14ac:dyDescent="0.35">
      <c r="A87" s="1" t="s">
        <v>40</v>
      </c>
      <c r="B87" s="15">
        <f t="shared" si="48"/>
        <v>19439327.496232893</v>
      </c>
      <c r="C87">
        <f t="shared" ref="C87:BN87" si="73">B87-B87*0.03</f>
        <v>18856147.671345908</v>
      </c>
      <c r="D87">
        <f t="shared" si="73"/>
        <v>18290463.241205532</v>
      </c>
      <c r="E87">
        <f t="shared" si="73"/>
        <v>17741749.343969367</v>
      </c>
      <c r="F87">
        <f t="shared" si="73"/>
        <v>17209496.863650285</v>
      </c>
      <c r="G87">
        <f t="shared" si="73"/>
        <v>16693211.957740776</v>
      </c>
      <c r="H87">
        <f t="shared" si="73"/>
        <v>16192415.599008553</v>
      </c>
      <c r="I87">
        <f t="shared" si="73"/>
        <v>15706643.131038297</v>
      </c>
      <c r="J87">
        <f t="shared" si="73"/>
        <v>15235443.837107148</v>
      </c>
      <c r="K87">
        <f t="shared" si="73"/>
        <v>14778380.521993933</v>
      </c>
      <c r="L87">
        <f t="shared" si="73"/>
        <v>14335029.106334114</v>
      </c>
      <c r="M87">
        <f t="shared" si="73"/>
        <v>13904978.233144091</v>
      </c>
      <c r="N87">
        <f t="shared" si="73"/>
        <v>13487828.886149768</v>
      </c>
      <c r="O87">
        <f t="shared" si="73"/>
        <v>13083194.019565275</v>
      </c>
      <c r="P87">
        <f t="shared" si="73"/>
        <v>12690698.198978316</v>
      </c>
      <c r="Q87">
        <f t="shared" si="73"/>
        <v>12309977.253008967</v>
      </c>
      <c r="R87">
        <f t="shared" si="73"/>
        <v>11940677.935418699</v>
      </c>
      <c r="S87">
        <f t="shared" si="73"/>
        <v>11582457.597356139</v>
      </c>
      <c r="T87">
        <f t="shared" si="73"/>
        <v>11234983.869435454</v>
      </c>
      <c r="U87">
        <f t="shared" si="73"/>
        <v>10897934.35335239</v>
      </c>
      <c r="V87">
        <f t="shared" si="73"/>
        <v>10570996.322751818</v>
      </c>
      <c r="W87">
        <f t="shared" si="73"/>
        <v>10253866.433069265</v>
      </c>
      <c r="X87">
        <f t="shared" si="73"/>
        <v>9946250.4400771875</v>
      </c>
      <c r="Y87">
        <f t="shared" si="73"/>
        <v>9647862.9268748723</v>
      </c>
      <c r="Z87">
        <f t="shared" si="73"/>
        <v>9358427.0390686262</v>
      </c>
      <c r="AA87">
        <f t="shared" si="73"/>
        <v>9077674.2278965674</v>
      </c>
      <c r="AB87">
        <f t="shared" si="73"/>
        <v>8805344.00105967</v>
      </c>
      <c r="AC87">
        <f t="shared" si="73"/>
        <v>8541183.6810278799</v>
      </c>
      <c r="AD87">
        <f t="shared" si="73"/>
        <v>8284948.1705970438</v>
      </c>
      <c r="AE87">
        <f t="shared" si="73"/>
        <v>8036399.7254791325</v>
      </c>
      <c r="AF87">
        <f t="shared" si="73"/>
        <v>7795307.7337147584</v>
      </c>
      <c r="AG87">
        <f t="shared" si="73"/>
        <v>7561448.5017033154</v>
      </c>
      <c r="AH87">
        <f t="shared" si="73"/>
        <v>7334605.0466522155</v>
      </c>
      <c r="AI87">
        <f t="shared" si="73"/>
        <v>7114566.8952526487</v>
      </c>
      <c r="AJ87">
        <f t="shared" si="73"/>
        <v>6901129.8883950692</v>
      </c>
      <c r="AK87">
        <f t="shared" si="73"/>
        <v>6694095.9917432172</v>
      </c>
      <c r="AL87">
        <f t="shared" si="73"/>
        <v>6493273.1119909203</v>
      </c>
      <c r="AM87">
        <f t="shared" si="73"/>
        <v>6298474.9186311923</v>
      </c>
      <c r="AN87">
        <f t="shared" si="73"/>
        <v>6109520.6710722568</v>
      </c>
      <c r="AO87">
        <f t="shared" si="73"/>
        <v>5926235.0509400889</v>
      </c>
      <c r="AP87">
        <f t="shared" si="73"/>
        <v>5748447.9994118866</v>
      </c>
      <c r="AQ87">
        <f t="shared" si="73"/>
        <v>5575994.5594295301</v>
      </c>
      <c r="AR87">
        <f t="shared" si="73"/>
        <v>5408714.7226466443</v>
      </c>
      <c r="AS87">
        <f t="shared" si="73"/>
        <v>5246453.2809672449</v>
      </c>
      <c r="AT87">
        <f t="shared" si="73"/>
        <v>5089059.6825382272</v>
      </c>
      <c r="AU87">
        <f t="shared" si="73"/>
        <v>4936387.8920620801</v>
      </c>
      <c r="AV87">
        <f t="shared" si="73"/>
        <v>4788296.2553002173</v>
      </c>
      <c r="AW87">
        <f t="shared" si="73"/>
        <v>4644647.3676412106</v>
      </c>
      <c r="AX87">
        <f t="shared" si="73"/>
        <v>4505307.9466119744</v>
      </c>
      <c r="AY87">
        <f t="shared" si="73"/>
        <v>4370148.7082136152</v>
      </c>
      <c r="AZ87">
        <f t="shared" si="73"/>
        <v>4239044.2469672067</v>
      </c>
      <c r="BA87">
        <f t="shared" si="73"/>
        <v>4111872.9195581907</v>
      </c>
      <c r="BB87">
        <f t="shared" si="73"/>
        <v>3988516.731971445</v>
      </c>
      <c r="BC87">
        <f t="shared" si="73"/>
        <v>3868861.2300123018</v>
      </c>
      <c r="BD87">
        <f t="shared" si="73"/>
        <v>3752795.3931119326</v>
      </c>
      <c r="BE87">
        <f t="shared" si="73"/>
        <v>3640211.5313185747</v>
      </c>
      <c r="BF87">
        <f t="shared" si="73"/>
        <v>3531005.1853790176</v>
      </c>
      <c r="BG87">
        <f t="shared" si="73"/>
        <v>3425075.0298176473</v>
      </c>
      <c r="BH87">
        <f t="shared" si="73"/>
        <v>3322322.778923118</v>
      </c>
      <c r="BI87">
        <f t="shared" si="73"/>
        <v>3222653.0955554247</v>
      </c>
      <c r="BJ87">
        <f t="shared" si="73"/>
        <v>3125973.5026887618</v>
      </c>
      <c r="BK87">
        <f t="shared" si="73"/>
        <v>3032194.2976080989</v>
      </c>
      <c r="BL87">
        <f t="shared" si="73"/>
        <v>2941228.468679856</v>
      </c>
      <c r="BM87">
        <f t="shared" si="73"/>
        <v>2852991.6146194604</v>
      </c>
      <c r="BN87">
        <f t="shared" si="73"/>
        <v>2767401.8661808767</v>
      </c>
      <c r="BO87">
        <f t="shared" ref="BO87:BS87" si="74">BN87-BN87*0.03</f>
        <v>2684379.8101954507</v>
      </c>
      <c r="BP87">
        <f t="shared" si="74"/>
        <v>2603848.4158895873</v>
      </c>
      <c r="BQ87">
        <f t="shared" si="74"/>
        <v>2525732.9634128995</v>
      </c>
      <c r="BR87">
        <f t="shared" si="74"/>
        <v>2449960.9745105123</v>
      </c>
      <c r="BS87">
        <f t="shared" si="74"/>
        <v>2376462.145275197</v>
      </c>
    </row>
    <row r="88" spans="1:71" x14ac:dyDescent="0.35">
      <c r="A88" s="1" t="s">
        <v>22</v>
      </c>
      <c r="B88" s="15">
        <f t="shared" si="48"/>
        <v>0</v>
      </c>
      <c r="C88">
        <f t="shared" ref="C88:BN88" si="75">B88-B88*0.03</f>
        <v>0</v>
      </c>
      <c r="D88">
        <f t="shared" si="75"/>
        <v>0</v>
      </c>
      <c r="E88">
        <f t="shared" si="75"/>
        <v>0</v>
      </c>
      <c r="F88">
        <f t="shared" si="75"/>
        <v>0</v>
      </c>
      <c r="G88">
        <f t="shared" si="75"/>
        <v>0</v>
      </c>
      <c r="H88">
        <f t="shared" si="75"/>
        <v>0</v>
      </c>
      <c r="I88">
        <f t="shared" si="75"/>
        <v>0</v>
      </c>
      <c r="J88">
        <f t="shared" si="75"/>
        <v>0</v>
      </c>
      <c r="K88">
        <f t="shared" si="75"/>
        <v>0</v>
      </c>
      <c r="L88">
        <f t="shared" si="75"/>
        <v>0</v>
      </c>
      <c r="M88">
        <f t="shared" si="75"/>
        <v>0</v>
      </c>
      <c r="N88">
        <f t="shared" si="75"/>
        <v>0</v>
      </c>
      <c r="O88">
        <f t="shared" si="75"/>
        <v>0</v>
      </c>
      <c r="P88">
        <f t="shared" si="75"/>
        <v>0</v>
      </c>
      <c r="Q88">
        <f t="shared" si="75"/>
        <v>0</v>
      </c>
      <c r="R88">
        <f t="shared" si="75"/>
        <v>0</v>
      </c>
      <c r="S88">
        <f t="shared" si="75"/>
        <v>0</v>
      </c>
      <c r="T88">
        <f t="shared" si="75"/>
        <v>0</v>
      </c>
      <c r="U88">
        <f t="shared" si="75"/>
        <v>0</v>
      </c>
      <c r="V88">
        <f t="shared" si="75"/>
        <v>0</v>
      </c>
      <c r="W88">
        <f t="shared" si="75"/>
        <v>0</v>
      </c>
      <c r="X88">
        <f t="shared" si="75"/>
        <v>0</v>
      </c>
      <c r="Y88">
        <f t="shared" si="75"/>
        <v>0</v>
      </c>
      <c r="Z88">
        <f t="shared" si="75"/>
        <v>0</v>
      </c>
      <c r="AA88">
        <f t="shared" si="75"/>
        <v>0</v>
      </c>
      <c r="AB88">
        <f t="shared" si="75"/>
        <v>0</v>
      </c>
      <c r="AC88">
        <f t="shared" si="75"/>
        <v>0</v>
      </c>
      <c r="AD88">
        <f t="shared" si="75"/>
        <v>0</v>
      </c>
      <c r="AE88">
        <f t="shared" si="75"/>
        <v>0</v>
      </c>
      <c r="AF88">
        <f t="shared" si="75"/>
        <v>0</v>
      </c>
      <c r="AG88">
        <f t="shared" si="75"/>
        <v>0</v>
      </c>
      <c r="AH88">
        <f t="shared" si="75"/>
        <v>0</v>
      </c>
      <c r="AI88">
        <f t="shared" si="75"/>
        <v>0</v>
      </c>
      <c r="AJ88">
        <f t="shared" si="75"/>
        <v>0</v>
      </c>
      <c r="AK88">
        <f t="shared" si="75"/>
        <v>0</v>
      </c>
      <c r="AL88">
        <f t="shared" si="75"/>
        <v>0</v>
      </c>
      <c r="AM88">
        <f t="shared" si="75"/>
        <v>0</v>
      </c>
      <c r="AN88">
        <f t="shared" si="75"/>
        <v>0</v>
      </c>
      <c r="AO88">
        <f t="shared" si="75"/>
        <v>0</v>
      </c>
      <c r="AP88">
        <f t="shared" si="75"/>
        <v>0</v>
      </c>
      <c r="AQ88">
        <f t="shared" si="75"/>
        <v>0</v>
      </c>
      <c r="AR88">
        <f t="shared" si="75"/>
        <v>0</v>
      </c>
      <c r="AS88">
        <f t="shared" si="75"/>
        <v>0</v>
      </c>
      <c r="AT88">
        <f t="shared" si="75"/>
        <v>0</v>
      </c>
      <c r="AU88">
        <f t="shared" si="75"/>
        <v>0</v>
      </c>
      <c r="AV88">
        <f t="shared" si="75"/>
        <v>0</v>
      </c>
      <c r="AW88">
        <f t="shared" si="75"/>
        <v>0</v>
      </c>
      <c r="AX88">
        <f t="shared" si="75"/>
        <v>0</v>
      </c>
      <c r="AY88">
        <f t="shared" si="75"/>
        <v>0</v>
      </c>
      <c r="AZ88">
        <f t="shared" si="75"/>
        <v>0</v>
      </c>
      <c r="BA88">
        <f t="shared" si="75"/>
        <v>0</v>
      </c>
      <c r="BB88">
        <f t="shared" si="75"/>
        <v>0</v>
      </c>
      <c r="BC88">
        <f t="shared" si="75"/>
        <v>0</v>
      </c>
      <c r="BD88">
        <f t="shared" si="75"/>
        <v>0</v>
      </c>
      <c r="BE88">
        <f t="shared" si="75"/>
        <v>0</v>
      </c>
      <c r="BF88">
        <f t="shared" si="75"/>
        <v>0</v>
      </c>
      <c r="BG88">
        <f t="shared" si="75"/>
        <v>0</v>
      </c>
      <c r="BH88">
        <f t="shared" si="75"/>
        <v>0</v>
      </c>
      <c r="BI88">
        <f t="shared" si="75"/>
        <v>0</v>
      </c>
      <c r="BJ88">
        <f t="shared" si="75"/>
        <v>0</v>
      </c>
      <c r="BK88">
        <f t="shared" si="75"/>
        <v>0</v>
      </c>
      <c r="BL88">
        <f t="shared" si="75"/>
        <v>0</v>
      </c>
      <c r="BM88">
        <f t="shared" si="75"/>
        <v>0</v>
      </c>
      <c r="BN88">
        <f t="shared" si="75"/>
        <v>0</v>
      </c>
      <c r="BO88">
        <f t="shared" ref="BO88:BS88" si="76">BN88-BN88*0.03</f>
        <v>0</v>
      </c>
      <c r="BP88">
        <f t="shared" si="76"/>
        <v>0</v>
      </c>
      <c r="BQ88">
        <f t="shared" si="76"/>
        <v>0</v>
      </c>
      <c r="BR88">
        <f t="shared" si="76"/>
        <v>0</v>
      </c>
      <c r="BS88">
        <f t="shared" si="76"/>
        <v>0</v>
      </c>
    </row>
  </sheetData>
  <phoneticPr fontId="15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BH101"/>
  <sheetViews>
    <sheetView workbookViewId="0">
      <selection activeCell="AK37" sqref="AK37"/>
    </sheetView>
  </sheetViews>
  <sheetFormatPr defaultRowHeight="14.5" x14ac:dyDescent="0.35"/>
  <cols>
    <col min="2" max="2" width="10.81640625" bestFit="1" customWidth="1"/>
    <col min="3" max="3" width="14.1796875" customWidth="1"/>
    <col min="5" max="5" width="12.7265625" customWidth="1"/>
    <col min="6" max="10" width="14.81640625" customWidth="1"/>
    <col min="16" max="19" width="9.81640625" bestFit="1" customWidth="1"/>
  </cols>
  <sheetData>
    <row r="1" spans="1:6" x14ac:dyDescent="0.35">
      <c r="A1" s="218" t="s">
        <v>97</v>
      </c>
      <c r="B1" s="234"/>
      <c r="C1" s="234"/>
      <c r="D1" s="234"/>
      <c r="E1" s="219"/>
    </row>
    <row r="2" spans="1:6" x14ac:dyDescent="0.35">
      <c r="A2" s="32"/>
      <c r="B2" s="34"/>
      <c r="C2" s="24" t="s">
        <v>79</v>
      </c>
      <c r="D2" s="32"/>
      <c r="E2" s="34" t="s">
        <v>76</v>
      </c>
      <c r="F2" s="1"/>
    </row>
    <row r="3" spans="1:6" ht="15.5" x14ac:dyDescent="0.35">
      <c r="A3" s="53" t="s">
        <v>45</v>
      </c>
      <c r="B3" s="28"/>
      <c r="C3" s="61">
        <f>SUM(H70:Z70)</f>
        <v>0.59486640611905939</v>
      </c>
      <c r="D3" s="35"/>
      <c r="E3" s="63">
        <f>SUM(AG70:AY70)</f>
        <v>0</v>
      </c>
    </row>
    <row r="4" spans="1:6" ht="15.5" x14ac:dyDescent="0.35">
      <c r="A4" s="53" t="s">
        <v>46</v>
      </c>
      <c r="B4" s="28"/>
      <c r="C4" s="61">
        <f t="shared" ref="C4:C16" si="0">SUM(H71:Z71)</f>
        <v>0.59486640611905939</v>
      </c>
      <c r="D4" s="35"/>
      <c r="E4" s="63">
        <f t="shared" ref="E4:E16" si="1">SUM(AG71:AY71)</f>
        <v>0</v>
      </c>
    </row>
    <row r="5" spans="1:6" ht="15.5" x14ac:dyDescent="0.35">
      <c r="A5" s="53" t="s">
        <v>47</v>
      </c>
      <c r="B5" s="28"/>
      <c r="C5" s="61">
        <f t="shared" si="0"/>
        <v>0.59486640611905939</v>
      </c>
      <c r="D5" s="35"/>
      <c r="E5" s="63">
        <f t="shared" si="1"/>
        <v>0</v>
      </c>
    </row>
    <row r="6" spans="1:6" ht="15.5" x14ac:dyDescent="0.35">
      <c r="A6" s="53" t="s">
        <v>48</v>
      </c>
      <c r="B6" s="28"/>
      <c r="C6" s="61">
        <f t="shared" si="0"/>
        <v>0.59486640611905939</v>
      </c>
      <c r="D6" s="35"/>
      <c r="E6" s="63">
        <f t="shared" si="1"/>
        <v>0</v>
      </c>
    </row>
    <row r="7" spans="1:6" ht="15.5" x14ac:dyDescent="0.35">
      <c r="A7" s="53" t="s">
        <v>49</v>
      </c>
      <c r="B7" s="28"/>
      <c r="C7" s="61">
        <f t="shared" si="0"/>
        <v>0.59486640611905939</v>
      </c>
      <c r="D7" s="35"/>
      <c r="E7" s="63">
        <f t="shared" si="1"/>
        <v>0</v>
      </c>
    </row>
    <row r="8" spans="1:6" ht="15.5" x14ac:dyDescent="0.35">
      <c r="A8" s="53" t="s">
        <v>50</v>
      </c>
      <c r="B8" s="28"/>
      <c r="C8" s="61">
        <f t="shared" si="0"/>
        <v>0.59486640611905939</v>
      </c>
      <c r="D8" s="35"/>
      <c r="E8" s="63">
        <f t="shared" si="1"/>
        <v>0</v>
      </c>
    </row>
    <row r="9" spans="1:6" ht="15.5" x14ac:dyDescent="0.35">
      <c r="A9" s="53" t="s">
        <v>51</v>
      </c>
      <c r="B9" s="28"/>
      <c r="C9" s="61">
        <f t="shared" si="0"/>
        <v>0.59486640611905939</v>
      </c>
      <c r="D9" s="35"/>
      <c r="E9" s="63">
        <f t="shared" si="1"/>
        <v>0</v>
      </c>
    </row>
    <row r="10" spans="1:6" ht="15.5" x14ac:dyDescent="0.35">
      <c r="A10" s="53" t="s">
        <v>52</v>
      </c>
      <c r="B10" s="28"/>
      <c r="C10" s="61">
        <f t="shared" si="0"/>
        <v>0.59486640611905939</v>
      </c>
      <c r="D10" s="35"/>
      <c r="E10" s="63">
        <f t="shared" si="1"/>
        <v>0</v>
      </c>
    </row>
    <row r="11" spans="1:6" ht="15.5" x14ac:dyDescent="0.35">
      <c r="A11" s="53" t="s">
        <v>53</v>
      </c>
      <c r="B11" s="28"/>
      <c r="C11" s="61">
        <f t="shared" si="0"/>
        <v>0.59486640611905939</v>
      </c>
      <c r="D11" s="35"/>
      <c r="E11" s="63">
        <f t="shared" si="1"/>
        <v>0</v>
      </c>
    </row>
    <row r="12" spans="1:6" ht="15.5" x14ac:dyDescent="0.35">
      <c r="A12" s="53" t="s">
        <v>54</v>
      </c>
      <c r="B12" s="28"/>
      <c r="C12" s="61">
        <f t="shared" si="0"/>
        <v>0.59486640611905939</v>
      </c>
      <c r="D12" s="35"/>
      <c r="E12" s="63">
        <f t="shared" si="1"/>
        <v>0</v>
      </c>
    </row>
    <row r="13" spans="1:6" ht="15.5" x14ac:dyDescent="0.35">
      <c r="A13" s="53" t="s">
        <v>55</v>
      </c>
      <c r="B13" s="28"/>
      <c r="C13" s="61">
        <f t="shared" si="0"/>
        <v>0.59486640611905939</v>
      </c>
      <c r="D13" s="35"/>
      <c r="E13" s="63">
        <f t="shared" si="1"/>
        <v>0</v>
      </c>
    </row>
    <row r="14" spans="1:6" ht="15.5" x14ac:dyDescent="0.35">
      <c r="A14" s="53" t="s">
        <v>56</v>
      </c>
      <c r="B14" s="28"/>
      <c r="C14" s="61">
        <f t="shared" si="0"/>
        <v>0.59486640611905939</v>
      </c>
      <c r="D14" s="35"/>
      <c r="E14" s="63">
        <f t="shared" si="1"/>
        <v>0</v>
      </c>
    </row>
    <row r="15" spans="1:6" ht="15.5" x14ac:dyDescent="0.35">
      <c r="A15" s="53" t="s">
        <v>57</v>
      </c>
      <c r="B15" s="28"/>
      <c r="C15" s="61">
        <f t="shared" si="0"/>
        <v>0.59486640611905939</v>
      </c>
      <c r="D15" s="35"/>
      <c r="E15" s="63">
        <f t="shared" si="1"/>
        <v>0</v>
      </c>
    </row>
    <row r="16" spans="1:6" ht="15.5" x14ac:dyDescent="0.35">
      <c r="A16" s="53" t="s">
        <v>77</v>
      </c>
      <c r="B16" s="28"/>
      <c r="C16" s="61">
        <f t="shared" si="0"/>
        <v>0.59486640611905939</v>
      </c>
      <c r="D16" s="35"/>
      <c r="E16" s="63">
        <f t="shared" si="1"/>
        <v>0</v>
      </c>
    </row>
    <row r="17" spans="1:5" ht="15.5" x14ac:dyDescent="0.35">
      <c r="A17" s="54"/>
      <c r="B17" s="28"/>
      <c r="C17" s="26"/>
      <c r="D17" s="35"/>
      <c r="E17" s="28"/>
    </row>
    <row r="18" spans="1:5" ht="15.5" x14ac:dyDescent="0.35">
      <c r="A18" s="53" t="s">
        <v>60</v>
      </c>
      <c r="B18" s="28"/>
      <c r="C18" s="61">
        <f>SUM(H85:Z85)</f>
        <v>0.59486640611905939</v>
      </c>
      <c r="D18" s="35"/>
      <c r="E18" s="63">
        <f>SUM(AG85:AY85)</f>
        <v>0</v>
      </c>
    </row>
    <row r="19" spans="1:5" ht="15.5" x14ac:dyDescent="0.35">
      <c r="A19" s="53" t="s">
        <v>61</v>
      </c>
      <c r="B19" s="28"/>
      <c r="C19" s="61">
        <f t="shared" ref="C19:C31" si="2">SUM(H86:Z86)</f>
        <v>0.59486640611905939</v>
      </c>
      <c r="D19" s="35"/>
      <c r="E19" s="63">
        <f t="shared" ref="E19:E31" si="3">SUM(AG86:AY86)</f>
        <v>0</v>
      </c>
    </row>
    <row r="20" spans="1:5" ht="15.5" x14ac:dyDescent="0.35">
      <c r="A20" s="53" t="s">
        <v>62</v>
      </c>
      <c r="B20" s="28"/>
      <c r="C20" s="61">
        <f t="shared" si="2"/>
        <v>0.59486640611905939</v>
      </c>
      <c r="D20" s="35"/>
      <c r="E20" s="63">
        <f t="shared" si="3"/>
        <v>0</v>
      </c>
    </row>
    <row r="21" spans="1:5" ht="15.5" x14ac:dyDescent="0.35">
      <c r="A21" s="53" t="s">
        <v>63</v>
      </c>
      <c r="B21" s="28"/>
      <c r="C21" s="61">
        <f t="shared" si="2"/>
        <v>0.59486640611905939</v>
      </c>
      <c r="D21" s="35"/>
      <c r="E21" s="63">
        <f t="shared" si="3"/>
        <v>0</v>
      </c>
    </row>
    <row r="22" spans="1:5" ht="15.5" x14ac:dyDescent="0.35">
      <c r="A22" s="53" t="s">
        <v>64</v>
      </c>
      <c r="B22" s="28"/>
      <c r="C22" s="61">
        <f t="shared" si="2"/>
        <v>0.59486640611905939</v>
      </c>
      <c r="D22" s="35"/>
      <c r="E22" s="63">
        <f t="shared" si="3"/>
        <v>0</v>
      </c>
    </row>
    <row r="23" spans="1:5" ht="15.5" x14ac:dyDescent="0.35">
      <c r="A23" s="53" t="s">
        <v>65</v>
      </c>
      <c r="B23" s="28"/>
      <c r="C23" s="61">
        <f t="shared" si="2"/>
        <v>0.59486640611905939</v>
      </c>
      <c r="D23" s="35"/>
      <c r="E23" s="63">
        <f t="shared" si="3"/>
        <v>0</v>
      </c>
    </row>
    <row r="24" spans="1:5" ht="15.5" x14ac:dyDescent="0.35">
      <c r="A24" s="53" t="s">
        <v>66</v>
      </c>
      <c r="B24" s="28"/>
      <c r="C24" s="61">
        <f t="shared" si="2"/>
        <v>0.59486640611905939</v>
      </c>
      <c r="D24" s="35"/>
      <c r="E24" s="63">
        <f t="shared" si="3"/>
        <v>0</v>
      </c>
    </row>
    <row r="25" spans="1:5" ht="15.5" x14ac:dyDescent="0.35">
      <c r="A25" s="53" t="s">
        <v>67</v>
      </c>
      <c r="B25" s="28"/>
      <c r="C25" s="61">
        <f t="shared" si="2"/>
        <v>0.59486640611905939</v>
      </c>
      <c r="D25" s="35"/>
      <c r="E25" s="63">
        <f t="shared" si="3"/>
        <v>0</v>
      </c>
    </row>
    <row r="26" spans="1:5" ht="15.5" x14ac:dyDescent="0.35">
      <c r="A26" s="53" t="s">
        <v>68</v>
      </c>
      <c r="B26" s="28"/>
      <c r="C26" s="61">
        <f t="shared" si="2"/>
        <v>0.59486640611905939</v>
      </c>
      <c r="D26" s="35"/>
      <c r="E26" s="63">
        <f t="shared" si="3"/>
        <v>0</v>
      </c>
    </row>
    <row r="27" spans="1:5" ht="15.5" x14ac:dyDescent="0.35">
      <c r="A27" s="53" t="s">
        <v>69</v>
      </c>
      <c r="B27" s="28"/>
      <c r="C27" s="61">
        <f t="shared" si="2"/>
        <v>0.59486640611905939</v>
      </c>
      <c r="D27" s="35"/>
      <c r="E27" s="63">
        <f t="shared" si="3"/>
        <v>0</v>
      </c>
    </row>
    <row r="28" spans="1:5" ht="15.5" x14ac:dyDescent="0.35">
      <c r="A28" s="53" t="s">
        <v>70</v>
      </c>
      <c r="B28" s="28"/>
      <c r="C28" s="61">
        <f t="shared" si="2"/>
        <v>0.59486640611905939</v>
      </c>
      <c r="D28" s="35"/>
      <c r="E28" s="63">
        <f t="shared" si="3"/>
        <v>0</v>
      </c>
    </row>
    <row r="29" spans="1:5" ht="15.5" x14ac:dyDescent="0.35">
      <c r="A29" s="53" t="s">
        <v>71</v>
      </c>
      <c r="B29" s="28"/>
      <c r="C29" s="61">
        <f t="shared" si="2"/>
        <v>0.59486640611905939</v>
      </c>
      <c r="D29" s="35"/>
      <c r="E29" s="63">
        <f t="shared" si="3"/>
        <v>0</v>
      </c>
    </row>
    <row r="30" spans="1:5" ht="15.5" x14ac:dyDescent="0.35">
      <c r="A30" s="53" t="s">
        <v>72</v>
      </c>
      <c r="B30" s="28"/>
      <c r="C30" s="61">
        <f t="shared" si="2"/>
        <v>0.59486640611905939</v>
      </c>
      <c r="D30" s="35"/>
      <c r="E30" s="63">
        <f t="shared" si="3"/>
        <v>0</v>
      </c>
    </row>
    <row r="31" spans="1:5" ht="15.5" x14ac:dyDescent="0.35">
      <c r="A31" s="55" t="s">
        <v>78</v>
      </c>
      <c r="B31" s="31"/>
      <c r="C31" s="62">
        <f t="shared" si="2"/>
        <v>0.59486640611905939</v>
      </c>
      <c r="D31" s="56"/>
      <c r="E31" s="64">
        <f t="shared" si="3"/>
        <v>0</v>
      </c>
    </row>
    <row r="34" spans="1:60" x14ac:dyDescent="0.35">
      <c r="G34" s="231" t="s">
        <v>79</v>
      </c>
      <c r="H34" s="237"/>
      <c r="I34" s="231" t="s">
        <v>76</v>
      </c>
      <c r="J34" s="232"/>
    </row>
    <row r="35" spans="1:60" ht="15.5" x14ac:dyDescent="0.35">
      <c r="A35" s="43"/>
      <c r="B35" s="235" t="s">
        <v>75</v>
      </c>
      <c r="C35" s="231" t="s">
        <v>79</v>
      </c>
      <c r="D35" s="237"/>
      <c r="E35" s="231" t="s">
        <v>76</v>
      </c>
      <c r="F35" s="232"/>
      <c r="G35" s="50"/>
      <c r="H35" s="51"/>
      <c r="I35" s="50"/>
      <c r="J35" s="51"/>
    </row>
    <row r="36" spans="1:60" s="1" customFormat="1" ht="48" customHeight="1" x14ac:dyDescent="0.35">
      <c r="A36" s="45"/>
      <c r="B36" s="236"/>
      <c r="C36" s="13" t="s">
        <v>98</v>
      </c>
      <c r="D36" s="48" t="s">
        <v>99</v>
      </c>
      <c r="E36" s="13" t="s">
        <v>98</v>
      </c>
      <c r="F36" s="96" t="s">
        <v>99</v>
      </c>
      <c r="G36" s="3" t="s">
        <v>100</v>
      </c>
      <c r="H36" s="46" t="s">
        <v>101</v>
      </c>
      <c r="I36" s="3" t="s">
        <v>100</v>
      </c>
      <c r="J36" s="97" t="s">
        <v>101</v>
      </c>
      <c r="K36" s="33" t="s">
        <v>102</v>
      </c>
      <c r="L36" s="9" t="s">
        <v>103</v>
      </c>
      <c r="M36" s="9" t="s">
        <v>104</v>
      </c>
      <c r="N36" s="9" t="s">
        <v>105</v>
      </c>
      <c r="O36" s="9" t="s">
        <v>106</v>
      </c>
      <c r="P36" s="9" t="s">
        <v>107</v>
      </c>
      <c r="Q36" s="9" t="s">
        <v>108</v>
      </c>
      <c r="R36" s="9" t="s">
        <v>109</v>
      </c>
      <c r="S36" s="9" t="s">
        <v>110</v>
      </c>
      <c r="T36" s="9" t="s">
        <v>111</v>
      </c>
      <c r="U36" s="9" t="s">
        <v>112</v>
      </c>
      <c r="V36" s="9" t="s">
        <v>113</v>
      </c>
      <c r="W36" s="9" t="s">
        <v>114</v>
      </c>
      <c r="X36" s="9" t="s">
        <v>115</v>
      </c>
      <c r="Y36" s="9" t="s">
        <v>116</v>
      </c>
      <c r="Z36" s="9" t="s">
        <v>117</v>
      </c>
      <c r="AA36" s="9" t="s">
        <v>118</v>
      </c>
      <c r="AB36" s="9" t="s">
        <v>119</v>
      </c>
      <c r="AC36" s="9" t="s">
        <v>120</v>
      </c>
      <c r="AD36" s="9" t="s">
        <v>121</v>
      </c>
      <c r="AE36" s="9" t="s">
        <v>122</v>
      </c>
      <c r="AF36" s="9" t="s">
        <v>123</v>
      </c>
      <c r="AG36" s="9" t="s">
        <v>124</v>
      </c>
      <c r="AH36" s="9" t="s">
        <v>125</v>
      </c>
      <c r="AI36" s="36" t="s">
        <v>126</v>
      </c>
      <c r="AJ36" s="33" t="s">
        <v>102</v>
      </c>
      <c r="AK36" s="9" t="s">
        <v>103</v>
      </c>
      <c r="AL36" s="9" t="s">
        <v>104</v>
      </c>
      <c r="AM36" s="9" t="s">
        <v>105</v>
      </c>
      <c r="AN36" s="9" t="s">
        <v>106</v>
      </c>
      <c r="AO36" s="9" t="s">
        <v>107</v>
      </c>
      <c r="AP36" s="9" t="s">
        <v>108</v>
      </c>
      <c r="AQ36" s="9" t="s">
        <v>109</v>
      </c>
      <c r="AR36" s="9" t="s">
        <v>110</v>
      </c>
      <c r="AS36" s="9" t="s">
        <v>111</v>
      </c>
      <c r="AT36" s="9" t="s">
        <v>112</v>
      </c>
      <c r="AU36" s="9" t="s">
        <v>113</v>
      </c>
      <c r="AV36" s="9" t="s">
        <v>114</v>
      </c>
      <c r="AW36" s="9" t="s">
        <v>115</v>
      </c>
      <c r="AX36" s="9" t="s">
        <v>116</v>
      </c>
      <c r="AY36" s="9" t="s">
        <v>117</v>
      </c>
      <c r="AZ36" s="9" t="s">
        <v>118</v>
      </c>
      <c r="BA36" s="9" t="s">
        <v>119</v>
      </c>
      <c r="BB36" s="9" t="s">
        <v>120</v>
      </c>
      <c r="BC36" s="9" t="s">
        <v>121</v>
      </c>
      <c r="BD36" s="9" t="s">
        <v>122</v>
      </c>
      <c r="BE36" s="9" t="s">
        <v>123</v>
      </c>
      <c r="BF36" s="9" t="s">
        <v>124</v>
      </c>
      <c r="BG36" s="9" t="s">
        <v>125</v>
      </c>
      <c r="BH36" s="36" t="s">
        <v>126</v>
      </c>
    </row>
    <row r="37" spans="1:60" ht="15.5" x14ac:dyDescent="0.35">
      <c r="A37" s="43" t="s">
        <v>45</v>
      </c>
      <c r="B37" s="57">
        <f>'Baseline and counterfactual'!B3</f>
        <v>8710079</v>
      </c>
      <c r="C37" s="27">
        <f>'Baseline and counterfactual'!C3</f>
        <v>0.67901</v>
      </c>
      <c r="D37" s="28">
        <f>'Baseline and counterfactual'!D3</f>
        <v>0.21728320000000001</v>
      </c>
      <c r="E37" s="26">
        <f>'Baseline and counterfactual'!E3</f>
        <v>9.9999999999999995E-7</v>
      </c>
      <c r="F37" s="27">
        <f>E37*D37/C37</f>
        <v>3.2000000000000001E-7</v>
      </c>
      <c r="G37" s="49">
        <f>LN(C37)-(0.5*H37*H37)</f>
        <v>-0.43586423463001789</v>
      </c>
      <c r="H37" s="6">
        <f>SQRT(LN(1+((D37*D37)/(C37*C37))))</f>
        <v>0.31223328022050617</v>
      </c>
      <c r="I37" s="38">
        <f>LN(E37)-(0.5*J37*J37)</f>
        <v>-13.864255368602903</v>
      </c>
      <c r="J37" s="39">
        <f>SQRT(LN(1+((F37*F37)/(E37*E37))))</f>
        <v>0.31223328022050617</v>
      </c>
      <c r="K37" s="49">
        <f xml:space="preserve"> $B37*LOGNORMDIST(0.1,$G37,$H37)</f>
        <v>9.801029518072794E-3</v>
      </c>
      <c r="L37" s="6">
        <f xml:space="preserve"> $B37*(LOGNORMDIST(0.2,$G37,$H37)-LOGNORMDIST(0.1,$G37,$H37))</f>
        <v>743.99144905471985</v>
      </c>
      <c r="M37" s="6">
        <f xml:space="preserve"> $B37*(LOGNORMDIST(0.3,$G37,$H37)-LOGNORMDIST(0.2,$G37,$H37))</f>
        <v>59755.680719518678</v>
      </c>
      <c r="N37" s="6">
        <f xml:space="preserve"> $B37*(LOGNORMDIST(0.4,$G37,$H37)-LOGNORMDIST(0.3,$G37,$H37))</f>
        <v>479015.2915348594</v>
      </c>
      <c r="O37" s="6">
        <f xml:space="preserve"> $B37*(LOGNORMDIST(0.5,$G37,$H37)-LOGNORMDIST(0.4,$G37,$H37))</f>
        <v>1245766.4133162184</v>
      </c>
      <c r="P37" s="6">
        <f xml:space="preserve"> $B37*(LOGNORMDIST(0.6,$G37,$H37)-LOGNORMDIST(0.5,$G37,$H37))</f>
        <v>1743464.2214362284</v>
      </c>
      <c r="Q37" s="6">
        <f xml:space="preserve"> $B37*(LOGNORMDIST(0.7,$G37,$H37)-LOGNORMDIST(0.6,$G37,$H37))</f>
        <v>1698227.4726767431</v>
      </c>
      <c r="R37" s="6">
        <f xml:space="preserve"> $B37*(LOGNORMDIST(0.8,$G37,$H37)-LOGNORMDIST(0.7,$G37,$H37))</f>
        <v>1324358.6323726117</v>
      </c>
      <c r="S37" s="6">
        <f xml:space="preserve"> $B37*(LOGNORMDIST(0.9,$G37,$H37)-LOGNORMDIST(0.8,$G37,$H37))</f>
        <v>896567.3097718294</v>
      </c>
      <c r="T37" s="6">
        <f xml:space="preserve"> $B37*(LOGNORMDIST(1,$G37,$H37)-LOGNORMDIST(0.9,$G37,$H37))</f>
        <v>553495.53541594604</v>
      </c>
      <c r="U37" s="6">
        <f xml:space="preserve"> $B37*(LOGNORMDIST(1.1,$G37,$H37)-LOGNORMDIST(1,$G37,$H37))</f>
        <v>321506.01654197043</v>
      </c>
      <c r="V37" s="6">
        <f xml:space="preserve"> $B37*(LOGNORMDIST(1.2,$G37,$H37)-LOGNORMDIST(1.1,$G37,$H37))</f>
        <v>179371.08232174965</v>
      </c>
      <c r="W37" s="6">
        <f xml:space="preserve"> $B37*(LOGNORMDIST(1.3,$G37,$H37)-LOGNORMDIST(1.2,$G37,$H37))</f>
        <v>97467.778215766157</v>
      </c>
      <c r="X37" s="6">
        <f xml:space="preserve"> $B37*(LOGNORMDIST(1.4,$G37,$H37)-LOGNORMDIST(1.3,$G37,$H37))</f>
        <v>52084.864096640151</v>
      </c>
      <c r="Y37" s="6">
        <f xml:space="preserve"> $B37*(LOGNORMDIST(1.5,$G37,$H37)-LOGNORMDIST(1.4,$G37,$H37))</f>
        <v>27559.089980487497</v>
      </c>
      <c r="Z37" s="6">
        <f xml:space="preserve"> $B37*(LOGNORMDIST(1.6,$G37,$H37)-LOGNORMDIST(1.5,$G37,$H37))</f>
        <v>14509.095864564242</v>
      </c>
      <c r="AA37" s="6">
        <f xml:space="preserve"> $B37*(LOGNORMDIST(1.7,$G37,$H37)-LOGNORMDIST(1.6,$G37,$H37))</f>
        <v>7627.3039997959404</v>
      </c>
      <c r="AB37" s="6">
        <f xml:space="preserve"> $B37*(LOGNORMDIST(1.8,$G37,$H37)-LOGNORMDIST(1.7,$G37,$H37))</f>
        <v>4013.9706043170809</v>
      </c>
      <c r="AC37" s="6">
        <f xml:space="preserve"> $B37*(LOGNORMDIST(1.9,$G37,$H37)-LOGNORMDIST(1.8,$G37,$H37))</f>
        <v>2118.68852526513</v>
      </c>
      <c r="AD37" s="6">
        <f xml:space="preserve"> $B37*(LOGNORMDIST(2,$G37,$H37)-LOGNORMDIST(1.9,$G37,$H37))</f>
        <v>1123.1766799611551</v>
      </c>
      <c r="AE37" s="6">
        <f xml:space="preserve"> $B37*(LOGNORMDIST(2.1,$G37,$H37)-LOGNORMDIST(2,$G37,$H37))</f>
        <v>598.62284575853062</v>
      </c>
      <c r="AF37" s="6">
        <f xml:space="preserve"> $B37*(LOGNORMDIST(2.2,$G37,$H37)-LOGNORMDIST(2.1,$G37,$H37))</f>
        <v>320.99476519980692</v>
      </c>
      <c r="AG37" s="6">
        <f xml:space="preserve"> $B37*(LOGNORMDIST(2.3,$G37,$H37)-LOGNORMDIST(2.2,$G37,$H37))</f>
        <v>173.2631325155532</v>
      </c>
      <c r="AH37" s="6">
        <f xml:space="preserve"> $B37*(LOGNORMDIST(2.4,$G37,$H37)-LOGNORMDIST(2.3,$G37,$H37))</f>
        <v>94.17441908848582</v>
      </c>
      <c r="AI37" s="25">
        <f xml:space="preserve"> $B37*(1-LOGNORMDIST(2.4,$G37,$H37))</f>
        <v>116.31951288068447</v>
      </c>
      <c r="AJ37" s="49">
        <f xml:space="preserve"> $B37*LOGNORMDIST(0.1,$I37,$J37)</f>
        <v>8710079</v>
      </c>
      <c r="AK37" s="6">
        <f xml:space="preserve"> $B37*(LOGNORMDIST(0.2,$I37,$J37)-LOGNORMDIST(0.1,$I37,$J37))</f>
        <v>0</v>
      </c>
      <c r="AL37" s="6">
        <f xml:space="preserve"> $B37*(LOGNORMDIST(0.3,$I37,$J37)-LOGNORMDIST(0.2,$I37,$J37))</f>
        <v>0</v>
      </c>
      <c r="AM37" s="6">
        <f xml:space="preserve"> $B37*(LOGNORMDIST(0.4,$I37,$J37)-LOGNORMDIST(0.3,$I37,$J37))</f>
        <v>0</v>
      </c>
      <c r="AN37" s="6">
        <f xml:space="preserve"> $B37*(LOGNORMDIST(0.5,$I37,$J37)-LOGNORMDIST(0.4,$I37,$J37))</f>
        <v>0</v>
      </c>
      <c r="AO37" s="6">
        <f xml:space="preserve"> $B37*(LOGNORMDIST(0.6,$I37,$J37)-LOGNORMDIST(0.5,$I37,$J37))</f>
        <v>0</v>
      </c>
      <c r="AP37" s="6">
        <f xml:space="preserve"> $B37*(LOGNORMDIST(0.7,$I37,$J37)-LOGNORMDIST(0.6,$I37,$J37))</f>
        <v>0</v>
      </c>
      <c r="AQ37" s="6">
        <f xml:space="preserve"> $B37*(LOGNORMDIST(0.8,$I37,$J37)-LOGNORMDIST(0.7,$I37,$J37))</f>
        <v>0</v>
      </c>
      <c r="AR37" s="6">
        <f xml:space="preserve"> $B37*(LOGNORMDIST(0.9,$I37,$J37)-LOGNORMDIST(0.8,$I37,$J37))</f>
        <v>0</v>
      </c>
      <c r="AS37" s="6">
        <f xml:space="preserve"> $B37*(LOGNORMDIST(1,$I37,$J37)-LOGNORMDIST(0.9,$I37,$J37))</f>
        <v>0</v>
      </c>
      <c r="AT37" s="6">
        <f xml:space="preserve"> $B37*(LOGNORMDIST(1.1,$I37,$J37)-LOGNORMDIST(1,$I37,$J37))</f>
        <v>0</v>
      </c>
      <c r="AU37" s="6">
        <f xml:space="preserve"> $B37*(LOGNORMDIST(1.2,$I37,$J37)-LOGNORMDIST(1.1,$I37,$J37))</f>
        <v>0</v>
      </c>
      <c r="AV37" s="6">
        <f xml:space="preserve"> $B37*(LOGNORMDIST(1.3,$I37,$J37)-LOGNORMDIST(1.2,$I37,$J37))</f>
        <v>0</v>
      </c>
      <c r="AW37" s="6">
        <f xml:space="preserve"> $B37*(LOGNORMDIST(1.4,$I37,$J37)-LOGNORMDIST(1.3,$I37,$J37))</f>
        <v>0</v>
      </c>
      <c r="AX37" s="6">
        <f xml:space="preserve"> $B37*(LOGNORMDIST(1.5,$I37,$J37)-LOGNORMDIST(1.4,$I37,$J37))</f>
        <v>0</v>
      </c>
      <c r="AY37" s="6">
        <f xml:space="preserve"> $B37*(LOGNORMDIST(1.6,$I37,$J37)-LOGNORMDIST(1.5,$I37,$J37))</f>
        <v>0</v>
      </c>
      <c r="AZ37" s="6">
        <f xml:space="preserve"> $B37*(LOGNORMDIST(1.7,$I37,$J37)-LOGNORMDIST(1.6,$I37,$J37))</f>
        <v>0</v>
      </c>
      <c r="BA37" s="6">
        <f xml:space="preserve"> $B37*(LOGNORMDIST(1.8,$I37,$J37)-LOGNORMDIST(1.7,$I37,$J37))</f>
        <v>0</v>
      </c>
      <c r="BB37" s="6">
        <f xml:space="preserve"> $B37*(LOGNORMDIST(1.9,$I37,$J37)-LOGNORMDIST(1.8,$I37,$J37))</f>
        <v>0</v>
      </c>
      <c r="BC37" s="6">
        <f xml:space="preserve"> $B37*(LOGNORMDIST(2,$I37,$J37)-LOGNORMDIST(1.9,$I37,$J37))</f>
        <v>0</v>
      </c>
      <c r="BD37" s="6">
        <f xml:space="preserve"> $B37*(LOGNORMDIST(2.1,$I37,$J37)-LOGNORMDIST(2,$I37,$J37))</f>
        <v>0</v>
      </c>
      <c r="BE37" s="6">
        <f xml:space="preserve"> $B37*(LOGNORMDIST(2.2,$I37,$J37)-LOGNORMDIST(2.1,$I37,$J37))</f>
        <v>0</v>
      </c>
      <c r="BF37" s="6">
        <f xml:space="preserve"> $B37*(LOGNORMDIST(2.3,$I37,$J37)-LOGNORMDIST(2.2,$I37,$J37))</f>
        <v>0</v>
      </c>
      <c r="BG37" s="6">
        <f xml:space="preserve"> $B37*(LOGNORMDIST(2.4,$I37,$J37)-LOGNORMDIST(2.3,$I37,$J37))</f>
        <v>0</v>
      </c>
      <c r="BH37" s="25">
        <f xml:space="preserve"> $B37*(1-LOGNORMDIST(2.4,$I37,$J37))</f>
        <v>0</v>
      </c>
    </row>
    <row r="38" spans="1:60" ht="15.5" x14ac:dyDescent="0.35">
      <c r="A38" s="43" t="s">
        <v>46</v>
      </c>
      <c r="B38" s="57">
        <f>'Baseline and counterfactual'!B4</f>
        <v>8621967</v>
      </c>
      <c r="C38" s="27">
        <f>'Baseline and counterfactual'!C4</f>
        <v>0.67901</v>
      </c>
      <c r="D38" s="28">
        <f>'Baseline and counterfactual'!D4</f>
        <v>0.21728320000000001</v>
      </c>
      <c r="E38" s="26">
        <f>'Baseline and counterfactual'!E4</f>
        <v>9.9999999999999995E-7</v>
      </c>
      <c r="F38" s="27">
        <f t="shared" ref="F38:F50" si="4">E38*D38/C38</f>
        <v>3.2000000000000001E-7</v>
      </c>
      <c r="G38" s="49">
        <f t="shared" ref="G38:G65" si="5">LN(C38)-(0.5*H38*H38)</f>
        <v>-0.43586423463001789</v>
      </c>
      <c r="H38" s="27">
        <f t="shared" ref="H38:H49" si="6">SQRT(LN(1+((D38*D38)/(C38*C38))))</f>
        <v>0.31223328022050617</v>
      </c>
      <c r="I38" s="38">
        <f t="shared" ref="I38:I65" si="7">LN(E38)-(0.5*J38*J38)</f>
        <v>-13.864255368602903</v>
      </c>
      <c r="J38" s="41">
        <f t="shared" ref="J38:J49" si="8">SQRT(LN(1+((F38*F38)/(E38*E38))))</f>
        <v>0.31223328022050617</v>
      </c>
      <c r="K38" s="49">
        <f t="shared" ref="K38:K50" si="9" xml:space="preserve"> $B38*LOGNORMDIST(0.1,$G38,$H38)</f>
        <v>9.7018813573159935E-3</v>
      </c>
      <c r="L38" s="6">
        <f t="shared" ref="L38:L50" si="10" xml:space="preserve"> $B38*(LOGNORMDIST(0.2,$G38,$H38)-LOGNORMDIST(0.1,$G38,$H38))</f>
        <v>736.46515973413977</v>
      </c>
      <c r="M38" s="6">
        <f t="shared" ref="M38:M50" si="11" xml:space="preserve"> $B38*(LOGNORMDIST(0.3,$G38,$H38)-LOGNORMDIST(0.2,$G38,$H38))</f>
        <v>59151.186484786915</v>
      </c>
      <c r="N38" s="6">
        <f t="shared" ref="N38:N50" si="12" xml:space="preserve"> $B38*(LOGNORMDIST(0.4,$G38,$H38)-LOGNORMDIST(0.3,$G38,$H38))</f>
        <v>474169.52660348284</v>
      </c>
      <c r="O38" s="6">
        <f t="shared" ref="O38:O50" si="13" xml:space="preserve"> $B38*(LOGNORMDIST(0.5,$G38,$H38)-LOGNORMDIST(0.4,$G38,$H38))</f>
        <v>1233164.1200178319</v>
      </c>
      <c r="P38" s="6">
        <f t="shared" ref="P38:P50" si="14" xml:space="preserve"> $B38*(LOGNORMDIST(0.6,$G38,$H38)-LOGNORMDIST(0.5,$G38,$H38))</f>
        <v>1725827.1690651549</v>
      </c>
      <c r="Q38" s="6">
        <f t="shared" ref="Q38:Q50" si="15" xml:space="preserve"> $B38*(LOGNORMDIST(0.7,$G38,$H38)-LOGNORMDIST(0.6,$G38,$H38))</f>
        <v>1681048.0396230943</v>
      </c>
      <c r="R38" s="6">
        <f t="shared" ref="R38:R50" si="16" xml:space="preserve"> $B38*(LOGNORMDIST(0.8,$G38,$H38)-LOGNORMDIST(0.7,$G38,$H38))</f>
        <v>1310961.2925992736</v>
      </c>
      <c r="S38" s="6">
        <f t="shared" ref="S38:S50" si="17" xml:space="preserve"> $B38*(LOGNORMDIST(0.9,$G38,$H38)-LOGNORMDIST(0.8,$G38,$H38))</f>
        <v>887497.54831517499</v>
      </c>
      <c r="T38" s="6">
        <f t="shared" ref="T38:T50" si="18" xml:space="preserve"> $B38*(LOGNORMDIST(1,$G38,$H38)-LOGNORMDIST(0.9,$G38,$H38))</f>
        <v>547896.32114744524</v>
      </c>
      <c r="U38" s="6">
        <f t="shared" ref="U38:U50" si="19" xml:space="preserve"> $B38*(LOGNORMDIST(1.1,$G38,$H38)-LOGNORMDIST(1,$G38,$H38))</f>
        <v>318253.63064173394</v>
      </c>
      <c r="V38" s="6">
        <f t="shared" ref="V38:V50" si="20" xml:space="preserve"> $B38*(LOGNORMDIST(1.2,$G38,$H38)-LOGNORMDIST(1.1,$G38,$H38))</f>
        <v>177556.54713721987</v>
      </c>
      <c r="W38" s="6">
        <f t="shared" ref="W38:W50" si="21" xml:space="preserve"> $B38*(LOGNORMDIST(1.3,$G38,$H38)-LOGNORMDIST(1.2,$G38,$H38))</f>
        <v>96481.784762188123</v>
      </c>
      <c r="X38" s="6">
        <f t="shared" ref="X38:X50" si="22" xml:space="preserve"> $B38*(LOGNORMDIST(1.4,$G38,$H38)-LOGNORMDIST(1.3,$G38,$H38))</f>
        <v>51557.968583375208</v>
      </c>
      <c r="Y38" s="6">
        <f t="shared" ref="Y38:Y50" si="23" xml:space="preserve"> $B38*(LOGNORMDIST(1.5,$G38,$H38)-LOGNORMDIST(1.4,$G38,$H38))</f>
        <v>27280.299565801168</v>
      </c>
      <c r="Z38" s="6">
        <f t="shared" ref="Z38:Z50" si="24" xml:space="preserve"> $B38*(LOGNORMDIST(1.6,$G38,$H38)-LOGNORMDIST(1.5,$G38,$H38))</f>
        <v>14362.320450148543</v>
      </c>
      <c r="AA38" s="6">
        <f t="shared" ref="AA38:AA50" si="25" xml:space="preserve"> $B38*(LOGNORMDIST(1.7,$G38,$H38)-LOGNORMDIST(1.6,$G38,$H38))</f>
        <v>7550.1454562247491</v>
      </c>
      <c r="AB38" s="6">
        <f t="shared" ref="AB38:AB50" si="26" xml:space="preserve"> $B38*(LOGNORMDIST(1.8,$G38,$H38)-LOGNORMDIST(1.7,$G38,$H38))</f>
        <v>3973.3648901912293</v>
      </c>
      <c r="AC38" s="6">
        <f t="shared" ref="AC38:AC50" si="27" xml:space="preserve"> $B38*(LOGNORMDIST(1.9,$G38,$H38)-LOGNORMDIST(1.8,$G38,$H38))</f>
        <v>2097.2556676138779</v>
      </c>
      <c r="AD38" s="6">
        <f t="shared" ref="AD38:AD50" si="28" xml:space="preserve"> $B38*(LOGNORMDIST(2,$G38,$H38)-LOGNORMDIST(1.9,$G38,$H38))</f>
        <v>1111.8145162397079</v>
      </c>
      <c r="AE38" s="6">
        <f t="shared" ref="AE38:AE50" si="29" xml:space="preserve"> $B38*(LOGNORMDIST(2.1,$G38,$H38)-LOGNORMDIST(2,$G38,$H38))</f>
        <v>592.56711926219509</v>
      </c>
      <c r="AF38" s="6">
        <f t="shared" ref="AF38:AF50" si="30" xml:space="preserve"> $B38*(LOGNORMDIST(2.2,$G38,$H38)-LOGNORMDIST(2.1,$G38,$H38))</f>
        <v>317.74755116750191</v>
      </c>
      <c r="AG38" s="6">
        <f t="shared" ref="AG38:AG50" si="31" xml:space="preserve"> $B38*(LOGNORMDIST(2.3,$G38,$H38)-LOGNORMDIST(2.2,$G38,$H38))</f>
        <v>171.51038594089982</v>
      </c>
      <c r="AH38" s="6">
        <f t="shared" ref="AH38:AH50" si="32" xml:space="preserve"> $B38*(LOGNORMDIST(2.4,$G38,$H38)-LOGNORMDIST(2.3,$G38,$H38))</f>
        <v>93.221741573766991</v>
      </c>
      <c r="AI38" s="25">
        <f t="shared" ref="AI38:AI50" si="33" xml:space="preserve"> $B38*(1-LOGNORMDIST(2.4,$G38,$H38))</f>
        <v>115.14281345936546</v>
      </c>
      <c r="AJ38" s="49">
        <f t="shared" ref="AJ38:AJ50" si="34" xml:space="preserve"> $B38*LOGNORMDIST(0.1,$I38,$J38)</f>
        <v>8621967</v>
      </c>
      <c r="AK38" s="6">
        <f t="shared" ref="AK38:AK50" si="35" xml:space="preserve"> $B38*(LOGNORMDIST(0.2,$I38,$J38)-LOGNORMDIST(0.1,$I38,$J38))</f>
        <v>0</v>
      </c>
      <c r="AL38" s="6">
        <f t="shared" ref="AL38:AL50" si="36" xml:space="preserve"> $B38*(LOGNORMDIST(0.3,$I38,$J38)-LOGNORMDIST(0.2,$I38,$J38))</f>
        <v>0</v>
      </c>
      <c r="AM38" s="6">
        <f t="shared" ref="AM38:AM50" si="37" xml:space="preserve"> $B38*(LOGNORMDIST(0.4,$I38,$J38)-LOGNORMDIST(0.3,$I38,$J38))</f>
        <v>0</v>
      </c>
      <c r="AN38" s="6">
        <f t="shared" ref="AN38:AN50" si="38" xml:space="preserve"> $B38*(LOGNORMDIST(0.5,$I38,$J38)-LOGNORMDIST(0.4,$I38,$J38))</f>
        <v>0</v>
      </c>
      <c r="AO38" s="6">
        <f t="shared" ref="AO38:AO50" si="39" xml:space="preserve"> $B38*(LOGNORMDIST(0.6,$I38,$J38)-LOGNORMDIST(0.5,$I38,$J38))</f>
        <v>0</v>
      </c>
      <c r="AP38" s="6">
        <f t="shared" ref="AP38:AP50" si="40" xml:space="preserve"> $B38*(LOGNORMDIST(0.7,$I38,$J38)-LOGNORMDIST(0.6,$I38,$J38))</f>
        <v>0</v>
      </c>
      <c r="AQ38" s="6">
        <f t="shared" ref="AQ38:AQ50" si="41" xml:space="preserve"> $B38*(LOGNORMDIST(0.8,$I38,$J38)-LOGNORMDIST(0.7,$I38,$J38))</f>
        <v>0</v>
      </c>
      <c r="AR38" s="6">
        <f t="shared" ref="AR38:AR50" si="42" xml:space="preserve"> $B38*(LOGNORMDIST(0.9,$I38,$J38)-LOGNORMDIST(0.8,$I38,$J38))</f>
        <v>0</v>
      </c>
      <c r="AS38" s="6">
        <f t="shared" ref="AS38:AS50" si="43" xml:space="preserve"> $B38*(LOGNORMDIST(1,$I38,$J38)-LOGNORMDIST(0.9,$I38,$J38))</f>
        <v>0</v>
      </c>
      <c r="AT38" s="6">
        <f t="shared" ref="AT38:AT50" si="44" xml:space="preserve"> $B38*(LOGNORMDIST(1.1,$I38,$J38)-LOGNORMDIST(1,$I38,$J38))</f>
        <v>0</v>
      </c>
      <c r="AU38" s="6">
        <f t="shared" ref="AU38:AU50" si="45" xml:space="preserve"> $B38*(LOGNORMDIST(1.2,$I38,$J38)-LOGNORMDIST(1.1,$I38,$J38))</f>
        <v>0</v>
      </c>
      <c r="AV38" s="6">
        <f t="shared" ref="AV38:AV50" si="46" xml:space="preserve"> $B38*(LOGNORMDIST(1.3,$I38,$J38)-LOGNORMDIST(1.2,$I38,$J38))</f>
        <v>0</v>
      </c>
      <c r="AW38" s="6">
        <f t="shared" ref="AW38:AW50" si="47" xml:space="preserve"> $B38*(LOGNORMDIST(1.4,$I38,$J38)-LOGNORMDIST(1.3,$I38,$J38))</f>
        <v>0</v>
      </c>
      <c r="AX38" s="6">
        <f t="shared" ref="AX38:AX50" si="48" xml:space="preserve"> $B38*(LOGNORMDIST(1.5,$I38,$J38)-LOGNORMDIST(1.4,$I38,$J38))</f>
        <v>0</v>
      </c>
      <c r="AY38" s="6">
        <f t="shared" ref="AY38:AY50" si="49" xml:space="preserve"> $B38*(LOGNORMDIST(1.6,$I38,$J38)-LOGNORMDIST(1.5,$I38,$J38))</f>
        <v>0</v>
      </c>
      <c r="AZ38" s="6">
        <f t="shared" ref="AZ38:AZ50" si="50" xml:space="preserve"> $B38*(LOGNORMDIST(1.7,$I38,$J38)-LOGNORMDIST(1.6,$I38,$J38))</f>
        <v>0</v>
      </c>
      <c r="BA38" s="6">
        <f t="shared" ref="BA38:BA50" si="51" xml:space="preserve"> $B38*(LOGNORMDIST(1.8,$I38,$J38)-LOGNORMDIST(1.7,$I38,$J38))</f>
        <v>0</v>
      </c>
      <c r="BB38" s="6">
        <f t="shared" ref="BB38:BB50" si="52" xml:space="preserve"> $B38*(LOGNORMDIST(1.9,$I38,$J38)-LOGNORMDIST(1.8,$I38,$J38))</f>
        <v>0</v>
      </c>
      <c r="BC38" s="6">
        <f t="shared" ref="BC38:BC50" si="53" xml:space="preserve"> $B38*(LOGNORMDIST(2,$I38,$J38)-LOGNORMDIST(1.9,$I38,$J38))</f>
        <v>0</v>
      </c>
      <c r="BD38" s="6">
        <f t="shared" ref="BD38:BD50" si="54" xml:space="preserve"> $B38*(LOGNORMDIST(2.1,$I38,$J38)-LOGNORMDIST(2,$I38,$J38))</f>
        <v>0</v>
      </c>
      <c r="BE38" s="6">
        <f t="shared" ref="BE38:BE50" si="55" xml:space="preserve"> $B38*(LOGNORMDIST(2.2,$I38,$J38)-LOGNORMDIST(2.1,$I38,$J38))</f>
        <v>0</v>
      </c>
      <c r="BF38" s="6">
        <f t="shared" ref="BF38:BF50" si="56" xml:space="preserve"> $B38*(LOGNORMDIST(2.3,$I38,$J38)-LOGNORMDIST(2.2,$I38,$J38))</f>
        <v>0</v>
      </c>
      <c r="BG38" s="6">
        <f t="shared" ref="BG38:BG50" si="57" xml:space="preserve"> $B38*(LOGNORMDIST(2.4,$I38,$J38)-LOGNORMDIST(2.3,$I38,$J38))</f>
        <v>0</v>
      </c>
      <c r="BH38" s="25">
        <f t="shared" ref="BH38:BH50" si="58" xml:space="preserve"> $B38*(1-LOGNORMDIST(2.4,$I38,$J38))</f>
        <v>0</v>
      </c>
    </row>
    <row r="39" spans="1:60" ht="15.5" x14ac:dyDescent="0.35">
      <c r="A39" s="43" t="s">
        <v>47</v>
      </c>
      <c r="B39" s="57">
        <f>'Baseline and counterfactual'!B5</f>
        <v>8634062</v>
      </c>
      <c r="C39" s="27">
        <f>'Baseline and counterfactual'!C5</f>
        <v>0.67901</v>
      </c>
      <c r="D39" s="28">
        <f>'Baseline and counterfactual'!D5</f>
        <v>0.21728320000000001</v>
      </c>
      <c r="E39" s="26">
        <f>'Baseline and counterfactual'!E5</f>
        <v>9.9999999999999995E-7</v>
      </c>
      <c r="F39" s="27">
        <f t="shared" si="4"/>
        <v>3.2000000000000001E-7</v>
      </c>
      <c r="G39" s="49">
        <f t="shared" si="5"/>
        <v>-0.43586423463001789</v>
      </c>
      <c r="H39" s="27">
        <f t="shared" si="6"/>
        <v>0.31223328022050617</v>
      </c>
      <c r="I39" s="38">
        <f t="shared" si="7"/>
        <v>-13.864255368602903</v>
      </c>
      <c r="J39" s="41">
        <f t="shared" si="8"/>
        <v>0.31223328022050617</v>
      </c>
      <c r="K39" s="49">
        <f t="shared" si="9"/>
        <v>9.7154912742893184E-3</v>
      </c>
      <c r="L39" s="6">
        <f t="shared" si="10"/>
        <v>737.49828200275715</v>
      </c>
      <c r="M39" s="6">
        <f t="shared" si="11"/>
        <v>59234.164487432194</v>
      </c>
      <c r="N39" s="6">
        <f t="shared" si="12"/>
        <v>474834.69737301482</v>
      </c>
      <c r="O39" s="6">
        <f t="shared" si="13"/>
        <v>1234894.0176191118</v>
      </c>
      <c r="P39" s="6">
        <f t="shared" si="14"/>
        <v>1728248.1803738088</v>
      </c>
      <c r="Q39" s="6">
        <f t="shared" si="15"/>
        <v>1683406.2342252356</v>
      </c>
      <c r="R39" s="6">
        <f t="shared" si="16"/>
        <v>1312800.3250189046</v>
      </c>
      <c r="S39" s="6">
        <f t="shared" si="17"/>
        <v>888742.54065240757</v>
      </c>
      <c r="T39" s="6">
        <f t="shared" si="18"/>
        <v>548664.91675959248</v>
      </c>
      <c r="U39" s="6">
        <f t="shared" si="19"/>
        <v>318700.080699199</v>
      </c>
      <c r="V39" s="6">
        <f t="shared" si="20"/>
        <v>177805.62561752775</v>
      </c>
      <c r="W39" s="6">
        <f t="shared" si="21"/>
        <v>96617.130581384437</v>
      </c>
      <c r="X39" s="6">
        <f t="shared" si="22"/>
        <v>51630.294727747591</v>
      </c>
      <c r="Y39" s="6">
        <f t="shared" si="23"/>
        <v>27318.568701283635</v>
      </c>
      <c r="Z39" s="6">
        <f t="shared" si="24"/>
        <v>14382.468087670763</v>
      </c>
      <c r="AA39" s="6">
        <f t="shared" si="25"/>
        <v>7560.736891948527</v>
      </c>
      <c r="AB39" s="6">
        <f t="shared" si="26"/>
        <v>3978.938774705849</v>
      </c>
      <c r="AC39" s="6">
        <f t="shared" si="27"/>
        <v>2100.1977233303737</v>
      </c>
      <c r="AD39" s="6">
        <f t="shared" si="28"/>
        <v>1113.3741831433183</v>
      </c>
      <c r="AE39" s="6">
        <f t="shared" si="29"/>
        <v>593.39837961235378</v>
      </c>
      <c r="AF39" s="6">
        <f t="shared" si="30"/>
        <v>318.1932912905354</v>
      </c>
      <c r="AG39" s="6">
        <f t="shared" si="31"/>
        <v>171.75098279286587</v>
      </c>
      <c r="AH39" s="6">
        <f t="shared" si="32"/>
        <v>93.352514164793462</v>
      </c>
      <c r="AI39" s="25">
        <f t="shared" si="33"/>
        <v>115.30433719621007</v>
      </c>
      <c r="AJ39" s="49">
        <f t="shared" si="34"/>
        <v>8634062</v>
      </c>
      <c r="AK39" s="6">
        <f t="shared" si="35"/>
        <v>0</v>
      </c>
      <c r="AL39" s="6">
        <f t="shared" si="36"/>
        <v>0</v>
      </c>
      <c r="AM39" s="6">
        <f t="shared" si="37"/>
        <v>0</v>
      </c>
      <c r="AN39" s="6">
        <f t="shared" si="38"/>
        <v>0</v>
      </c>
      <c r="AO39" s="6">
        <f t="shared" si="39"/>
        <v>0</v>
      </c>
      <c r="AP39" s="6">
        <f t="shared" si="40"/>
        <v>0</v>
      </c>
      <c r="AQ39" s="6">
        <f t="shared" si="41"/>
        <v>0</v>
      </c>
      <c r="AR39" s="6">
        <f t="shared" si="42"/>
        <v>0</v>
      </c>
      <c r="AS39" s="6">
        <f t="shared" si="43"/>
        <v>0</v>
      </c>
      <c r="AT39" s="6">
        <f t="shared" si="44"/>
        <v>0</v>
      </c>
      <c r="AU39" s="6">
        <f t="shared" si="45"/>
        <v>0</v>
      </c>
      <c r="AV39" s="6">
        <f t="shared" si="46"/>
        <v>0</v>
      </c>
      <c r="AW39" s="6">
        <f t="shared" si="47"/>
        <v>0</v>
      </c>
      <c r="AX39" s="6">
        <f t="shared" si="48"/>
        <v>0</v>
      </c>
      <c r="AY39" s="6">
        <f t="shared" si="49"/>
        <v>0</v>
      </c>
      <c r="AZ39" s="6">
        <f t="shared" si="50"/>
        <v>0</v>
      </c>
      <c r="BA39" s="6">
        <f t="shared" si="51"/>
        <v>0</v>
      </c>
      <c r="BB39" s="6">
        <f t="shared" si="52"/>
        <v>0</v>
      </c>
      <c r="BC39" s="6">
        <f t="shared" si="53"/>
        <v>0</v>
      </c>
      <c r="BD39" s="6">
        <f t="shared" si="54"/>
        <v>0</v>
      </c>
      <c r="BE39" s="6">
        <f t="shared" si="55"/>
        <v>0</v>
      </c>
      <c r="BF39" s="6">
        <f t="shared" si="56"/>
        <v>0</v>
      </c>
      <c r="BG39" s="6">
        <f t="shared" si="57"/>
        <v>0</v>
      </c>
      <c r="BH39" s="25">
        <f t="shared" si="58"/>
        <v>0</v>
      </c>
    </row>
    <row r="40" spans="1:60" ht="15.5" x14ac:dyDescent="0.35">
      <c r="A40" s="43" t="s">
        <v>48</v>
      </c>
      <c r="B40" s="57">
        <f>'Baseline and counterfactual'!B6</f>
        <v>8816350</v>
      </c>
      <c r="C40" s="27">
        <f>'Baseline and counterfactual'!C6</f>
        <v>0.67901</v>
      </c>
      <c r="D40" s="28">
        <f>'Baseline and counterfactual'!D6</f>
        <v>0.21728320000000001</v>
      </c>
      <c r="E40" s="26">
        <f>'Baseline and counterfactual'!E6</f>
        <v>9.9999999999999995E-7</v>
      </c>
      <c r="F40" s="27">
        <f t="shared" si="4"/>
        <v>3.2000000000000001E-7</v>
      </c>
      <c r="G40" s="49">
        <f t="shared" si="5"/>
        <v>-0.43586423463001789</v>
      </c>
      <c r="H40" s="27">
        <f t="shared" si="6"/>
        <v>0.31223328022050617</v>
      </c>
      <c r="I40" s="38">
        <f t="shared" si="7"/>
        <v>-13.864255368602903</v>
      </c>
      <c r="J40" s="41">
        <f t="shared" si="8"/>
        <v>0.31223328022050617</v>
      </c>
      <c r="K40" s="49">
        <f t="shared" si="9"/>
        <v>9.9206111209394401E-3</v>
      </c>
      <c r="L40" s="6">
        <f t="shared" si="10"/>
        <v>753.06883116371046</v>
      </c>
      <c r="M40" s="6">
        <f t="shared" si="11"/>
        <v>60484.755156816434</v>
      </c>
      <c r="N40" s="6">
        <f t="shared" si="12"/>
        <v>484859.72004655271</v>
      </c>
      <c r="O40" s="6">
        <f t="shared" si="13"/>
        <v>1260965.912942976</v>
      </c>
      <c r="P40" s="6">
        <f t="shared" si="14"/>
        <v>1764736.0935141107</v>
      </c>
      <c r="Q40" s="6">
        <f t="shared" si="15"/>
        <v>1718947.4146828752</v>
      </c>
      <c r="R40" s="6">
        <f t="shared" si="16"/>
        <v>1340517.029583575</v>
      </c>
      <c r="S40" s="6">
        <f t="shared" si="17"/>
        <v>907506.2581529821</v>
      </c>
      <c r="T40" s="6">
        <f t="shared" si="18"/>
        <v>560248.69162086549</v>
      </c>
      <c r="U40" s="6">
        <f t="shared" si="19"/>
        <v>325428.68657560984</v>
      </c>
      <c r="V40" s="6">
        <f t="shared" si="20"/>
        <v>181559.5750196247</v>
      </c>
      <c r="W40" s="6">
        <f t="shared" si="21"/>
        <v>98656.975036916425</v>
      </c>
      <c r="X40" s="6">
        <f t="shared" si="22"/>
        <v>52720.347493795794</v>
      </c>
      <c r="Y40" s="6">
        <f t="shared" si="23"/>
        <v>27895.336305155321</v>
      </c>
      <c r="Z40" s="6">
        <f t="shared" si="24"/>
        <v>14686.120220672046</v>
      </c>
      <c r="AA40" s="6">
        <f t="shared" si="25"/>
        <v>7720.3641457902895</v>
      </c>
      <c r="AB40" s="6">
        <f t="shared" si="26"/>
        <v>4062.9447491085784</v>
      </c>
      <c r="AC40" s="6">
        <f t="shared" si="27"/>
        <v>2144.5384800437778</v>
      </c>
      <c r="AD40" s="6">
        <f t="shared" si="28"/>
        <v>1136.8804717357361</v>
      </c>
      <c r="AE40" s="6">
        <f t="shared" si="29"/>
        <v>605.92659678554253</v>
      </c>
      <c r="AF40" s="6">
        <f t="shared" si="30"/>
        <v>324.91119749537495</v>
      </c>
      <c r="AG40" s="6">
        <f t="shared" si="31"/>
        <v>175.37710259040102</v>
      </c>
      <c r="AH40" s="6">
        <f t="shared" si="32"/>
        <v>95.323433889723844</v>
      </c>
      <c r="AI40" s="25">
        <f t="shared" si="33"/>
        <v>117.73871825796557</v>
      </c>
      <c r="AJ40" s="49">
        <f t="shared" si="34"/>
        <v>8816350</v>
      </c>
      <c r="AK40" s="6">
        <f t="shared" si="35"/>
        <v>0</v>
      </c>
      <c r="AL40" s="6">
        <f t="shared" si="36"/>
        <v>0</v>
      </c>
      <c r="AM40" s="6">
        <f t="shared" si="37"/>
        <v>0</v>
      </c>
      <c r="AN40" s="6">
        <f t="shared" si="38"/>
        <v>0</v>
      </c>
      <c r="AO40" s="6">
        <f t="shared" si="39"/>
        <v>0</v>
      </c>
      <c r="AP40" s="6">
        <f t="shared" si="40"/>
        <v>0</v>
      </c>
      <c r="AQ40" s="6">
        <f t="shared" si="41"/>
        <v>0</v>
      </c>
      <c r="AR40" s="6">
        <f t="shared" si="42"/>
        <v>0</v>
      </c>
      <c r="AS40" s="6">
        <f t="shared" si="43"/>
        <v>0</v>
      </c>
      <c r="AT40" s="6">
        <f t="shared" si="44"/>
        <v>0</v>
      </c>
      <c r="AU40" s="6">
        <f t="shared" si="45"/>
        <v>0</v>
      </c>
      <c r="AV40" s="6">
        <f t="shared" si="46"/>
        <v>0</v>
      </c>
      <c r="AW40" s="6">
        <f t="shared" si="47"/>
        <v>0</v>
      </c>
      <c r="AX40" s="6">
        <f t="shared" si="48"/>
        <v>0</v>
      </c>
      <c r="AY40" s="6">
        <f t="shared" si="49"/>
        <v>0</v>
      </c>
      <c r="AZ40" s="6">
        <f t="shared" si="50"/>
        <v>0</v>
      </c>
      <c r="BA40" s="6">
        <f t="shared" si="51"/>
        <v>0</v>
      </c>
      <c r="BB40" s="6">
        <f t="shared" si="52"/>
        <v>0</v>
      </c>
      <c r="BC40" s="6">
        <f t="shared" si="53"/>
        <v>0</v>
      </c>
      <c r="BD40" s="6">
        <f t="shared" si="54"/>
        <v>0</v>
      </c>
      <c r="BE40" s="6">
        <f t="shared" si="55"/>
        <v>0</v>
      </c>
      <c r="BF40" s="6">
        <f t="shared" si="56"/>
        <v>0</v>
      </c>
      <c r="BG40" s="6">
        <f t="shared" si="57"/>
        <v>0</v>
      </c>
      <c r="BH40" s="25">
        <f t="shared" si="58"/>
        <v>0</v>
      </c>
    </row>
    <row r="41" spans="1:60" ht="15.5" x14ac:dyDescent="0.35">
      <c r="A41" s="43" t="s">
        <v>49</v>
      </c>
      <c r="B41" s="57">
        <f>'Baseline and counterfactual'!B7</f>
        <v>7879629</v>
      </c>
      <c r="C41" s="27">
        <f>'Baseline and counterfactual'!C7</f>
        <v>0.67901</v>
      </c>
      <c r="D41" s="28">
        <f>'Baseline and counterfactual'!D7</f>
        <v>0.21728320000000001</v>
      </c>
      <c r="E41" s="26">
        <f>'Baseline and counterfactual'!E7</f>
        <v>9.9999999999999995E-7</v>
      </c>
      <c r="F41" s="27">
        <f t="shared" si="4"/>
        <v>3.2000000000000001E-7</v>
      </c>
      <c r="G41" s="49">
        <f t="shared" si="5"/>
        <v>-0.43586423463001789</v>
      </c>
      <c r="H41" s="27">
        <f t="shared" si="6"/>
        <v>0.31223328022050617</v>
      </c>
      <c r="I41" s="38">
        <f t="shared" si="7"/>
        <v>-13.864255368602903</v>
      </c>
      <c r="J41" s="41">
        <f t="shared" si="8"/>
        <v>0.31223328022050617</v>
      </c>
      <c r="K41" s="49">
        <f t="shared" si="9"/>
        <v>8.8665644043483902E-3</v>
      </c>
      <c r="L41" s="6">
        <f t="shared" si="10"/>
        <v>673.0566505451435</v>
      </c>
      <c r="M41" s="6">
        <f t="shared" si="11"/>
        <v>54058.360976089913</v>
      </c>
      <c r="N41" s="6">
        <f t="shared" si="12"/>
        <v>433344.26503152645</v>
      </c>
      <c r="O41" s="6">
        <f t="shared" si="13"/>
        <v>1126990.5999236587</v>
      </c>
      <c r="P41" s="6">
        <f t="shared" si="14"/>
        <v>1577236.1237700975</v>
      </c>
      <c r="Q41" s="6">
        <f t="shared" si="15"/>
        <v>1536312.4079931276</v>
      </c>
      <c r="R41" s="6">
        <f t="shared" si="16"/>
        <v>1198089.5564831926</v>
      </c>
      <c r="S41" s="6">
        <f t="shared" si="17"/>
        <v>811085.38447585725</v>
      </c>
      <c r="T41" s="6">
        <f t="shared" si="18"/>
        <v>500723.29679604695</v>
      </c>
      <c r="U41" s="6">
        <f t="shared" si="19"/>
        <v>290852.48613917164</v>
      </c>
      <c r="V41" s="6">
        <f t="shared" si="20"/>
        <v>162269.20353120173</v>
      </c>
      <c r="W41" s="6">
        <f t="shared" si="21"/>
        <v>88174.852581075247</v>
      </c>
      <c r="X41" s="6">
        <f t="shared" si="22"/>
        <v>47118.907371212648</v>
      </c>
      <c r="Y41" s="6">
        <f t="shared" si="23"/>
        <v>24931.508040726007</v>
      </c>
      <c r="Z41" s="6">
        <f t="shared" si="24"/>
        <v>13125.746912077431</v>
      </c>
      <c r="AA41" s="6">
        <f t="shared" si="25"/>
        <v>6900.0896304853359</v>
      </c>
      <c r="AB41" s="6">
        <f t="shared" si="26"/>
        <v>3631.2643293963692</v>
      </c>
      <c r="AC41" s="6">
        <f t="shared" si="27"/>
        <v>1916.6852040775234</v>
      </c>
      <c r="AD41" s="6">
        <f t="shared" si="28"/>
        <v>1016.0890090142278</v>
      </c>
      <c r="AE41" s="6">
        <f t="shared" si="29"/>
        <v>541.54800840514133</v>
      </c>
      <c r="AF41" s="6">
        <f t="shared" si="30"/>
        <v>290.38997932356176</v>
      </c>
      <c r="AG41" s="6">
        <f t="shared" si="31"/>
        <v>156.74360744608583</v>
      </c>
      <c r="AH41" s="6">
        <f t="shared" si="32"/>
        <v>85.195494060132688</v>
      </c>
      <c r="AI41" s="25">
        <f t="shared" si="33"/>
        <v>105.22919562044326</v>
      </c>
      <c r="AJ41" s="49">
        <f t="shared" si="34"/>
        <v>7879629</v>
      </c>
      <c r="AK41" s="6">
        <f t="shared" si="35"/>
        <v>0</v>
      </c>
      <c r="AL41" s="6">
        <f t="shared" si="36"/>
        <v>0</v>
      </c>
      <c r="AM41" s="6">
        <f t="shared" si="37"/>
        <v>0</v>
      </c>
      <c r="AN41" s="6">
        <f t="shared" si="38"/>
        <v>0</v>
      </c>
      <c r="AO41" s="6">
        <f t="shared" si="39"/>
        <v>0</v>
      </c>
      <c r="AP41" s="6">
        <f t="shared" si="40"/>
        <v>0</v>
      </c>
      <c r="AQ41" s="6">
        <f t="shared" si="41"/>
        <v>0</v>
      </c>
      <c r="AR41" s="6">
        <f t="shared" si="42"/>
        <v>0</v>
      </c>
      <c r="AS41" s="6">
        <f t="shared" si="43"/>
        <v>0</v>
      </c>
      <c r="AT41" s="6">
        <f t="shared" si="44"/>
        <v>0</v>
      </c>
      <c r="AU41" s="6">
        <f t="shared" si="45"/>
        <v>0</v>
      </c>
      <c r="AV41" s="6">
        <f t="shared" si="46"/>
        <v>0</v>
      </c>
      <c r="AW41" s="6">
        <f t="shared" si="47"/>
        <v>0</v>
      </c>
      <c r="AX41" s="6">
        <f t="shared" si="48"/>
        <v>0</v>
      </c>
      <c r="AY41" s="6">
        <f t="shared" si="49"/>
        <v>0</v>
      </c>
      <c r="AZ41" s="6">
        <f t="shared" si="50"/>
        <v>0</v>
      </c>
      <c r="BA41" s="6">
        <f t="shared" si="51"/>
        <v>0</v>
      </c>
      <c r="BB41" s="6">
        <f t="shared" si="52"/>
        <v>0</v>
      </c>
      <c r="BC41" s="6">
        <f t="shared" si="53"/>
        <v>0</v>
      </c>
      <c r="BD41" s="6">
        <f t="shared" si="54"/>
        <v>0</v>
      </c>
      <c r="BE41" s="6">
        <f t="shared" si="55"/>
        <v>0</v>
      </c>
      <c r="BF41" s="6">
        <f t="shared" si="56"/>
        <v>0</v>
      </c>
      <c r="BG41" s="6">
        <f t="shared" si="57"/>
        <v>0</v>
      </c>
      <c r="BH41" s="25">
        <f t="shared" si="58"/>
        <v>0</v>
      </c>
    </row>
    <row r="42" spans="1:60" ht="15.5" x14ac:dyDescent="0.35">
      <c r="A42" s="43" t="s">
        <v>50</v>
      </c>
      <c r="B42" s="57">
        <f>'Baseline and counterfactual'!B8</f>
        <v>6882229</v>
      </c>
      <c r="C42" s="27">
        <f>'Baseline and counterfactual'!C8</f>
        <v>0.67901</v>
      </c>
      <c r="D42" s="28">
        <f>'Baseline and counterfactual'!D8</f>
        <v>0.21728320000000001</v>
      </c>
      <c r="E42" s="26">
        <f>'Baseline and counterfactual'!E8</f>
        <v>9.9999999999999995E-7</v>
      </c>
      <c r="F42" s="27">
        <f t="shared" si="4"/>
        <v>3.2000000000000001E-7</v>
      </c>
      <c r="G42" s="49">
        <f t="shared" si="5"/>
        <v>-0.43586423463001789</v>
      </c>
      <c r="H42" s="27">
        <f t="shared" si="6"/>
        <v>0.31223328022050617</v>
      </c>
      <c r="I42" s="38">
        <f t="shared" si="7"/>
        <v>-13.864255368602903</v>
      </c>
      <c r="J42" s="41">
        <f t="shared" si="8"/>
        <v>0.31223328022050617</v>
      </c>
      <c r="K42" s="49">
        <f t="shared" si="9"/>
        <v>7.7442385515833568E-3</v>
      </c>
      <c r="L42" s="6">
        <f t="shared" si="10"/>
        <v>587.86143345386597</v>
      </c>
      <c r="M42" s="6">
        <f t="shared" si="11"/>
        <v>47215.677235833602</v>
      </c>
      <c r="N42" s="6">
        <f t="shared" si="12"/>
        <v>378491.73708351713</v>
      </c>
      <c r="O42" s="6">
        <f t="shared" si="13"/>
        <v>984336.62162545999</v>
      </c>
      <c r="P42" s="6">
        <f t="shared" si="14"/>
        <v>1377590.2635591289</v>
      </c>
      <c r="Q42" s="6">
        <f t="shared" si="15"/>
        <v>1341846.6538653194</v>
      </c>
      <c r="R42" s="6">
        <f t="shared" si="16"/>
        <v>1046435.9032926253</v>
      </c>
      <c r="S42" s="6">
        <f t="shared" si="17"/>
        <v>708418.55048199533</v>
      </c>
      <c r="T42" s="6">
        <f t="shared" si="18"/>
        <v>437341.96041277592</v>
      </c>
      <c r="U42" s="6">
        <f t="shared" si="19"/>
        <v>254036.50537723349</v>
      </c>
      <c r="V42" s="6">
        <f t="shared" si="20"/>
        <v>141729.23856558968</v>
      </c>
      <c r="W42" s="6">
        <f t="shared" si="21"/>
        <v>77013.718222545867</v>
      </c>
      <c r="X42" s="6">
        <f t="shared" si="22"/>
        <v>41154.61663975213</v>
      </c>
      <c r="Y42" s="6">
        <f t="shared" si="23"/>
        <v>21775.688633515321</v>
      </c>
      <c r="Z42" s="6">
        <f t="shared" si="24"/>
        <v>11464.29559627233</v>
      </c>
      <c r="AA42" s="6">
        <f t="shared" si="25"/>
        <v>6026.6792963888865</v>
      </c>
      <c r="AB42" s="6">
        <f t="shared" si="26"/>
        <v>3171.6204753342122</v>
      </c>
      <c r="AC42" s="6">
        <f t="shared" si="27"/>
        <v>1674.0720274232772</v>
      </c>
      <c r="AD42" s="6">
        <f t="shared" si="28"/>
        <v>887.47290569378072</v>
      </c>
      <c r="AE42" s="6">
        <f t="shared" si="29"/>
        <v>472.99909784307198</v>
      </c>
      <c r="AF42" s="6">
        <f t="shared" si="30"/>
        <v>253.63254247249677</v>
      </c>
      <c r="AG42" s="6">
        <f t="shared" si="31"/>
        <v>136.90307002145252</v>
      </c>
      <c r="AH42" s="6">
        <f t="shared" si="32"/>
        <v>74.411485602935485</v>
      </c>
      <c r="AI42" s="25">
        <f t="shared" si="33"/>
        <v>91.909329962830441</v>
      </c>
      <c r="AJ42" s="49">
        <f t="shared" si="34"/>
        <v>6882229</v>
      </c>
      <c r="AK42" s="6">
        <f t="shared" si="35"/>
        <v>0</v>
      </c>
      <c r="AL42" s="6">
        <f t="shared" si="36"/>
        <v>0</v>
      </c>
      <c r="AM42" s="6">
        <f t="shared" si="37"/>
        <v>0</v>
      </c>
      <c r="AN42" s="6">
        <f t="shared" si="38"/>
        <v>0</v>
      </c>
      <c r="AO42" s="6">
        <f t="shared" si="39"/>
        <v>0</v>
      </c>
      <c r="AP42" s="6">
        <f t="shared" si="40"/>
        <v>0</v>
      </c>
      <c r="AQ42" s="6">
        <f t="shared" si="41"/>
        <v>0</v>
      </c>
      <c r="AR42" s="6">
        <f t="shared" si="42"/>
        <v>0</v>
      </c>
      <c r="AS42" s="6">
        <f t="shared" si="43"/>
        <v>0</v>
      </c>
      <c r="AT42" s="6">
        <f t="shared" si="44"/>
        <v>0</v>
      </c>
      <c r="AU42" s="6">
        <f t="shared" si="45"/>
        <v>0</v>
      </c>
      <c r="AV42" s="6">
        <f t="shared" si="46"/>
        <v>0</v>
      </c>
      <c r="AW42" s="6">
        <f t="shared" si="47"/>
        <v>0</v>
      </c>
      <c r="AX42" s="6">
        <f t="shared" si="48"/>
        <v>0</v>
      </c>
      <c r="AY42" s="6">
        <f t="shared" si="49"/>
        <v>0</v>
      </c>
      <c r="AZ42" s="6">
        <f t="shared" si="50"/>
        <v>0</v>
      </c>
      <c r="BA42" s="6">
        <f t="shared" si="51"/>
        <v>0</v>
      </c>
      <c r="BB42" s="6">
        <f t="shared" si="52"/>
        <v>0</v>
      </c>
      <c r="BC42" s="6">
        <f t="shared" si="53"/>
        <v>0</v>
      </c>
      <c r="BD42" s="6">
        <f t="shared" si="54"/>
        <v>0</v>
      </c>
      <c r="BE42" s="6">
        <f t="shared" si="55"/>
        <v>0</v>
      </c>
      <c r="BF42" s="6">
        <f t="shared" si="56"/>
        <v>0</v>
      </c>
      <c r="BG42" s="6">
        <f t="shared" si="57"/>
        <v>0</v>
      </c>
      <c r="BH42" s="25">
        <f t="shared" si="58"/>
        <v>0</v>
      </c>
    </row>
    <row r="43" spans="1:60" ht="15.5" x14ac:dyDescent="0.35">
      <c r="A43" s="43" t="s">
        <v>51</v>
      </c>
      <c r="B43" s="57">
        <f>'Baseline and counterfactual'!B9</f>
        <v>6266088</v>
      </c>
      <c r="C43" s="27">
        <f>'Baseline and counterfactual'!C9</f>
        <v>0.67901</v>
      </c>
      <c r="D43" s="28">
        <f>'Baseline and counterfactual'!D9</f>
        <v>0.21728320000000001</v>
      </c>
      <c r="E43" s="26">
        <f>'Baseline and counterfactual'!E9</f>
        <v>9.9999999999999995E-7</v>
      </c>
      <c r="F43" s="27">
        <f t="shared" si="4"/>
        <v>3.2000000000000001E-7</v>
      </c>
      <c r="G43" s="49">
        <f t="shared" si="5"/>
        <v>-0.43586423463001789</v>
      </c>
      <c r="H43" s="27">
        <f t="shared" si="6"/>
        <v>0.31223328022050617</v>
      </c>
      <c r="I43" s="38">
        <f t="shared" si="7"/>
        <v>-13.864255368602903</v>
      </c>
      <c r="J43" s="41">
        <f t="shared" si="8"/>
        <v>0.31223328022050617</v>
      </c>
      <c r="K43" s="49">
        <f t="shared" si="9"/>
        <v>7.0509249630045512E-3</v>
      </c>
      <c r="L43" s="6">
        <f t="shared" si="10"/>
        <v>535.2323315350402</v>
      </c>
      <c r="M43" s="6">
        <f t="shared" si="11"/>
        <v>42988.62890777539</v>
      </c>
      <c r="N43" s="6">
        <f t="shared" si="12"/>
        <v>344606.74468085583</v>
      </c>
      <c r="O43" s="6">
        <f t="shared" si="13"/>
        <v>896212.53415540745</v>
      </c>
      <c r="P43" s="6">
        <f t="shared" si="14"/>
        <v>1254259.6038877368</v>
      </c>
      <c r="Q43" s="6">
        <f t="shared" si="15"/>
        <v>1221715.9899250129</v>
      </c>
      <c r="R43" s="6">
        <f t="shared" si="16"/>
        <v>952752.29237374698</v>
      </c>
      <c r="S43" s="6">
        <f t="shared" si="17"/>
        <v>644996.40714550845</v>
      </c>
      <c r="T43" s="6">
        <f t="shared" si="18"/>
        <v>398188.32096969895</v>
      </c>
      <c r="U43" s="6">
        <f t="shared" si="19"/>
        <v>231293.53846060895</v>
      </c>
      <c r="V43" s="6">
        <f t="shared" si="20"/>
        <v>129040.7338995809</v>
      </c>
      <c r="W43" s="6">
        <f t="shared" si="21"/>
        <v>70118.959364716866</v>
      </c>
      <c r="X43" s="6">
        <f t="shared" si="22"/>
        <v>37470.19308293159</v>
      </c>
      <c r="Y43" s="6">
        <f t="shared" si="23"/>
        <v>19826.190212241811</v>
      </c>
      <c r="Z43" s="6">
        <f t="shared" si="24"/>
        <v>10437.938793413427</v>
      </c>
      <c r="AA43" s="6">
        <f t="shared" si="25"/>
        <v>5487.1325582090985</v>
      </c>
      <c r="AB43" s="6">
        <f t="shared" si="26"/>
        <v>2887.6767978871385</v>
      </c>
      <c r="AC43" s="6">
        <f t="shared" si="27"/>
        <v>1524.19843079512</v>
      </c>
      <c r="AD43" s="6">
        <f t="shared" si="28"/>
        <v>808.0206753789987</v>
      </c>
      <c r="AE43" s="6">
        <f t="shared" si="29"/>
        <v>430.65320421702029</v>
      </c>
      <c r="AF43" s="6">
        <f t="shared" si="30"/>
        <v>230.92574088952901</v>
      </c>
      <c r="AG43" s="6">
        <f t="shared" si="31"/>
        <v>124.64663472031857</v>
      </c>
      <c r="AH43" s="6">
        <f t="shared" si="32"/>
        <v>67.74969519304382</v>
      </c>
      <c r="AI43" s="25">
        <f t="shared" si="33"/>
        <v>83.681021013414735</v>
      </c>
      <c r="AJ43" s="49">
        <f t="shared" si="34"/>
        <v>6266088</v>
      </c>
      <c r="AK43" s="6">
        <f t="shared" si="35"/>
        <v>0</v>
      </c>
      <c r="AL43" s="6">
        <f t="shared" si="36"/>
        <v>0</v>
      </c>
      <c r="AM43" s="6">
        <f t="shared" si="37"/>
        <v>0</v>
      </c>
      <c r="AN43" s="6">
        <f t="shared" si="38"/>
        <v>0</v>
      </c>
      <c r="AO43" s="6">
        <f t="shared" si="39"/>
        <v>0</v>
      </c>
      <c r="AP43" s="6">
        <f t="shared" si="40"/>
        <v>0</v>
      </c>
      <c r="AQ43" s="6">
        <f t="shared" si="41"/>
        <v>0</v>
      </c>
      <c r="AR43" s="6">
        <f t="shared" si="42"/>
        <v>0</v>
      </c>
      <c r="AS43" s="6">
        <f t="shared" si="43"/>
        <v>0</v>
      </c>
      <c r="AT43" s="6">
        <f t="shared" si="44"/>
        <v>0</v>
      </c>
      <c r="AU43" s="6">
        <f t="shared" si="45"/>
        <v>0</v>
      </c>
      <c r="AV43" s="6">
        <f t="shared" si="46"/>
        <v>0</v>
      </c>
      <c r="AW43" s="6">
        <f t="shared" si="47"/>
        <v>0</v>
      </c>
      <c r="AX43" s="6">
        <f t="shared" si="48"/>
        <v>0</v>
      </c>
      <c r="AY43" s="6">
        <f t="shared" si="49"/>
        <v>0</v>
      </c>
      <c r="AZ43" s="6">
        <f t="shared" si="50"/>
        <v>0</v>
      </c>
      <c r="BA43" s="6">
        <f t="shared" si="51"/>
        <v>0</v>
      </c>
      <c r="BB43" s="6">
        <f t="shared" si="52"/>
        <v>0</v>
      </c>
      <c r="BC43" s="6">
        <f t="shared" si="53"/>
        <v>0</v>
      </c>
      <c r="BD43" s="6">
        <f t="shared" si="54"/>
        <v>0</v>
      </c>
      <c r="BE43" s="6">
        <f t="shared" si="55"/>
        <v>0</v>
      </c>
      <c r="BF43" s="6">
        <f t="shared" si="56"/>
        <v>0</v>
      </c>
      <c r="BG43" s="6">
        <f t="shared" si="57"/>
        <v>0</v>
      </c>
      <c r="BH43" s="25">
        <f t="shared" si="58"/>
        <v>0</v>
      </c>
    </row>
    <row r="44" spans="1:60" ht="15.5" x14ac:dyDescent="0.35">
      <c r="A44" s="43" t="s">
        <v>52</v>
      </c>
      <c r="B44" s="57">
        <f>'Baseline and counterfactual'!B10</f>
        <v>5659602</v>
      </c>
      <c r="C44" s="27">
        <f>'Baseline and counterfactual'!C10</f>
        <v>0.67901</v>
      </c>
      <c r="D44" s="28">
        <f>'Baseline and counterfactual'!D10</f>
        <v>0.21728320000000001</v>
      </c>
      <c r="E44" s="26">
        <f>'Baseline and counterfactual'!E10</f>
        <v>9.9999999999999995E-7</v>
      </c>
      <c r="F44" s="27">
        <f t="shared" si="4"/>
        <v>3.2000000000000001E-7</v>
      </c>
      <c r="G44" s="49">
        <f t="shared" si="5"/>
        <v>-0.43586423463001789</v>
      </c>
      <c r="H44" s="27">
        <f t="shared" si="6"/>
        <v>0.31223328022050617</v>
      </c>
      <c r="I44" s="38">
        <f t="shared" si="7"/>
        <v>-13.864255368602903</v>
      </c>
      <c r="J44" s="41">
        <f t="shared" si="8"/>
        <v>0.31223328022050617</v>
      </c>
      <c r="K44" s="49">
        <f t="shared" si="9"/>
        <v>6.3684756777227652E-3</v>
      </c>
      <c r="L44" s="6">
        <f t="shared" si="10"/>
        <v>483.42793366776476</v>
      </c>
      <c r="M44" s="6">
        <f t="shared" si="11"/>
        <v>38827.818910890404</v>
      </c>
      <c r="N44" s="6">
        <f t="shared" si="12"/>
        <v>311252.73398797802</v>
      </c>
      <c r="O44" s="6">
        <f t="shared" si="13"/>
        <v>809469.36122362339</v>
      </c>
      <c r="P44" s="6">
        <f t="shared" si="14"/>
        <v>1132861.549771124</v>
      </c>
      <c r="Q44" s="6">
        <f t="shared" si="15"/>
        <v>1103467.7872400745</v>
      </c>
      <c r="R44" s="6">
        <f t="shared" si="16"/>
        <v>860536.71436198195</v>
      </c>
      <c r="S44" s="6">
        <f t="shared" si="17"/>
        <v>582568.09605507203</v>
      </c>
      <c r="T44" s="6">
        <f t="shared" si="18"/>
        <v>359648.22353863373</v>
      </c>
      <c r="U44" s="6">
        <f t="shared" si="19"/>
        <v>208906.95643896787</v>
      </c>
      <c r="V44" s="6">
        <f t="shared" si="20"/>
        <v>116551.05955414858</v>
      </c>
      <c r="W44" s="6">
        <f t="shared" si="21"/>
        <v>63332.242167436896</v>
      </c>
      <c r="X44" s="6">
        <f t="shared" si="22"/>
        <v>33843.504865004412</v>
      </c>
      <c r="Y44" s="6">
        <f t="shared" si="23"/>
        <v>17907.240654389818</v>
      </c>
      <c r="Z44" s="6">
        <f t="shared" si="24"/>
        <v>9427.6651191429519</v>
      </c>
      <c r="AA44" s="6">
        <f t="shared" si="25"/>
        <v>4956.0405791787998</v>
      </c>
      <c r="AB44" s="6">
        <f t="shared" si="26"/>
        <v>2608.1825503688497</v>
      </c>
      <c r="AC44" s="6">
        <f t="shared" si="27"/>
        <v>1376.6733705822394</v>
      </c>
      <c r="AD44" s="6">
        <f t="shared" si="28"/>
        <v>729.81347060818996</v>
      </c>
      <c r="AE44" s="6">
        <f t="shared" si="29"/>
        <v>388.9708755914466</v>
      </c>
      <c r="AF44" s="6">
        <f t="shared" si="30"/>
        <v>208.57475748662645</v>
      </c>
      <c r="AG44" s="6">
        <f t="shared" si="31"/>
        <v>112.58225916335431</v>
      </c>
      <c r="AH44" s="6">
        <f t="shared" si="32"/>
        <v>61.19229580145398</v>
      </c>
      <c r="AI44" s="25">
        <f t="shared" si="33"/>
        <v>75.58165060713543</v>
      </c>
      <c r="AJ44" s="49">
        <f t="shared" si="34"/>
        <v>5659602</v>
      </c>
      <c r="AK44" s="6">
        <f t="shared" si="35"/>
        <v>0</v>
      </c>
      <c r="AL44" s="6">
        <f t="shared" si="36"/>
        <v>0</v>
      </c>
      <c r="AM44" s="6">
        <f t="shared" si="37"/>
        <v>0</v>
      </c>
      <c r="AN44" s="6">
        <f t="shared" si="38"/>
        <v>0</v>
      </c>
      <c r="AO44" s="6">
        <f t="shared" si="39"/>
        <v>0</v>
      </c>
      <c r="AP44" s="6">
        <f t="shared" si="40"/>
        <v>0</v>
      </c>
      <c r="AQ44" s="6">
        <f t="shared" si="41"/>
        <v>0</v>
      </c>
      <c r="AR44" s="6">
        <f t="shared" si="42"/>
        <v>0</v>
      </c>
      <c r="AS44" s="6">
        <f t="shared" si="43"/>
        <v>0</v>
      </c>
      <c r="AT44" s="6">
        <f t="shared" si="44"/>
        <v>0</v>
      </c>
      <c r="AU44" s="6">
        <f t="shared" si="45"/>
        <v>0</v>
      </c>
      <c r="AV44" s="6">
        <f t="shared" si="46"/>
        <v>0</v>
      </c>
      <c r="AW44" s="6">
        <f t="shared" si="47"/>
        <v>0</v>
      </c>
      <c r="AX44" s="6">
        <f t="shared" si="48"/>
        <v>0</v>
      </c>
      <c r="AY44" s="6">
        <f t="shared" si="49"/>
        <v>0</v>
      </c>
      <c r="AZ44" s="6">
        <f t="shared" si="50"/>
        <v>0</v>
      </c>
      <c r="BA44" s="6">
        <f t="shared" si="51"/>
        <v>0</v>
      </c>
      <c r="BB44" s="6">
        <f t="shared" si="52"/>
        <v>0</v>
      </c>
      <c r="BC44" s="6">
        <f t="shared" si="53"/>
        <v>0</v>
      </c>
      <c r="BD44" s="6">
        <f t="shared" si="54"/>
        <v>0</v>
      </c>
      <c r="BE44" s="6">
        <f t="shared" si="55"/>
        <v>0</v>
      </c>
      <c r="BF44" s="6">
        <f t="shared" si="56"/>
        <v>0</v>
      </c>
      <c r="BG44" s="6">
        <f t="shared" si="57"/>
        <v>0</v>
      </c>
      <c r="BH44" s="25">
        <f t="shared" si="58"/>
        <v>0</v>
      </c>
    </row>
    <row r="45" spans="1:60" ht="15.5" x14ac:dyDescent="0.35">
      <c r="A45" s="43" t="s">
        <v>53</v>
      </c>
      <c r="B45" s="57">
        <f>'Baseline and counterfactual'!B11</f>
        <v>4678702</v>
      </c>
      <c r="C45" s="27">
        <f>'Baseline and counterfactual'!C11</f>
        <v>0.67901</v>
      </c>
      <c r="D45" s="28">
        <f>'Baseline and counterfactual'!D11</f>
        <v>0.21728320000000001</v>
      </c>
      <c r="E45" s="26">
        <f>'Baseline and counterfactual'!E11</f>
        <v>9.9999999999999995E-7</v>
      </c>
      <c r="F45" s="27">
        <f t="shared" si="4"/>
        <v>3.2000000000000001E-7</v>
      </c>
      <c r="G45" s="49">
        <f t="shared" si="5"/>
        <v>-0.43586423463001789</v>
      </c>
      <c r="H45" s="27">
        <f t="shared" si="6"/>
        <v>0.31223328022050617</v>
      </c>
      <c r="I45" s="38">
        <f t="shared" si="7"/>
        <v>-13.864255368602903</v>
      </c>
      <c r="J45" s="41">
        <f t="shared" si="8"/>
        <v>0.31223328022050617</v>
      </c>
      <c r="K45" s="49">
        <f t="shared" si="9"/>
        <v>5.2647164748179922E-3</v>
      </c>
      <c r="L45" s="6">
        <f t="shared" si="10"/>
        <v>399.64210206075239</v>
      </c>
      <c r="M45" s="6">
        <f t="shared" si="11"/>
        <v>32098.333768703302</v>
      </c>
      <c r="N45" s="6">
        <f t="shared" si="12"/>
        <v>257307.63205875971</v>
      </c>
      <c r="O45" s="6">
        <f t="shared" si="13"/>
        <v>669175.30937611684</v>
      </c>
      <c r="P45" s="6">
        <f t="shared" si="14"/>
        <v>936518.43338758755</v>
      </c>
      <c r="Q45" s="6">
        <f t="shared" si="15"/>
        <v>912219.08238348051</v>
      </c>
      <c r="R45" s="6">
        <f t="shared" si="16"/>
        <v>711391.86935032427</v>
      </c>
      <c r="S45" s="6">
        <f t="shared" si="17"/>
        <v>481599.6807105972</v>
      </c>
      <c r="T45" s="6">
        <f t="shared" si="18"/>
        <v>297315.40535300056</v>
      </c>
      <c r="U45" s="6">
        <f t="shared" si="19"/>
        <v>172700.02288233553</v>
      </c>
      <c r="V45" s="6">
        <f t="shared" si="20"/>
        <v>96350.887471966067</v>
      </c>
      <c r="W45" s="6">
        <f t="shared" si="21"/>
        <v>52355.746586645379</v>
      </c>
      <c r="X45" s="6">
        <f t="shared" si="22"/>
        <v>27977.881465676539</v>
      </c>
      <c r="Y45" s="6">
        <f t="shared" si="23"/>
        <v>14803.628004968361</v>
      </c>
      <c r="Z45" s="6">
        <f t="shared" si="24"/>
        <v>7793.6992121114463</v>
      </c>
      <c r="AA45" s="6">
        <f t="shared" si="25"/>
        <v>4097.0790825724162</v>
      </c>
      <c r="AB45" s="6">
        <f t="shared" si="26"/>
        <v>2156.1425900223794</v>
      </c>
      <c r="AC45" s="6">
        <f t="shared" si="27"/>
        <v>1138.0737465796824</v>
      </c>
      <c r="AD45" s="6">
        <f t="shared" si="28"/>
        <v>603.3250650065994</v>
      </c>
      <c r="AE45" s="6">
        <f t="shared" si="29"/>
        <v>321.55597046779127</v>
      </c>
      <c r="AF45" s="6">
        <f t="shared" si="30"/>
        <v>172.425399348257</v>
      </c>
      <c r="AG45" s="6">
        <f t="shared" si="31"/>
        <v>93.069943984065333</v>
      </c>
      <c r="AH45" s="6">
        <f t="shared" si="32"/>
        <v>50.586687323747213</v>
      </c>
      <c r="AI45" s="25">
        <f t="shared" si="33"/>
        <v>62.482135644680625</v>
      </c>
      <c r="AJ45" s="49">
        <f t="shared" si="34"/>
        <v>4678702</v>
      </c>
      <c r="AK45" s="6">
        <f t="shared" si="35"/>
        <v>0</v>
      </c>
      <c r="AL45" s="6">
        <f t="shared" si="36"/>
        <v>0</v>
      </c>
      <c r="AM45" s="6">
        <f t="shared" si="37"/>
        <v>0</v>
      </c>
      <c r="AN45" s="6">
        <f t="shared" si="38"/>
        <v>0</v>
      </c>
      <c r="AO45" s="6">
        <f t="shared" si="39"/>
        <v>0</v>
      </c>
      <c r="AP45" s="6">
        <f t="shared" si="40"/>
        <v>0</v>
      </c>
      <c r="AQ45" s="6">
        <f t="shared" si="41"/>
        <v>0</v>
      </c>
      <c r="AR45" s="6">
        <f t="shared" si="42"/>
        <v>0</v>
      </c>
      <c r="AS45" s="6">
        <f t="shared" si="43"/>
        <v>0</v>
      </c>
      <c r="AT45" s="6">
        <f t="shared" si="44"/>
        <v>0</v>
      </c>
      <c r="AU45" s="6">
        <f t="shared" si="45"/>
        <v>0</v>
      </c>
      <c r="AV45" s="6">
        <f t="shared" si="46"/>
        <v>0</v>
      </c>
      <c r="AW45" s="6">
        <f t="shared" si="47"/>
        <v>0</v>
      </c>
      <c r="AX45" s="6">
        <f t="shared" si="48"/>
        <v>0</v>
      </c>
      <c r="AY45" s="6">
        <f t="shared" si="49"/>
        <v>0</v>
      </c>
      <c r="AZ45" s="6">
        <f t="shared" si="50"/>
        <v>0</v>
      </c>
      <c r="BA45" s="6">
        <f t="shared" si="51"/>
        <v>0</v>
      </c>
      <c r="BB45" s="6">
        <f t="shared" si="52"/>
        <v>0</v>
      </c>
      <c r="BC45" s="6">
        <f t="shared" si="53"/>
        <v>0</v>
      </c>
      <c r="BD45" s="6">
        <f t="shared" si="54"/>
        <v>0</v>
      </c>
      <c r="BE45" s="6">
        <f t="shared" si="55"/>
        <v>0</v>
      </c>
      <c r="BF45" s="6">
        <f t="shared" si="56"/>
        <v>0</v>
      </c>
      <c r="BG45" s="6">
        <f t="shared" si="57"/>
        <v>0</v>
      </c>
      <c r="BH45" s="25">
        <f t="shared" si="58"/>
        <v>0</v>
      </c>
    </row>
    <row r="46" spans="1:60" ht="15.5" x14ac:dyDescent="0.35">
      <c r="A46" s="43" t="s">
        <v>54</v>
      </c>
      <c r="B46" s="57">
        <f>'Baseline and counterfactual'!B12</f>
        <v>3655025</v>
      </c>
      <c r="C46" s="27">
        <f>'Baseline and counterfactual'!C12</f>
        <v>0.67901</v>
      </c>
      <c r="D46" s="28">
        <f>'Baseline and counterfactual'!D12</f>
        <v>0.21728320000000001</v>
      </c>
      <c r="E46" s="26">
        <f>'Baseline and counterfactual'!E12</f>
        <v>9.9999999999999995E-7</v>
      </c>
      <c r="F46" s="27">
        <f t="shared" si="4"/>
        <v>3.2000000000000001E-7</v>
      </c>
      <c r="G46" s="49">
        <f t="shared" si="5"/>
        <v>-0.43586423463001789</v>
      </c>
      <c r="H46" s="27">
        <f t="shared" si="6"/>
        <v>0.31223328022050617</v>
      </c>
      <c r="I46" s="38">
        <f t="shared" si="7"/>
        <v>-13.864255368602903</v>
      </c>
      <c r="J46" s="41">
        <f t="shared" si="8"/>
        <v>0.31223328022050617</v>
      </c>
      <c r="K46" s="49">
        <f t="shared" si="9"/>
        <v>4.1128223882118658E-3</v>
      </c>
      <c r="L46" s="6">
        <f t="shared" si="10"/>
        <v>312.202374522806</v>
      </c>
      <c r="M46" s="6">
        <f t="shared" si="11"/>
        <v>25075.376115630956</v>
      </c>
      <c r="N46" s="6">
        <f t="shared" si="12"/>
        <v>201009.98692918854</v>
      </c>
      <c r="O46" s="6">
        <f t="shared" si="13"/>
        <v>522763.04093580681</v>
      </c>
      <c r="P46" s="6">
        <f t="shared" si="14"/>
        <v>731612.80350671336</v>
      </c>
      <c r="Q46" s="6">
        <f t="shared" si="15"/>
        <v>712630.03106175188</v>
      </c>
      <c r="R46" s="6">
        <f t="shared" si="16"/>
        <v>555742.82509810815</v>
      </c>
      <c r="S46" s="6">
        <f t="shared" si="17"/>
        <v>376228.03781673859</v>
      </c>
      <c r="T46" s="6">
        <f t="shared" si="18"/>
        <v>232264.25608007325</v>
      </c>
      <c r="U46" s="6">
        <f t="shared" si="19"/>
        <v>134914.10676198406</v>
      </c>
      <c r="V46" s="6">
        <f t="shared" si="20"/>
        <v>75269.786894361459</v>
      </c>
      <c r="W46" s="6">
        <f t="shared" si="21"/>
        <v>40900.566581896754</v>
      </c>
      <c r="X46" s="6">
        <f t="shared" si="22"/>
        <v>21856.458522916055</v>
      </c>
      <c r="Y46" s="6">
        <f t="shared" si="23"/>
        <v>11564.666962943886</v>
      </c>
      <c r="Z46" s="6">
        <f t="shared" si="24"/>
        <v>6088.476133497632</v>
      </c>
      <c r="AA46" s="6">
        <f t="shared" si="25"/>
        <v>3200.6583180076964</v>
      </c>
      <c r="AB46" s="6">
        <f t="shared" si="26"/>
        <v>1684.3891895864595</v>
      </c>
      <c r="AC46" s="6">
        <f t="shared" si="27"/>
        <v>889.06880489340926</v>
      </c>
      <c r="AD46" s="6">
        <f t="shared" si="28"/>
        <v>471.32050635534085</v>
      </c>
      <c r="AE46" s="6">
        <f t="shared" si="29"/>
        <v>251.20110469934585</v>
      </c>
      <c r="AF46" s="6">
        <f t="shared" si="30"/>
        <v>134.6995695072828</v>
      </c>
      <c r="AG46" s="6">
        <f t="shared" si="31"/>
        <v>72.706697714528175</v>
      </c>
      <c r="AH46" s="6">
        <f t="shared" si="32"/>
        <v>39.51856879012152</v>
      </c>
      <c r="AI46" s="25">
        <f t="shared" si="33"/>
        <v>48.811351489087954</v>
      </c>
      <c r="AJ46" s="49">
        <f t="shared" si="34"/>
        <v>3655025</v>
      </c>
      <c r="AK46" s="6">
        <f t="shared" si="35"/>
        <v>0</v>
      </c>
      <c r="AL46" s="6">
        <f t="shared" si="36"/>
        <v>0</v>
      </c>
      <c r="AM46" s="6">
        <f t="shared" si="37"/>
        <v>0</v>
      </c>
      <c r="AN46" s="6">
        <f t="shared" si="38"/>
        <v>0</v>
      </c>
      <c r="AO46" s="6">
        <f t="shared" si="39"/>
        <v>0</v>
      </c>
      <c r="AP46" s="6">
        <f t="shared" si="40"/>
        <v>0</v>
      </c>
      <c r="AQ46" s="6">
        <f t="shared" si="41"/>
        <v>0</v>
      </c>
      <c r="AR46" s="6">
        <f t="shared" si="42"/>
        <v>0</v>
      </c>
      <c r="AS46" s="6">
        <f t="shared" si="43"/>
        <v>0</v>
      </c>
      <c r="AT46" s="6">
        <f t="shared" si="44"/>
        <v>0</v>
      </c>
      <c r="AU46" s="6">
        <f t="shared" si="45"/>
        <v>0</v>
      </c>
      <c r="AV46" s="6">
        <f t="shared" si="46"/>
        <v>0</v>
      </c>
      <c r="AW46" s="6">
        <f t="shared" si="47"/>
        <v>0</v>
      </c>
      <c r="AX46" s="6">
        <f t="shared" si="48"/>
        <v>0</v>
      </c>
      <c r="AY46" s="6">
        <f t="shared" si="49"/>
        <v>0</v>
      </c>
      <c r="AZ46" s="6">
        <f t="shared" si="50"/>
        <v>0</v>
      </c>
      <c r="BA46" s="6">
        <f t="shared" si="51"/>
        <v>0</v>
      </c>
      <c r="BB46" s="6">
        <f t="shared" si="52"/>
        <v>0</v>
      </c>
      <c r="BC46" s="6">
        <f t="shared" si="53"/>
        <v>0</v>
      </c>
      <c r="BD46" s="6">
        <f t="shared" si="54"/>
        <v>0</v>
      </c>
      <c r="BE46" s="6">
        <f t="shared" si="55"/>
        <v>0</v>
      </c>
      <c r="BF46" s="6">
        <f t="shared" si="56"/>
        <v>0</v>
      </c>
      <c r="BG46" s="6">
        <f t="shared" si="57"/>
        <v>0</v>
      </c>
      <c r="BH46" s="25">
        <f t="shared" si="58"/>
        <v>0</v>
      </c>
    </row>
    <row r="47" spans="1:60" ht="15.5" x14ac:dyDescent="0.35">
      <c r="A47" s="43" t="s">
        <v>55</v>
      </c>
      <c r="B47" s="57">
        <f>'Baseline and counterfactual'!B13</f>
        <v>2672043</v>
      </c>
      <c r="C47" s="27">
        <f>'Baseline and counterfactual'!C13</f>
        <v>0.67901</v>
      </c>
      <c r="D47" s="28">
        <f>'Baseline and counterfactual'!D13</f>
        <v>0.21728320000000001</v>
      </c>
      <c r="E47" s="26">
        <f>'Baseline and counterfactual'!E13</f>
        <v>9.9999999999999995E-7</v>
      </c>
      <c r="F47" s="27">
        <f t="shared" si="4"/>
        <v>3.2000000000000001E-7</v>
      </c>
      <c r="G47" s="49">
        <f t="shared" si="5"/>
        <v>-0.43586423463001789</v>
      </c>
      <c r="H47" s="27">
        <f t="shared" si="6"/>
        <v>0.31223328022050617</v>
      </c>
      <c r="I47" s="38">
        <f t="shared" si="7"/>
        <v>-13.864255368602903</v>
      </c>
      <c r="J47" s="41">
        <f t="shared" si="8"/>
        <v>0.31223328022050617</v>
      </c>
      <c r="K47" s="49">
        <f t="shared" si="9"/>
        <v>3.0067204116701793E-3</v>
      </c>
      <c r="L47" s="6">
        <f t="shared" si="10"/>
        <v>228.23870409286999</v>
      </c>
      <c r="M47" s="6">
        <f t="shared" si="11"/>
        <v>18331.607368523852</v>
      </c>
      <c r="N47" s="6">
        <f t="shared" si="12"/>
        <v>146950.38433505371</v>
      </c>
      <c r="O47" s="6">
        <f t="shared" si="13"/>
        <v>382171.20927797654</v>
      </c>
      <c r="P47" s="6">
        <f t="shared" si="14"/>
        <v>534852.94090204278</v>
      </c>
      <c r="Q47" s="6">
        <f t="shared" si="15"/>
        <v>520975.39307893562</v>
      </c>
      <c r="R47" s="6">
        <f t="shared" si="16"/>
        <v>406281.41410896619</v>
      </c>
      <c r="S47" s="6">
        <f t="shared" si="17"/>
        <v>275045.31291905028</v>
      </c>
      <c r="T47" s="6">
        <f t="shared" si="18"/>
        <v>169799.13396186542</v>
      </c>
      <c r="U47" s="6">
        <f t="shared" si="19"/>
        <v>98630.322521627677</v>
      </c>
      <c r="V47" s="6">
        <f t="shared" si="20"/>
        <v>55026.739128342568</v>
      </c>
      <c r="W47" s="6">
        <f t="shared" si="21"/>
        <v>29900.772944423406</v>
      </c>
      <c r="X47" s="6">
        <f t="shared" si="22"/>
        <v>15978.385100224536</v>
      </c>
      <c r="Y47" s="6">
        <f t="shared" si="23"/>
        <v>8454.466769903207</v>
      </c>
      <c r="Z47" s="6">
        <f t="shared" si="24"/>
        <v>4451.0420676136036</v>
      </c>
      <c r="AA47" s="6">
        <f t="shared" si="25"/>
        <v>2339.8736408162022</v>
      </c>
      <c r="AB47" s="6">
        <f t="shared" si="26"/>
        <v>1231.3897561056824</v>
      </c>
      <c r="AC47" s="6">
        <f t="shared" si="27"/>
        <v>649.96274351989393</v>
      </c>
      <c r="AD47" s="6">
        <f t="shared" si="28"/>
        <v>344.56362398704357</v>
      </c>
      <c r="AE47" s="6">
        <f t="shared" si="29"/>
        <v>183.64310870764336</v>
      </c>
      <c r="AF47" s="6">
        <f t="shared" si="30"/>
        <v>98.4734828913478</v>
      </c>
      <c r="AG47" s="6">
        <f t="shared" si="31"/>
        <v>53.152966855553927</v>
      </c>
      <c r="AH47" s="6">
        <f t="shared" si="32"/>
        <v>28.890449478639049</v>
      </c>
      <c r="AI47" s="25">
        <f t="shared" si="33"/>
        <v>35.684032275280487</v>
      </c>
      <c r="AJ47" s="49">
        <f t="shared" si="34"/>
        <v>2672043</v>
      </c>
      <c r="AK47" s="6">
        <f t="shared" si="35"/>
        <v>0</v>
      </c>
      <c r="AL47" s="6">
        <f t="shared" si="36"/>
        <v>0</v>
      </c>
      <c r="AM47" s="6">
        <f t="shared" si="37"/>
        <v>0</v>
      </c>
      <c r="AN47" s="6">
        <f t="shared" si="38"/>
        <v>0</v>
      </c>
      <c r="AO47" s="6">
        <f t="shared" si="39"/>
        <v>0</v>
      </c>
      <c r="AP47" s="6">
        <f t="shared" si="40"/>
        <v>0</v>
      </c>
      <c r="AQ47" s="6">
        <f t="shared" si="41"/>
        <v>0</v>
      </c>
      <c r="AR47" s="6">
        <f t="shared" si="42"/>
        <v>0</v>
      </c>
      <c r="AS47" s="6">
        <f t="shared" si="43"/>
        <v>0</v>
      </c>
      <c r="AT47" s="6">
        <f t="shared" si="44"/>
        <v>0</v>
      </c>
      <c r="AU47" s="6">
        <f t="shared" si="45"/>
        <v>0</v>
      </c>
      <c r="AV47" s="6">
        <f t="shared" si="46"/>
        <v>0</v>
      </c>
      <c r="AW47" s="6">
        <f t="shared" si="47"/>
        <v>0</v>
      </c>
      <c r="AX47" s="6">
        <f t="shared" si="48"/>
        <v>0</v>
      </c>
      <c r="AY47" s="6">
        <f t="shared" si="49"/>
        <v>0</v>
      </c>
      <c r="AZ47" s="6">
        <f t="shared" si="50"/>
        <v>0</v>
      </c>
      <c r="BA47" s="6">
        <f t="shared" si="51"/>
        <v>0</v>
      </c>
      <c r="BB47" s="6">
        <f t="shared" si="52"/>
        <v>0</v>
      </c>
      <c r="BC47" s="6">
        <f t="shared" si="53"/>
        <v>0</v>
      </c>
      <c r="BD47" s="6">
        <f t="shared" si="54"/>
        <v>0</v>
      </c>
      <c r="BE47" s="6">
        <f t="shared" si="55"/>
        <v>0</v>
      </c>
      <c r="BF47" s="6">
        <f t="shared" si="56"/>
        <v>0</v>
      </c>
      <c r="BG47" s="6">
        <f t="shared" si="57"/>
        <v>0</v>
      </c>
      <c r="BH47" s="25">
        <f t="shared" si="58"/>
        <v>0</v>
      </c>
    </row>
    <row r="48" spans="1:60" ht="15.5" x14ac:dyDescent="0.35">
      <c r="A48" s="43" t="s">
        <v>56</v>
      </c>
      <c r="B48" s="57">
        <f>'Baseline and counterfactual'!B14</f>
        <v>1793543</v>
      </c>
      <c r="C48" s="27">
        <f>'Baseline and counterfactual'!C14</f>
        <v>0.67901</v>
      </c>
      <c r="D48" s="28">
        <f>'Baseline and counterfactual'!D14</f>
        <v>0.21728320000000001</v>
      </c>
      <c r="E48" s="26">
        <f>'Baseline and counterfactual'!E14</f>
        <v>9.9999999999999995E-7</v>
      </c>
      <c r="F48" s="27">
        <f t="shared" si="4"/>
        <v>3.2000000000000001E-7</v>
      </c>
      <c r="G48" s="49">
        <f t="shared" si="5"/>
        <v>-0.43586423463001789</v>
      </c>
      <c r="H48" s="27">
        <f t="shared" si="6"/>
        <v>0.31223328022050617</v>
      </c>
      <c r="I48" s="38">
        <f t="shared" si="7"/>
        <v>-13.864255368602903</v>
      </c>
      <c r="J48" s="41">
        <f t="shared" si="8"/>
        <v>0.31223328022050617</v>
      </c>
      <c r="K48" s="49">
        <f t="shared" si="9"/>
        <v>2.0181869630496846E-3</v>
      </c>
      <c r="L48" s="6">
        <f t="shared" si="10"/>
        <v>153.19960421850934</v>
      </c>
      <c r="M48" s="6">
        <f t="shared" si="11"/>
        <v>12304.639586475358</v>
      </c>
      <c r="N48" s="6">
        <f t="shared" si="12"/>
        <v>98636.823273968737</v>
      </c>
      <c r="O48" s="6">
        <f t="shared" si="13"/>
        <v>256523.00400931042</v>
      </c>
      <c r="P48" s="6">
        <f t="shared" si="14"/>
        <v>359006.85287784389</v>
      </c>
      <c r="Q48" s="6">
        <f t="shared" si="15"/>
        <v>349691.89097217878</v>
      </c>
      <c r="R48" s="6">
        <f t="shared" si="16"/>
        <v>272706.38470460154</v>
      </c>
      <c r="S48" s="6">
        <f t="shared" si="17"/>
        <v>184617.3866471356</v>
      </c>
      <c r="T48" s="6">
        <f t="shared" si="18"/>
        <v>113973.48325733007</v>
      </c>
      <c r="U48" s="6">
        <f t="shared" si="19"/>
        <v>66203.172833074801</v>
      </c>
      <c r="V48" s="6">
        <f t="shared" si="20"/>
        <v>36935.342274231705</v>
      </c>
      <c r="W48" s="6">
        <f t="shared" si="21"/>
        <v>20070.156808501953</v>
      </c>
      <c r="X48" s="6">
        <f t="shared" si="22"/>
        <v>10725.097143950159</v>
      </c>
      <c r="Y48" s="6">
        <f t="shared" si="23"/>
        <v>5674.852423367628</v>
      </c>
      <c r="Z48" s="6">
        <f t="shared" si="24"/>
        <v>2987.6522732133826</v>
      </c>
      <c r="AA48" s="6">
        <f t="shared" si="25"/>
        <v>1570.5825053602855</v>
      </c>
      <c r="AB48" s="6">
        <f t="shared" si="26"/>
        <v>826.54002100080493</v>
      </c>
      <c r="AC48" s="6">
        <f t="shared" si="27"/>
        <v>436.27147051933707</v>
      </c>
      <c r="AD48" s="6">
        <f t="shared" si="28"/>
        <v>231.27983938005269</v>
      </c>
      <c r="AE48" s="6">
        <f t="shared" si="29"/>
        <v>123.26591006238776</v>
      </c>
      <c r="AF48" s="6">
        <f t="shared" si="30"/>
        <v>66.097898097222469</v>
      </c>
      <c r="AG48" s="6">
        <f t="shared" si="31"/>
        <v>35.677618823129258</v>
      </c>
      <c r="AH48" s="6">
        <f t="shared" si="32"/>
        <v>19.392002085769846</v>
      </c>
      <c r="AI48" s="25">
        <f t="shared" si="33"/>
        <v>23.952027081563951</v>
      </c>
      <c r="AJ48" s="49">
        <f t="shared" si="34"/>
        <v>1793543</v>
      </c>
      <c r="AK48" s="6">
        <f t="shared" si="35"/>
        <v>0</v>
      </c>
      <c r="AL48" s="6">
        <f t="shared" si="36"/>
        <v>0</v>
      </c>
      <c r="AM48" s="6">
        <f t="shared" si="37"/>
        <v>0</v>
      </c>
      <c r="AN48" s="6">
        <f t="shared" si="38"/>
        <v>0</v>
      </c>
      <c r="AO48" s="6">
        <f t="shared" si="39"/>
        <v>0</v>
      </c>
      <c r="AP48" s="6">
        <f t="shared" si="40"/>
        <v>0</v>
      </c>
      <c r="AQ48" s="6">
        <f t="shared" si="41"/>
        <v>0</v>
      </c>
      <c r="AR48" s="6">
        <f t="shared" si="42"/>
        <v>0</v>
      </c>
      <c r="AS48" s="6">
        <f t="shared" si="43"/>
        <v>0</v>
      </c>
      <c r="AT48" s="6">
        <f t="shared" si="44"/>
        <v>0</v>
      </c>
      <c r="AU48" s="6">
        <f t="shared" si="45"/>
        <v>0</v>
      </c>
      <c r="AV48" s="6">
        <f t="shared" si="46"/>
        <v>0</v>
      </c>
      <c r="AW48" s="6">
        <f t="shared" si="47"/>
        <v>0</v>
      </c>
      <c r="AX48" s="6">
        <f t="shared" si="48"/>
        <v>0</v>
      </c>
      <c r="AY48" s="6">
        <f t="shared" si="49"/>
        <v>0</v>
      </c>
      <c r="AZ48" s="6">
        <f t="shared" si="50"/>
        <v>0</v>
      </c>
      <c r="BA48" s="6">
        <f t="shared" si="51"/>
        <v>0</v>
      </c>
      <c r="BB48" s="6">
        <f t="shared" si="52"/>
        <v>0</v>
      </c>
      <c r="BC48" s="6">
        <f t="shared" si="53"/>
        <v>0</v>
      </c>
      <c r="BD48" s="6">
        <f t="shared" si="54"/>
        <v>0</v>
      </c>
      <c r="BE48" s="6">
        <f t="shared" si="55"/>
        <v>0</v>
      </c>
      <c r="BF48" s="6">
        <f t="shared" si="56"/>
        <v>0</v>
      </c>
      <c r="BG48" s="6">
        <f t="shared" si="57"/>
        <v>0</v>
      </c>
      <c r="BH48" s="25">
        <f t="shared" si="58"/>
        <v>0</v>
      </c>
    </row>
    <row r="49" spans="1:60" ht="15.5" x14ac:dyDescent="0.35">
      <c r="A49" s="43" t="s">
        <v>57</v>
      </c>
      <c r="B49" s="57">
        <f>'Baseline and counterfactual'!B15</f>
        <v>1222286</v>
      </c>
      <c r="C49" s="27">
        <f>'Baseline and counterfactual'!C15</f>
        <v>0.67901</v>
      </c>
      <c r="D49" s="28">
        <f>'Baseline and counterfactual'!D15</f>
        <v>0.21728320000000001</v>
      </c>
      <c r="E49" s="26">
        <f>'Baseline and counterfactual'!E15</f>
        <v>9.9999999999999995E-7</v>
      </c>
      <c r="F49" s="27">
        <f t="shared" si="4"/>
        <v>3.2000000000000001E-7</v>
      </c>
      <c r="G49" s="49">
        <f t="shared" si="5"/>
        <v>-0.43586423463001789</v>
      </c>
      <c r="H49" s="27">
        <f t="shared" si="6"/>
        <v>0.31223328022050617</v>
      </c>
      <c r="I49" s="38">
        <f t="shared" si="7"/>
        <v>-13.864255368602903</v>
      </c>
      <c r="J49" s="41">
        <f t="shared" si="8"/>
        <v>0.31223328022050617</v>
      </c>
      <c r="K49" s="49">
        <f t="shared" si="9"/>
        <v>1.3753791630968127E-3</v>
      </c>
      <c r="L49" s="6">
        <f t="shared" si="10"/>
        <v>104.40437248609311</v>
      </c>
      <c r="M49" s="6">
        <f t="shared" si="11"/>
        <v>8385.5188872497729</v>
      </c>
      <c r="N49" s="6">
        <f t="shared" si="12"/>
        <v>67220.249624484131</v>
      </c>
      <c r="O49" s="6">
        <f t="shared" si="13"/>
        <v>174818.48858852228</v>
      </c>
      <c r="P49" s="6">
        <f t="shared" si="14"/>
        <v>244660.45708223793</v>
      </c>
      <c r="Q49" s="6">
        <f t="shared" si="15"/>
        <v>238312.3809403067</v>
      </c>
      <c r="R49" s="6">
        <f t="shared" si="16"/>
        <v>185847.34022827921</v>
      </c>
      <c r="S49" s="6">
        <f t="shared" si="17"/>
        <v>125815.35377483605</v>
      </c>
      <c r="T49" s="6">
        <f t="shared" si="18"/>
        <v>77672.067498057717</v>
      </c>
      <c r="U49" s="6">
        <f t="shared" si="19"/>
        <v>45116.961962689304</v>
      </c>
      <c r="V49" s="6">
        <f t="shared" si="20"/>
        <v>25171.156625183547</v>
      </c>
      <c r="W49" s="6">
        <f t="shared" si="21"/>
        <v>13677.660187035728</v>
      </c>
      <c r="X49" s="6">
        <f t="shared" si="22"/>
        <v>7309.0726498836466</v>
      </c>
      <c r="Y49" s="6">
        <f t="shared" si="23"/>
        <v>3867.3690394645264</v>
      </c>
      <c r="Z49" s="6">
        <f t="shared" si="24"/>
        <v>2036.0624453480582</v>
      </c>
      <c r="AA49" s="6">
        <f t="shared" si="25"/>
        <v>1070.3401079019582</v>
      </c>
      <c r="AB49" s="6">
        <f t="shared" si="26"/>
        <v>563.28077782857167</v>
      </c>
      <c r="AC49" s="6">
        <f t="shared" si="27"/>
        <v>297.31571008623627</v>
      </c>
      <c r="AD49" s="6">
        <f t="shared" si="28"/>
        <v>157.61546266606771</v>
      </c>
      <c r="AE49" s="6">
        <f t="shared" si="29"/>
        <v>84.004786139231499</v>
      </c>
      <c r="AF49" s="6">
        <f t="shared" si="30"/>
        <v>45.045218025807941</v>
      </c>
      <c r="AG49" s="6">
        <f t="shared" si="31"/>
        <v>24.314027598361101</v>
      </c>
      <c r="AH49" s="6">
        <f t="shared" si="32"/>
        <v>13.215502868572027</v>
      </c>
      <c r="AI49" s="25">
        <f t="shared" si="33"/>
        <v>16.323125441328408</v>
      </c>
      <c r="AJ49" s="49">
        <f t="shared" si="34"/>
        <v>1222286</v>
      </c>
      <c r="AK49" s="6">
        <f t="shared" si="35"/>
        <v>0</v>
      </c>
      <c r="AL49" s="6">
        <f t="shared" si="36"/>
        <v>0</v>
      </c>
      <c r="AM49" s="6">
        <f t="shared" si="37"/>
        <v>0</v>
      </c>
      <c r="AN49" s="6">
        <f t="shared" si="38"/>
        <v>0</v>
      </c>
      <c r="AO49" s="6">
        <f t="shared" si="39"/>
        <v>0</v>
      </c>
      <c r="AP49" s="6">
        <f t="shared" si="40"/>
        <v>0</v>
      </c>
      <c r="AQ49" s="6">
        <f t="shared" si="41"/>
        <v>0</v>
      </c>
      <c r="AR49" s="6">
        <f t="shared" si="42"/>
        <v>0</v>
      </c>
      <c r="AS49" s="6">
        <f t="shared" si="43"/>
        <v>0</v>
      </c>
      <c r="AT49" s="6">
        <f t="shared" si="44"/>
        <v>0</v>
      </c>
      <c r="AU49" s="6">
        <f t="shared" si="45"/>
        <v>0</v>
      </c>
      <c r="AV49" s="6">
        <f t="shared" si="46"/>
        <v>0</v>
      </c>
      <c r="AW49" s="6">
        <f t="shared" si="47"/>
        <v>0</v>
      </c>
      <c r="AX49" s="6">
        <f t="shared" si="48"/>
        <v>0</v>
      </c>
      <c r="AY49" s="6">
        <f t="shared" si="49"/>
        <v>0</v>
      </c>
      <c r="AZ49" s="6">
        <f t="shared" si="50"/>
        <v>0</v>
      </c>
      <c r="BA49" s="6">
        <f t="shared" si="51"/>
        <v>0</v>
      </c>
      <c r="BB49" s="6">
        <f t="shared" si="52"/>
        <v>0</v>
      </c>
      <c r="BC49" s="6">
        <f t="shared" si="53"/>
        <v>0</v>
      </c>
      <c r="BD49" s="6">
        <f t="shared" si="54"/>
        <v>0</v>
      </c>
      <c r="BE49" s="6">
        <f t="shared" si="55"/>
        <v>0</v>
      </c>
      <c r="BF49" s="6">
        <f t="shared" si="56"/>
        <v>0</v>
      </c>
      <c r="BG49" s="6">
        <f t="shared" si="57"/>
        <v>0</v>
      </c>
      <c r="BH49" s="25">
        <f t="shared" si="58"/>
        <v>0</v>
      </c>
    </row>
    <row r="50" spans="1:60" ht="15.5" x14ac:dyDescent="0.35">
      <c r="A50" s="43" t="s">
        <v>77</v>
      </c>
      <c r="B50" s="58">
        <f>'Baseline and counterfactual'!B16</f>
        <v>1246775</v>
      </c>
      <c r="C50" s="30">
        <f>'Baseline and counterfactual'!C16</f>
        <v>0.67901</v>
      </c>
      <c r="D50" s="31">
        <f>'Baseline and counterfactual'!D16</f>
        <v>0.21728320000000001</v>
      </c>
      <c r="E50" s="26">
        <f>'Baseline and counterfactual'!E16</f>
        <v>9.9999999999999995E-7</v>
      </c>
      <c r="F50" s="27">
        <f t="shared" si="4"/>
        <v>3.2000000000000001E-7</v>
      </c>
      <c r="G50" s="49">
        <f t="shared" si="5"/>
        <v>-0.43586423463001789</v>
      </c>
      <c r="H50" s="30">
        <f>SQRT(LN(1+((D50*D50)/(C50*C50))))</f>
        <v>0.31223328022050617</v>
      </c>
      <c r="I50" s="38">
        <f t="shared" si="7"/>
        <v>-13.864255368602903</v>
      </c>
      <c r="J50" s="42">
        <f>SQRT(LN(1+((F50*F50)/(E50*E50))))</f>
        <v>0.31223328022050617</v>
      </c>
      <c r="K50" s="49">
        <f t="shared" si="9"/>
        <v>1.4029354472439581E-3</v>
      </c>
      <c r="L50" s="6">
        <f t="shared" si="10"/>
        <v>106.49615679664885</v>
      </c>
      <c r="M50" s="6">
        <f t="shared" si="11"/>
        <v>8553.5261883477633</v>
      </c>
      <c r="N50" s="6">
        <f t="shared" si="12"/>
        <v>68567.034822918868</v>
      </c>
      <c r="O50" s="6">
        <f t="shared" si="13"/>
        <v>178321.0485188858</v>
      </c>
      <c r="P50" s="6">
        <f t="shared" si="14"/>
        <v>249562.32942102521</v>
      </c>
      <c r="Q50" s="6">
        <f t="shared" si="15"/>
        <v>243087.06697683755</v>
      </c>
      <c r="R50" s="6">
        <f t="shared" si="16"/>
        <v>189570.86771272257</v>
      </c>
      <c r="S50" s="6">
        <f t="shared" si="17"/>
        <v>128336.11585391736</v>
      </c>
      <c r="T50" s="6">
        <f t="shared" si="18"/>
        <v>79228.259143024552</v>
      </c>
      <c r="U50" s="6">
        <f t="shared" si="19"/>
        <v>46020.898751218578</v>
      </c>
      <c r="V50" s="6">
        <f t="shared" si="20"/>
        <v>25675.471044717207</v>
      </c>
      <c r="W50" s="6">
        <f t="shared" si="21"/>
        <v>13951.697703885562</v>
      </c>
      <c r="X50" s="6">
        <f t="shared" si="22"/>
        <v>7455.5129102834226</v>
      </c>
      <c r="Y50" s="6">
        <f t="shared" si="23"/>
        <v>3944.8533601615209</v>
      </c>
      <c r="Z50" s="6">
        <f t="shared" si="24"/>
        <v>2076.8557893151237</v>
      </c>
      <c r="AA50" s="6">
        <f t="shared" si="25"/>
        <v>1091.7848097985775</v>
      </c>
      <c r="AB50" s="6">
        <f t="shared" si="26"/>
        <v>574.56633862878039</v>
      </c>
      <c r="AC50" s="6">
        <f t="shared" si="27"/>
        <v>303.27255195818918</v>
      </c>
      <c r="AD50" s="6">
        <f t="shared" si="28"/>
        <v>160.77335293498132</v>
      </c>
      <c r="AE50" s="6">
        <f t="shared" si="29"/>
        <v>85.687856392644889</v>
      </c>
      <c r="AF50" s="6">
        <f t="shared" si="30"/>
        <v>45.947717395214127</v>
      </c>
      <c r="AG50" s="6">
        <f t="shared" si="31"/>
        <v>24.80116908722399</v>
      </c>
      <c r="AH50" s="6">
        <f t="shared" si="32"/>
        <v>13.480280874495731</v>
      </c>
      <c r="AI50" s="25">
        <f t="shared" si="33"/>
        <v>16.650165936705669</v>
      </c>
      <c r="AJ50" s="49">
        <f t="shared" si="34"/>
        <v>1246775</v>
      </c>
      <c r="AK50" s="6">
        <f t="shared" si="35"/>
        <v>0</v>
      </c>
      <c r="AL50" s="6">
        <f t="shared" si="36"/>
        <v>0</v>
      </c>
      <c r="AM50" s="6">
        <f t="shared" si="37"/>
        <v>0</v>
      </c>
      <c r="AN50" s="6">
        <f t="shared" si="38"/>
        <v>0</v>
      </c>
      <c r="AO50" s="6">
        <f t="shared" si="39"/>
        <v>0</v>
      </c>
      <c r="AP50" s="6">
        <f t="shared" si="40"/>
        <v>0</v>
      </c>
      <c r="AQ50" s="6">
        <f t="shared" si="41"/>
        <v>0</v>
      </c>
      <c r="AR50" s="6">
        <f t="shared" si="42"/>
        <v>0</v>
      </c>
      <c r="AS50" s="6">
        <f t="shared" si="43"/>
        <v>0</v>
      </c>
      <c r="AT50" s="6">
        <f t="shared" si="44"/>
        <v>0</v>
      </c>
      <c r="AU50" s="6">
        <f t="shared" si="45"/>
        <v>0</v>
      </c>
      <c r="AV50" s="6">
        <f t="shared" si="46"/>
        <v>0</v>
      </c>
      <c r="AW50" s="6">
        <f t="shared" si="47"/>
        <v>0</v>
      </c>
      <c r="AX50" s="6">
        <f t="shared" si="48"/>
        <v>0</v>
      </c>
      <c r="AY50" s="6">
        <f t="shared" si="49"/>
        <v>0</v>
      </c>
      <c r="AZ50" s="6">
        <f t="shared" si="50"/>
        <v>0</v>
      </c>
      <c r="BA50" s="6">
        <f t="shared" si="51"/>
        <v>0</v>
      </c>
      <c r="BB50" s="6">
        <f t="shared" si="52"/>
        <v>0</v>
      </c>
      <c r="BC50" s="6">
        <f t="shared" si="53"/>
        <v>0</v>
      </c>
      <c r="BD50" s="6">
        <f t="shared" si="54"/>
        <v>0</v>
      </c>
      <c r="BE50" s="6">
        <f t="shared" si="55"/>
        <v>0</v>
      </c>
      <c r="BF50" s="6">
        <f t="shared" si="56"/>
        <v>0</v>
      </c>
      <c r="BG50" s="6">
        <f t="shared" si="57"/>
        <v>0</v>
      </c>
      <c r="BH50" s="25">
        <f t="shared" si="58"/>
        <v>0</v>
      </c>
    </row>
    <row r="51" spans="1:60" ht="15.5" x14ac:dyDescent="0.35">
      <c r="A51" s="44"/>
      <c r="B51" s="59"/>
      <c r="G51" s="26"/>
      <c r="H51" s="27"/>
      <c r="I51" s="40"/>
      <c r="J51" s="41"/>
      <c r="K51" s="26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8"/>
      <c r="AJ51" s="26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8"/>
    </row>
    <row r="52" spans="1:60" ht="15.5" x14ac:dyDescent="0.35">
      <c r="A52" s="43" t="s">
        <v>60</v>
      </c>
      <c r="B52" s="60">
        <f>'Baseline and counterfactual'!B20</f>
        <v>8430049</v>
      </c>
      <c r="C52" s="49">
        <f>'Baseline and counterfactual'!C20</f>
        <v>0.67901</v>
      </c>
      <c r="D52" s="25">
        <f>'Baseline and counterfactual'!D20</f>
        <v>0.21728320000000001</v>
      </c>
      <c r="E52" s="49">
        <f>'Baseline and counterfactual'!E20</f>
        <v>9.9999999999999995E-7</v>
      </c>
      <c r="F52" s="27">
        <f>E52*D52/C52</f>
        <v>3.2000000000000001E-7</v>
      </c>
      <c r="G52" s="49">
        <f t="shared" si="5"/>
        <v>-0.43586423463001789</v>
      </c>
      <c r="H52" s="6">
        <f>SQRT(LN(1+((D52*D52)/(C52*C52))))</f>
        <v>0.31223328022050617</v>
      </c>
      <c r="I52" s="38">
        <f t="shared" si="7"/>
        <v>-13.864255368602903</v>
      </c>
      <c r="J52" s="39">
        <f>SQRT(LN(1+((F52*F52)/(E52*E52))))</f>
        <v>0.31223328022050617</v>
      </c>
      <c r="K52" s="49">
        <f xml:space="preserve"> $B52*LOGNORMDIST(0.1,$G52,$H52)</f>
        <v>9.4859253386565204E-3</v>
      </c>
      <c r="L52" s="6">
        <f xml:space="preserve"> $B52*(LOGNORMDIST(0.2,$G52,$H52)-LOGNORMDIST(0.1,$G52,$H52))</f>
        <v>720.07204195418808</v>
      </c>
      <c r="M52" s="6">
        <f xml:space="preserve"> $B52*(LOGNORMDIST(0.3,$G52,$H52)-LOGNORMDIST(0.2,$G52,$H52))</f>
        <v>57834.528997256828</v>
      </c>
      <c r="N52" s="6">
        <f xml:space="preserve"> $B52*(LOGNORMDIST(0.4,$G52,$H52)-LOGNORMDIST(0.3,$G52,$H52))</f>
        <v>463614.89710806875</v>
      </c>
      <c r="O52" s="6">
        <f xml:space="preserve"> $B52*(LOGNORMDIST(0.5,$G52,$H52)-LOGNORMDIST(0.4,$G52,$H52))</f>
        <v>1205714.8858018366</v>
      </c>
      <c r="P52" s="6">
        <f xml:space="preserve"> $B52*(LOGNORMDIST(0.6,$G52,$H52)-LOGNORMDIST(0.5,$G52,$H52))</f>
        <v>1687411.6545273878</v>
      </c>
      <c r="Q52" s="6">
        <f xml:space="preserve"> $B52*(LOGNORMDIST(0.7,$G52,$H52)-LOGNORMDIST(0.6,$G52,$H52))</f>
        <v>1643629.2722271641</v>
      </c>
      <c r="R52" s="6">
        <f xml:space="preserve"> $B52*(LOGNORMDIST(0.8,$G52,$H52)-LOGNORMDIST(0.7,$G52,$H52))</f>
        <v>1281780.3563520035</v>
      </c>
      <c r="S52" s="6">
        <f xml:space="preserve"> $B52*(LOGNORMDIST(0.9,$G52,$H52)-LOGNORMDIST(0.8,$G52,$H52))</f>
        <v>867742.57193013991</v>
      </c>
      <c r="T52" s="6">
        <f xml:space="preserve"> $B52*(LOGNORMDIST(1,$G52,$H52)-LOGNORMDIST(0.9,$G52,$H52))</f>
        <v>535700.59293809626</v>
      </c>
      <c r="U52" s="6">
        <f xml:space="preserve"> $B52*(LOGNORMDIST(1.1,$G52,$H52)-LOGNORMDIST(1,$G52,$H52))</f>
        <v>311169.56266913551</v>
      </c>
      <c r="V52" s="6">
        <f xml:space="preserve"> $B52*(LOGNORMDIST(1.2,$G52,$H52)-LOGNORMDIST(1.1,$G52,$H52))</f>
        <v>173604.28225224861</v>
      </c>
      <c r="W52" s="6">
        <f xml:space="preserve"> $B52*(LOGNORMDIST(1.3,$G52,$H52)-LOGNORMDIST(1.2,$G52,$H52))</f>
        <v>94334.178401830955</v>
      </c>
      <c r="X52" s="6">
        <f xml:space="preserve"> $B52*(LOGNORMDIST(1.4,$G52,$H52)-LOGNORMDIST(1.3,$G52,$H52))</f>
        <v>50410.32997439141</v>
      </c>
      <c r="Y52" s="6">
        <f xml:space="preserve"> $B52*(LOGNORMDIST(1.5,$G52,$H52)-LOGNORMDIST(1.4,$G52,$H52))</f>
        <v>26673.062199656128</v>
      </c>
      <c r="Z52" s="6">
        <f xml:space="preserve"> $B52*(LOGNORMDIST(1.6,$G52,$H52)-LOGNORMDIST(1.5,$G52,$H52))</f>
        <v>14042.62683311758</v>
      </c>
      <c r="AA52" s="6">
        <f xml:space="preserve"> $B52*(LOGNORMDIST(1.7,$G52,$H52)-LOGNORMDIST(1.6,$G52,$H52))</f>
        <v>7382.0853354115125</v>
      </c>
      <c r="AB52" s="6">
        <f xml:space="preserve"> $B52*(LOGNORMDIST(1.8,$G52,$H52)-LOGNORMDIST(1.7,$G52,$H52))</f>
        <v>3884.921006910799</v>
      </c>
      <c r="AC52" s="6">
        <f xml:space="preserve"> $B52*(LOGNORMDIST(1.9,$G52,$H52)-LOGNORMDIST(1.8,$G52,$H52))</f>
        <v>2050.5724556255786</v>
      </c>
      <c r="AD52" s="6">
        <f xml:space="preserve"> $B52*(LOGNORMDIST(2,$G52,$H52)-LOGNORMDIST(1.9,$G52,$H52))</f>
        <v>1087.0664258877393</v>
      </c>
      <c r="AE52" s="6">
        <f xml:space="preserve"> $B52*(LOGNORMDIST(2.1,$G52,$H52)-LOGNORMDIST(2,$G52,$H52))</f>
        <v>579.37705527858657</v>
      </c>
      <c r="AF52" s="6">
        <f xml:space="preserve"> $B52*(LOGNORMDIST(2.2,$G52,$H52)-LOGNORMDIST(2.1,$G52,$H52))</f>
        <v>310.67474811398006</v>
      </c>
      <c r="AG52" s="6">
        <f xml:space="preserve"> $B52*(LOGNORMDIST(2.3,$G52,$H52)-LOGNORMDIST(2.2,$G52,$H52))</f>
        <v>167.69270370562734</v>
      </c>
      <c r="AH52" s="6">
        <f xml:space="preserve"> $B52*(LOGNORMDIST(2.4,$G52,$H52)-LOGNORMDIST(2.3,$G52,$H52))</f>
        <v>91.146701133534009</v>
      </c>
      <c r="AI52" s="25">
        <f xml:space="preserve"> $B52*(1-LOGNORMDIST(2.4,$G52,$H52))</f>
        <v>112.57982771916319</v>
      </c>
      <c r="AJ52" s="49">
        <f xml:space="preserve"> $B52*LOGNORMDIST(0.1,$I52,$J52)</f>
        <v>8430049</v>
      </c>
      <c r="AK52" s="6">
        <f xml:space="preserve"> $B52*(LOGNORMDIST(0.2,$I52,$J52)-LOGNORMDIST(0.1,$I52,$J52))</f>
        <v>0</v>
      </c>
      <c r="AL52" s="6">
        <f xml:space="preserve"> $B52*(LOGNORMDIST(0.3,$I52,$J52)-LOGNORMDIST(0.2,$I52,$J52))</f>
        <v>0</v>
      </c>
      <c r="AM52" s="6">
        <f xml:space="preserve"> $B52*(LOGNORMDIST(0.4,$I52,$J52)-LOGNORMDIST(0.3,$I52,$J52))</f>
        <v>0</v>
      </c>
      <c r="AN52" s="6">
        <f xml:space="preserve"> $B52*(LOGNORMDIST(0.5,$I52,$J52)-LOGNORMDIST(0.4,$I52,$J52))</f>
        <v>0</v>
      </c>
      <c r="AO52" s="6">
        <f xml:space="preserve"> $B52*(LOGNORMDIST(0.6,$I52,$J52)-LOGNORMDIST(0.5,$I52,$J52))</f>
        <v>0</v>
      </c>
      <c r="AP52" s="6">
        <f xml:space="preserve"> $B52*(LOGNORMDIST(0.7,$I52,$J52)-LOGNORMDIST(0.6,$I52,$J52))</f>
        <v>0</v>
      </c>
      <c r="AQ52" s="6">
        <f xml:space="preserve"> $B52*(LOGNORMDIST(0.8,$I52,$J52)-LOGNORMDIST(0.7,$I52,$J52))</f>
        <v>0</v>
      </c>
      <c r="AR52" s="6">
        <f xml:space="preserve"> $B52*(LOGNORMDIST(0.9,$I52,$J52)-LOGNORMDIST(0.8,$I52,$J52))</f>
        <v>0</v>
      </c>
      <c r="AS52" s="6">
        <f xml:space="preserve"> $B52*(LOGNORMDIST(1,$I52,$J52)-LOGNORMDIST(0.9,$I52,$J52))</f>
        <v>0</v>
      </c>
      <c r="AT52" s="6">
        <f xml:space="preserve"> $B52*(LOGNORMDIST(1.1,$I52,$J52)-LOGNORMDIST(1,$I52,$J52))</f>
        <v>0</v>
      </c>
      <c r="AU52" s="6">
        <f xml:space="preserve"> $B52*(LOGNORMDIST(1.2,$I52,$J52)-LOGNORMDIST(1.1,$I52,$J52))</f>
        <v>0</v>
      </c>
      <c r="AV52" s="6">
        <f xml:space="preserve"> $B52*(LOGNORMDIST(1.3,$I52,$J52)-LOGNORMDIST(1.2,$I52,$J52))</f>
        <v>0</v>
      </c>
      <c r="AW52" s="6">
        <f xml:space="preserve"> $B52*(LOGNORMDIST(1.4,$I52,$J52)-LOGNORMDIST(1.3,$I52,$J52))</f>
        <v>0</v>
      </c>
      <c r="AX52" s="6">
        <f xml:space="preserve"> $B52*(LOGNORMDIST(1.5,$I52,$J52)-LOGNORMDIST(1.4,$I52,$J52))</f>
        <v>0</v>
      </c>
      <c r="AY52" s="6">
        <f xml:space="preserve"> $B52*(LOGNORMDIST(1.6,$I52,$J52)-LOGNORMDIST(1.5,$I52,$J52))</f>
        <v>0</v>
      </c>
      <c r="AZ52" s="6">
        <f xml:space="preserve"> $B52*(LOGNORMDIST(1.7,$I52,$J52)-LOGNORMDIST(1.6,$I52,$J52))</f>
        <v>0</v>
      </c>
      <c r="BA52" s="6">
        <f xml:space="preserve"> $B52*(LOGNORMDIST(1.8,$I52,$J52)-LOGNORMDIST(1.7,$I52,$J52))</f>
        <v>0</v>
      </c>
      <c r="BB52" s="6">
        <f xml:space="preserve"> $B52*(LOGNORMDIST(1.9,$I52,$J52)-LOGNORMDIST(1.8,$I52,$J52))</f>
        <v>0</v>
      </c>
      <c r="BC52" s="6">
        <f xml:space="preserve"> $B52*(LOGNORMDIST(2,$I52,$J52)-LOGNORMDIST(1.9,$I52,$J52))</f>
        <v>0</v>
      </c>
      <c r="BD52" s="6">
        <f xml:space="preserve"> $B52*(LOGNORMDIST(2.1,$I52,$J52)-LOGNORMDIST(2,$I52,$J52))</f>
        <v>0</v>
      </c>
      <c r="BE52" s="6">
        <f xml:space="preserve"> $B52*(LOGNORMDIST(2.2,$I52,$J52)-LOGNORMDIST(2.1,$I52,$J52))</f>
        <v>0</v>
      </c>
      <c r="BF52" s="6">
        <f xml:space="preserve"> $B52*(LOGNORMDIST(2.3,$I52,$J52)-LOGNORMDIST(2.2,$I52,$J52))</f>
        <v>0</v>
      </c>
      <c r="BG52" s="6">
        <f xml:space="preserve"> $B52*(LOGNORMDIST(2.4,$I52,$J52)-LOGNORMDIST(2.3,$I52,$J52))</f>
        <v>0</v>
      </c>
      <c r="BH52" s="25">
        <f xml:space="preserve"> $B52*(1-LOGNORMDIST(2.4,$I52,$J52))</f>
        <v>0</v>
      </c>
    </row>
    <row r="53" spans="1:60" ht="15.5" x14ac:dyDescent="0.35">
      <c r="A53" s="43" t="s">
        <v>61</v>
      </c>
      <c r="B53" s="57">
        <f>'Baseline and counterfactual'!B21</f>
        <v>8434408</v>
      </c>
      <c r="C53" s="26">
        <f>'Baseline and counterfactual'!C21</f>
        <v>0.67901</v>
      </c>
      <c r="D53" s="28">
        <f>'Baseline and counterfactual'!D21</f>
        <v>0.21728320000000001</v>
      </c>
      <c r="E53" s="49">
        <f>'Baseline and counterfactual'!E21</f>
        <v>9.9999999999999995E-7</v>
      </c>
      <c r="F53" s="27">
        <f t="shared" ref="F53:F65" si="59">E53*D53/C53</f>
        <v>3.2000000000000001E-7</v>
      </c>
      <c r="G53" s="49">
        <f t="shared" si="5"/>
        <v>-0.43586423463001789</v>
      </c>
      <c r="H53" s="27">
        <f t="shared" ref="H53:H64" si="60">SQRT(LN(1+((D53*D53)/(C53*C53))))</f>
        <v>0.31223328022050617</v>
      </c>
      <c r="I53" s="38">
        <f t="shared" si="7"/>
        <v>-13.864255368602903</v>
      </c>
      <c r="J53" s="41">
        <f t="shared" ref="J53:J64" si="61">SQRT(LN(1+((F53*F53)/(E53*E53))))</f>
        <v>0.31223328022050617</v>
      </c>
      <c r="K53" s="49">
        <f t="shared" ref="K53:K65" si="62" xml:space="preserve"> $B53*LOGNORMDIST(0.1,$G53,$H53)</f>
        <v>9.4908303099741492E-3</v>
      </c>
      <c r="L53" s="6">
        <f t="shared" ref="L53:L65" si="63" xml:space="preserve"> $B53*(LOGNORMDIST(0.2,$G53,$H53)-LOGNORMDIST(0.1,$G53,$H53))</f>
        <v>720.44437597394028</v>
      </c>
      <c r="M53" s="6">
        <f t="shared" ref="M53:M65" si="64" xml:space="preserve"> $B53*(LOGNORMDIST(0.3,$G53,$H53)-LOGNORMDIST(0.2,$G53,$H53))</f>
        <v>57864.434008710385</v>
      </c>
      <c r="N53" s="6">
        <f t="shared" ref="N53:N65" si="65" xml:space="preserve"> $B53*(LOGNORMDIST(0.4,$G53,$H53)-LOGNORMDIST(0.3,$G53,$H53))</f>
        <v>463854.62256357842</v>
      </c>
      <c r="O53" s="6">
        <f t="shared" ref="O53:O65" si="66" xml:space="preserve"> $B53*(LOGNORMDIST(0.5,$G53,$H53)-LOGNORMDIST(0.4,$G53,$H53))</f>
        <v>1206338.3354623558</v>
      </c>
      <c r="P53" s="6">
        <f t="shared" ref="P53:P65" si="67" xml:space="preserve"> $B53*(LOGNORMDIST(0.6,$G53,$H53)-LOGNORMDIST(0.5,$G53,$H53))</f>
        <v>1688284.1793967078</v>
      </c>
      <c r="Q53" s="6">
        <f t="shared" ref="Q53:Q65" si="68" xml:space="preserve"> $B53*(LOGNORMDIST(0.7,$G53,$H53)-LOGNORMDIST(0.6,$G53,$H53))</f>
        <v>1644479.1581528138</v>
      </c>
      <c r="R53" s="6">
        <f t="shared" ref="R53:R65" si="69" xml:space="preserve"> $B53*(LOGNORMDIST(0.8,$G53,$H53)-LOGNORMDIST(0.7,$G53,$H53))</f>
        <v>1282443.1378581773</v>
      </c>
      <c r="S53" s="6">
        <f t="shared" ref="S53:S65" si="70" xml:space="preserve"> $B53*(LOGNORMDIST(0.9,$G53,$H53)-LOGNORMDIST(0.8,$G53,$H53))</f>
        <v>868191.26325696893</v>
      </c>
      <c r="T53" s="6">
        <f t="shared" ref="T53:T65" si="71" xml:space="preserve"> $B53*(LOGNORMDIST(1,$G53,$H53)-LOGNORMDIST(0.9,$G53,$H53))</f>
        <v>535977.592381945</v>
      </c>
      <c r="U53" s="6">
        <f t="shared" ref="U53:U65" si="72" xml:space="preserve"> $B53*(LOGNORMDIST(1.1,$G53,$H53)-LOGNORMDIST(1,$G53,$H53))</f>
        <v>311330.46186719177</v>
      </c>
      <c r="V53" s="6">
        <f t="shared" ref="V53:V65" si="73" xml:space="preserve"> $B53*(LOGNORMDIST(1.2,$G53,$H53)-LOGNORMDIST(1.1,$G53,$H53))</f>
        <v>173694.04935399827</v>
      </c>
      <c r="W53" s="6">
        <f t="shared" ref="W53:W65" si="74" xml:space="preserve"> $B53*(LOGNORMDIST(1.3,$G53,$H53)-LOGNORMDIST(1.2,$G53,$H53))</f>
        <v>94382.956609840607</v>
      </c>
      <c r="X53" s="6">
        <f t="shared" ref="X53:X65" si="75" xml:space="preserve"> $B53*(LOGNORMDIST(1.4,$G53,$H53)-LOGNORMDIST(1.3,$G53,$H53))</f>
        <v>50436.396089589362</v>
      </c>
      <c r="Y53" s="6">
        <f t="shared" ref="Y53:Y65" si="76" xml:space="preserve"> $B53*(LOGNORMDIST(1.5,$G53,$H53)-LOGNORMDIST(1.4,$G53,$H53))</f>
        <v>26686.854275850266</v>
      </c>
      <c r="Z53" s="6">
        <f t="shared" ref="Z53:Z65" si="77" xml:space="preserve"> $B53*(LOGNORMDIST(1.6,$G53,$H53)-LOGNORMDIST(1.5,$G53,$H53))</f>
        <v>14049.887978380859</v>
      </c>
      <c r="AA53" s="6">
        <f t="shared" ref="AA53:AA65" si="78" xml:space="preserve"> $B53*(LOGNORMDIST(1.7,$G53,$H53)-LOGNORMDIST(1.6,$G53,$H53))</f>
        <v>7385.9024555702508</v>
      </c>
      <c r="AB53" s="6">
        <f t="shared" ref="AB53:AB65" si="79" xml:space="preserve"> $B53*(LOGNORMDIST(1.8,$G53,$H53)-LOGNORMDIST(1.7,$G53,$H53))</f>
        <v>3886.9298173778702</v>
      </c>
      <c r="AC53" s="6">
        <f t="shared" ref="AC53:AC65" si="80" xml:space="preserve"> $B53*(LOGNORMDIST(1.9,$G53,$H53)-LOGNORMDIST(1.8,$G53,$H53))</f>
        <v>2051.6327632624702</v>
      </c>
      <c r="AD53" s="6">
        <f t="shared" ref="AD53:AD65" si="81" xml:space="preserve"> $B53*(LOGNORMDIST(2,$G53,$H53)-LOGNORMDIST(1.9,$G53,$H53))</f>
        <v>1087.6285249396481</v>
      </c>
      <c r="AE53" s="6">
        <f t="shared" ref="AE53:AE65" si="82" xml:space="preserve"> $B53*(LOGNORMDIST(2.1,$G53,$H53)-LOGNORMDIST(2,$G53,$H53))</f>
        <v>579.67663889713481</v>
      </c>
      <c r="AF53" s="6">
        <f t="shared" ref="AF53:AF65" si="83" xml:space="preserve"> $B53*(LOGNORMDIST(2.2,$G53,$H53)-LOGNORMDIST(2.1,$G53,$H53))</f>
        <v>310.83539145389761</v>
      </c>
      <c r="AG53" s="6">
        <f t="shared" ref="AG53:AG65" si="84" xml:space="preserve"> $B53*(LOGNORMDIST(2.3,$G53,$H53)-LOGNORMDIST(2.2,$G53,$H53))</f>
        <v>167.77941405517012</v>
      </c>
      <c r="AH53" s="6">
        <f t="shared" ref="AH53:AH65" si="85" xml:space="preserve"> $B53*(LOGNORMDIST(2.4,$G53,$H53)-LOGNORMDIST(2.3,$G53,$H53))</f>
        <v>91.193831164479391</v>
      </c>
      <c r="AI53" s="25">
        <f t="shared" ref="AI53:AI65" si="86" xml:space="preserve"> $B53*(1-LOGNORMDIST(2.4,$G53,$H53))</f>
        <v>112.63804036644767</v>
      </c>
      <c r="AJ53" s="49">
        <f t="shared" ref="AJ53:AJ65" si="87" xml:space="preserve"> $B53*LOGNORMDIST(0.1,$I53,$J53)</f>
        <v>8434408</v>
      </c>
      <c r="AK53" s="6">
        <f t="shared" ref="AK53:AK65" si="88" xml:space="preserve"> $B53*(LOGNORMDIST(0.2,$I53,$J53)-LOGNORMDIST(0.1,$I53,$J53))</f>
        <v>0</v>
      </c>
      <c r="AL53" s="6">
        <f t="shared" ref="AL53:AL65" si="89" xml:space="preserve"> $B53*(LOGNORMDIST(0.3,$I53,$J53)-LOGNORMDIST(0.2,$I53,$J53))</f>
        <v>0</v>
      </c>
      <c r="AM53" s="6">
        <f t="shared" ref="AM53:AM65" si="90" xml:space="preserve"> $B53*(LOGNORMDIST(0.4,$I53,$J53)-LOGNORMDIST(0.3,$I53,$J53))</f>
        <v>0</v>
      </c>
      <c r="AN53" s="6">
        <f t="shared" ref="AN53:AN65" si="91" xml:space="preserve"> $B53*(LOGNORMDIST(0.5,$I53,$J53)-LOGNORMDIST(0.4,$I53,$J53))</f>
        <v>0</v>
      </c>
      <c r="AO53" s="6">
        <f t="shared" ref="AO53:AO65" si="92" xml:space="preserve"> $B53*(LOGNORMDIST(0.6,$I53,$J53)-LOGNORMDIST(0.5,$I53,$J53))</f>
        <v>0</v>
      </c>
      <c r="AP53" s="6">
        <f t="shared" ref="AP53:AP65" si="93" xml:space="preserve"> $B53*(LOGNORMDIST(0.7,$I53,$J53)-LOGNORMDIST(0.6,$I53,$J53))</f>
        <v>0</v>
      </c>
      <c r="AQ53" s="6">
        <f t="shared" ref="AQ53:AQ65" si="94" xml:space="preserve"> $B53*(LOGNORMDIST(0.8,$I53,$J53)-LOGNORMDIST(0.7,$I53,$J53))</f>
        <v>0</v>
      </c>
      <c r="AR53" s="6">
        <f t="shared" ref="AR53:AR65" si="95" xml:space="preserve"> $B53*(LOGNORMDIST(0.9,$I53,$J53)-LOGNORMDIST(0.8,$I53,$J53))</f>
        <v>0</v>
      </c>
      <c r="AS53" s="6">
        <f t="shared" ref="AS53:AS65" si="96" xml:space="preserve"> $B53*(LOGNORMDIST(1,$I53,$J53)-LOGNORMDIST(0.9,$I53,$J53))</f>
        <v>0</v>
      </c>
      <c r="AT53" s="6">
        <f t="shared" ref="AT53:AT65" si="97" xml:space="preserve"> $B53*(LOGNORMDIST(1.1,$I53,$J53)-LOGNORMDIST(1,$I53,$J53))</f>
        <v>0</v>
      </c>
      <c r="AU53" s="6">
        <f t="shared" ref="AU53:AU65" si="98" xml:space="preserve"> $B53*(LOGNORMDIST(1.2,$I53,$J53)-LOGNORMDIST(1.1,$I53,$J53))</f>
        <v>0</v>
      </c>
      <c r="AV53" s="6">
        <f t="shared" ref="AV53:AV65" si="99" xml:space="preserve"> $B53*(LOGNORMDIST(1.3,$I53,$J53)-LOGNORMDIST(1.2,$I53,$J53))</f>
        <v>0</v>
      </c>
      <c r="AW53" s="6">
        <f t="shared" ref="AW53:AW65" si="100" xml:space="preserve"> $B53*(LOGNORMDIST(1.4,$I53,$J53)-LOGNORMDIST(1.3,$I53,$J53))</f>
        <v>0</v>
      </c>
      <c r="AX53" s="6">
        <f t="shared" ref="AX53:AX65" si="101" xml:space="preserve"> $B53*(LOGNORMDIST(1.5,$I53,$J53)-LOGNORMDIST(1.4,$I53,$J53))</f>
        <v>0</v>
      </c>
      <c r="AY53" s="6">
        <f t="shared" ref="AY53:AY65" si="102" xml:space="preserve"> $B53*(LOGNORMDIST(1.6,$I53,$J53)-LOGNORMDIST(1.5,$I53,$J53))</f>
        <v>0</v>
      </c>
      <c r="AZ53" s="6">
        <f t="shared" ref="AZ53:AZ65" si="103" xml:space="preserve"> $B53*(LOGNORMDIST(1.7,$I53,$J53)-LOGNORMDIST(1.6,$I53,$J53))</f>
        <v>0</v>
      </c>
      <c r="BA53" s="6">
        <f t="shared" ref="BA53:BA65" si="104" xml:space="preserve"> $B53*(LOGNORMDIST(1.8,$I53,$J53)-LOGNORMDIST(1.7,$I53,$J53))</f>
        <v>0</v>
      </c>
      <c r="BB53" s="6">
        <f t="shared" ref="BB53:BB65" si="105" xml:space="preserve"> $B53*(LOGNORMDIST(1.9,$I53,$J53)-LOGNORMDIST(1.8,$I53,$J53))</f>
        <v>0</v>
      </c>
      <c r="BC53" s="6">
        <f t="shared" ref="BC53:BC65" si="106" xml:space="preserve"> $B53*(LOGNORMDIST(2,$I53,$J53)-LOGNORMDIST(1.9,$I53,$J53))</f>
        <v>0</v>
      </c>
      <c r="BD53" s="6">
        <f t="shared" ref="BD53:BD65" si="107" xml:space="preserve"> $B53*(LOGNORMDIST(2.1,$I53,$J53)-LOGNORMDIST(2,$I53,$J53))</f>
        <v>0</v>
      </c>
      <c r="BE53" s="6">
        <f t="shared" ref="BE53:BE65" si="108" xml:space="preserve"> $B53*(LOGNORMDIST(2.2,$I53,$J53)-LOGNORMDIST(2.1,$I53,$J53))</f>
        <v>0</v>
      </c>
      <c r="BF53" s="6">
        <f t="shared" ref="BF53:BF65" si="109" xml:space="preserve"> $B53*(LOGNORMDIST(2.3,$I53,$J53)-LOGNORMDIST(2.2,$I53,$J53))</f>
        <v>0</v>
      </c>
      <c r="BG53" s="6">
        <f t="shared" ref="BG53:BG65" si="110" xml:space="preserve"> $B53*(LOGNORMDIST(2.4,$I53,$J53)-LOGNORMDIST(2.3,$I53,$J53))</f>
        <v>0</v>
      </c>
      <c r="BH53" s="25">
        <f t="shared" ref="BH53:BH65" si="111" xml:space="preserve"> $B53*(1-LOGNORMDIST(2.4,$I53,$J53))</f>
        <v>0</v>
      </c>
    </row>
    <row r="54" spans="1:60" ht="15.5" x14ac:dyDescent="0.35">
      <c r="A54" s="43" t="s">
        <v>62</v>
      </c>
      <c r="B54" s="57">
        <f>'Baseline and counterfactual'!B22</f>
        <v>8542758</v>
      </c>
      <c r="C54" s="26">
        <f>'Baseline and counterfactual'!C22</f>
        <v>0.67901</v>
      </c>
      <c r="D54" s="28">
        <f>'Baseline and counterfactual'!D22</f>
        <v>0.21728320000000001</v>
      </c>
      <c r="E54" s="49">
        <f>'Baseline and counterfactual'!E22</f>
        <v>9.9999999999999995E-7</v>
      </c>
      <c r="F54" s="27">
        <f t="shared" si="59"/>
        <v>3.2000000000000001E-7</v>
      </c>
      <c r="G54" s="49">
        <f t="shared" si="5"/>
        <v>-0.43586423463001789</v>
      </c>
      <c r="H54" s="27">
        <f t="shared" si="60"/>
        <v>0.31223328022050617</v>
      </c>
      <c r="I54" s="38">
        <f t="shared" si="7"/>
        <v>-13.864255368602903</v>
      </c>
      <c r="J54" s="41">
        <f t="shared" si="61"/>
        <v>0.31223328022050617</v>
      </c>
      <c r="K54" s="49">
        <f t="shared" si="62"/>
        <v>9.6127513107231877E-3</v>
      </c>
      <c r="L54" s="6">
        <f t="shared" si="63"/>
        <v>729.69934065394818</v>
      </c>
      <c r="M54" s="6">
        <f t="shared" si="64"/>
        <v>58607.771469364852</v>
      </c>
      <c r="N54" s="6">
        <f t="shared" si="65"/>
        <v>469813.38675363938</v>
      </c>
      <c r="O54" s="6">
        <f t="shared" si="66"/>
        <v>1221835.1858219004</v>
      </c>
      <c r="P54" s="6">
        <f t="shared" si="67"/>
        <v>1709972.1971968466</v>
      </c>
      <c r="Q54" s="6">
        <f t="shared" si="68"/>
        <v>1665604.4483671191</v>
      </c>
      <c r="R54" s="6">
        <f t="shared" si="69"/>
        <v>1298917.6448996831</v>
      </c>
      <c r="S54" s="6">
        <f t="shared" si="70"/>
        <v>879344.21238794434</v>
      </c>
      <c r="T54" s="6">
        <f t="shared" si="71"/>
        <v>542862.86187976669</v>
      </c>
      <c r="U54" s="6">
        <f t="shared" si="72"/>
        <v>315329.87184869969</v>
      </c>
      <c r="V54" s="6">
        <f t="shared" si="73"/>
        <v>175925.3559551854</v>
      </c>
      <c r="W54" s="6">
        <f t="shared" si="74"/>
        <v>95595.41791698584</v>
      </c>
      <c r="X54" s="6">
        <f t="shared" si="75"/>
        <v>51084.311570593723</v>
      </c>
      <c r="Y54" s="6">
        <f t="shared" si="76"/>
        <v>27029.678651999529</v>
      </c>
      <c r="Z54" s="6">
        <f t="shared" si="77"/>
        <v>14230.375495994134</v>
      </c>
      <c r="AA54" s="6">
        <f t="shared" si="78"/>
        <v>7480.7831550883484</v>
      </c>
      <c r="AB54" s="6">
        <f t="shared" si="79"/>
        <v>3936.8620527775442</v>
      </c>
      <c r="AC54" s="6">
        <f t="shared" si="80"/>
        <v>2077.9884256752312</v>
      </c>
      <c r="AD54" s="6">
        <f t="shared" si="81"/>
        <v>1101.6004066268051</v>
      </c>
      <c r="AE54" s="6">
        <f t="shared" si="82"/>
        <v>587.12327460938684</v>
      </c>
      <c r="AF54" s="6">
        <f t="shared" si="83"/>
        <v>314.82844166726528</v>
      </c>
      <c r="AG54" s="6">
        <f t="shared" si="84"/>
        <v>169.93474013293132</v>
      </c>
      <c r="AH54" s="6">
        <f t="shared" si="85"/>
        <v>92.365324363133212</v>
      </c>
      <c r="AI54" s="25">
        <f t="shared" si="86"/>
        <v>114.08500993131868</v>
      </c>
      <c r="AJ54" s="49">
        <f t="shared" si="87"/>
        <v>8542758</v>
      </c>
      <c r="AK54" s="6">
        <f t="shared" si="88"/>
        <v>0</v>
      </c>
      <c r="AL54" s="6">
        <f t="shared" si="89"/>
        <v>0</v>
      </c>
      <c r="AM54" s="6">
        <f t="shared" si="90"/>
        <v>0</v>
      </c>
      <c r="AN54" s="6">
        <f t="shared" si="91"/>
        <v>0</v>
      </c>
      <c r="AO54" s="6">
        <f t="shared" si="92"/>
        <v>0</v>
      </c>
      <c r="AP54" s="6">
        <f t="shared" si="93"/>
        <v>0</v>
      </c>
      <c r="AQ54" s="6">
        <f t="shared" si="94"/>
        <v>0</v>
      </c>
      <c r="AR54" s="6">
        <f t="shared" si="95"/>
        <v>0</v>
      </c>
      <c r="AS54" s="6">
        <f t="shared" si="96"/>
        <v>0</v>
      </c>
      <c r="AT54" s="6">
        <f t="shared" si="97"/>
        <v>0</v>
      </c>
      <c r="AU54" s="6">
        <f t="shared" si="98"/>
        <v>0</v>
      </c>
      <c r="AV54" s="6">
        <f t="shared" si="99"/>
        <v>0</v>
      </c>
      <c r="AW54" s="6">
        <f t="shared" si="100"/>
        <v>0</v>
      </c>
      <c r="AX54" s="6">
        <f t="shared" si="101"/>
        <v>0</v>
      </c>
      <c r="AY54" s="6">
        <f t="shared" si="102"/>
        <v>0</v>
      </c>
      <c r="AZ54" s="6">
        <f t="shared" si="103"/>
        <v>0</v>
      </c>
      <c r="BA54" s="6">
        <f t="shared" si="104"/>
        <v>0</v>
      </c>
      <c r="BB54" s="6">
        <f t="shared" si="105"/>
        <v>0</v>
      </c>
      <c r="BC54" s="6">
        <f t="shared" si="106"/>
        <v>0</v>
      </c>
      <c r="BD54" s="6">
        <f t="shared" si="107"/>
        <v>0</v>
      </c>
      <c r="BE54" s="6">
        <f t="shared" si="108"/>
        <v>0</v>
      </c>
      <c r="BF54" s="6">
        <f t="shared" si="109"/>
        <v>0</v>
      </c>
      <c r="BG54" s="6">
        <f t="shared" si="110"/>
        <v>0</v>
      </c>
      <c r="BH54" s="25">
        <f t="shared" si="111"/>
        <v>0</v>
      </c>
    </row>
    <row r="55" spans="1:60" ht="15.5" x14ac:dyDescent="0.35">
      <c r="A55" s="43" t="s">
        <v>63</v>
      </c>
      <c r="B55" s="57">
        <f>'Baseline and counterfactual'!B23</f>
        <v>8821067</v>
      </c>
      <c r="C55" s="26">
        <f>'Baseline and counterfactual'!C23</f>
        <v>0.67901</v>
      </c>
      <c r="D55" s="28">
        <f>'Baseline and counterfactual'!D23</f>
        <v>0.21728320000000001</v>
      </c>
      <c r="E55" s="49">
        <f>'Baseline and counterfactual'!E23</f>
        <v>9.9999999999999995E-7</v>
      </c>
      <c r="F55" s="27">
        <f t="shared" si="59"/>
        <v>3.2000000000000001E-7</v>
      </c>
      <c r="G55" s="49">
        <f t="shared" si="5"/>
        <v>-0.43586423463001789</v>
      </c>
      <c r="H55" s="27">
        <f t="shared" si="60"/>
        <v>0.31223328022050617</v>
      </c>
      <c r="I55" s="38">
        <f t="shared" si="7"/>
        <v>-13.864255368602903</v>
      </c>
      <c r="J55" s="41">
        <f t="shared" si="61"/>
        <v>0.31223328022050617</v>
      </c>
      <c r="K55" s="49">
        <f t="shared" si="62"/>
        <v>9.9259189322964611E-3</v>
      </c>
      <c r="L55" s="6">
        <f t="shared" si="63"/>
        <v>753.47174457760616</v>
      </c>
      <c r="M55" s="6">
        <f t="shared" si="64"/>
        <v>60517.116234822039</v>
      </c>
      <c r="N55" s="6">
        <f t="shared" si="65"/>
        <v>485119.13389689435</v>
      </c>
      <c r="O55" s="6">
        <f t="shared" si="66"/>
        <v>1261640.5658561829</v>
      </c>
      <c r="P55" s="6">
        <f t="shared" si="67"/>
        <v>1765680.2779161714</v>
      </c>
      <c r="Q55" s="6">
        <f t="shared" si="68"/>
        <v>1719867.1008290763</v>
      </c>
      <c r="R55" s="6">
        <f t="shared" si="69"/>
        <v>1341234.2446247819</v>
      </c>
      <c r="S55" s="6">
        <f t="shared" si="70"/>
        <v>907991.80001777969</v>
      </c>
      <c r="T55" s="6">
        <f t="shared" si="71"/>
        <v>560548.44073227502</v>
      </c>
      <c r="U55" s="6">
        <f t="shared" si="72"/>
        <v>325602.80025242362</v>
      </c>
      <c r="V55" s="6">
        <f t="shared" si="73"/>
        <v>181656.71459726934</v>
      </c>
      <c r="W55" s="6">
        <f t="shared" si="74"/>
        <v>98709.759346891544</v>
      </c>
      <c r="X55" s="6">
        <f t="shared" si="75"/>
        <v>52748.554391109108</v>
      </c>
      <c r="Y55" s="6">
        <f t="shared" si="76"/>
        <v>27910.261109791187</v>
      </c>
      <c r="Z55" s="6">
        <f t="shared" si="77"/>
        <v>14693.977716016596</v>
      </c>
      <c r="AA55" s="6">
        <f t="shared" si="78"/>
        <v>7724.4947619382074</v>
      </c>
      <c r="AB55" s="6">
        <f t="shared" si="79"/>
        <v>4065.1185410271778</v>
      </c>
      <c r="AC55" s="6">
        <f t="shared" si="80"/>
        <v>2145.6858696109307</v>
      </c>
      <c r="AD55" s="6">
        <f t="shared" si="81"/>
        <v>1137.4887353805752</v>
      </c>
      <c r="AE55" s="6">
        <f t="shared" si="82"/>
        <v>606.25078488572433</v>
      </c>
      <c r="AF55" s="6">
        <f t="shared" si="83"/>
        <v>325.08503430069527</v>
      </c>
      <c r="AG55" s="6">
        <f t="shared" si="84"/>
        <v>175.47093436805491</v>
      </c>
      <c r="AH55" s="6">
        <f t="shared" si="85"/>
        <v>95.37443465961816</v>
      </c>
      <c r="AI55" s="25">
        <f t="shared" si="86"/>
        <v>117.80171184760559</v>
      </c>
      <c r="AJ55" s="49">
        <f t="shared" si="87"/>
        <v>8821067</v>
      </c>
      <c r="AK55" s="6">
        <f t="shared" si="88"/>
        <v>0</v>
      </c>
      <c r="AL55" s="6">
        <f t="shared" si="89"/>
        <v>0</v>
      </c>
      <c r="AM55" s="6">
        <f t="shared" si="90"/>
        <v>0</v>
      </c>
      <c r="AN55" s="6">
        <f t="shared" si="91"/>
        <v>0</v>
      </c>
      <c r="AO55" s="6">
        <f t="shared" si="92"/>
        <v>0</v>
      </c>
      <c r="AP55" s="6">
        <f t="shared" si="93"/>
        <v>0</v>
      </c>
      <c r="AQ55" s="6">
        <f t="shared" si="94"/>
        <v>0</v>
      </c>
      <c r="AR55" s="6">
        <f t="shared" si="95"/>
        <v>0</v>
      </c>
      <c r="AS55" s="6">
        <f t="shared" si="96"/>
        <v>0</v>
      </c>
      <c r="AT55" s="6">
        <f t="shared" si="97"/>
        <v>0</v>
      </c>
      <c r="AU55" s="6">
        <f t="shared" si="98"/>
        <v>0</v>
      </c>
      <c r="AV55" s="6">
        <f t="shared" si="99"/>
        <v>0</v>
      </c>
      <c r="AW55" s="6">
        <f t="shared" si="100"/>
        <v>0</v>
      </c>
      <c r="AX55" s="6">
        <f t="shared" si="101"/>
        <v>0</v>
      </c>
      <c r="AY55" s="6">
        <f t="shared" si="102"/>
        <v>0</v>
      </c>
      <c r="AZ55" s="6">
        <f t="shared" si="103"/>
        <v>0</v>
      </c>
      <c r="BA55" s="6">
        <f t="shared" si="104"/>
        <v>0</v>
      </c>
      <c r="BB55" s="6">
        <f t="shared" si="105"/>
        <v>0</v>
      </c>
      <c r="BC55" s="6">
        <f t="shared" si="106"/>
        <v>0</v>
      </c>
      <c r="BD55" s="6">
        <f t="shared" si="107"/>
        <v>0</v>
      </c>
      <c r="BE55" s="6">
        <f t="shared" si="108"/>
        <v>0</v>
      </c>
      <c r="BF55" s="6">
        <f t="shared" si="109"/>
        <v>0</v>
      </c>
      <c r="BG55" s="6">
        <f t="shared" si="110"/>
        <v>0</v>
      </c>
      <c r="BH55" s="25">
        <f t="shared" si="111"/>
        <v>0</v>
      </c>
    </row>
    <row r="56" spans="1:60" ht="15.5" x14ac:dyDescent="0.35">
      <c r="A56" s="43" t="s">
        <v>64</v>
      </c>
      <c r="B56" s="57">
        <f>'Baseline and counterfactual'!B24</f>
        <v>7976620</v>
      </c>
      <c r="C56" s="26">
        <f>'Baseline and counterfactual'!C24</f>
        <v>0.67901</v>
      </c>
      <c r="D56" s="28">
        <f>'Baseline and counterfactual'!D24</f>
        <v>0.21728320000000001</v>
      </c>
      <c r="E56" s="49">
        <f>'Baseline and counterfactual'!E24</f>
        <v>9.9999999999999995E-7</v>
      </c>
      <c r="F56" s="27">
        <f t="shared" si="59"/>
        <v>3.2000000000000001E-7</v>
      </c>
      <c r="G56" s="49">
        <f t="shared" si="5"/>
        <v>-0.43586423463001789</v>
      </c>
      <c r="H56" s="27">
        <f t="shared" si="60"/>
        <v>0.31223328022050617</v>
      </c>
      <c r="I56" s="38">
        <f t="shared" si="7"/>
        <v>-13.864255368602903</v>
      </c>
      <c r="J56" s="41">
        <f t="shared" si="61"/>
        <v>0.31223328022050617</v>
      </c>
      <c r="K56" s="49">
        <f t="shared" si="62"/>
        <v>8.975703673233023E-3</v>
      </c>
      <c r="L56" s="6">
        <f t="shared" si="63"/>
        <v>681.34136009086251</v>
      </c>
      <c r="M56" s="6">
        <f t="shared" si="64"/>
        <v>54723.769777625108</v>
      </c>
      <c r="N56" s="6">
        <f t="shared" si="65"/>
        <v>438678.33515204518</v>
      </c>
      <c r="O56" s="6">
        <f t="shared" si="66"/>
        <v>1140862.8197042088</v>
      </c>
      <c r="P56" s="6">
        <f t="shared" si="67"/>
        <v>1596650.4526529149</v>
      </c>
      <c r="Q56" s="6">
        <f t="shared" si="68"/>
        <v>1555223.0035000558</v>
      </c>
      <c r="R56" s="6">
        <f t="shared" si="69"/>
        <v>1212836.9391547448</v>
      </c>
      <c r="S56" s="6">
        <f t="shared" si="70"/>
        <v>821069.10103480925</v>
      </c>
      <c r="T56" s="6">
        <f t="shared" si="71"/>
        <v>506886.74094799184</v>
      </c>
      <c r="U56" s="6">
        <f t="shared" si="72"/>
        <v>294432.61325976631</v>
      </c>
      <c r="V56" s="6">
        <f t="shared" si="73"/>
        <v>164266.58847403276</v>
      </c>
      <c r="W56" s="6">
        <f t="shared" si="74"/>
        <v>89260.204077534159</v>
      </c>
      <c r="X56" s="6">
        <f t="shared" si="75"/>
        <v>47698.897868841574</v>
      </c>
      <c r="Y56" s="6">
        <f t="shared" si="76"/>
        <v>25238.392019194795</v>
      </c>
      <c r="Z56" s="6">
        <f t="shared" si="77"/>
        <v>13287.312807978025</v>
      </c>
      <c r="AA56" s="6">
        <f t="shared" si="78"/>
        <v>6985.0234000004239</v>
      </c>
      <c r="AB56" s="6">
        <f t="shared" si="79"/>
        <v>3675.9618600253471</v>
      </c>
      <c r="AC56" s="6">
        <f t="shared" si="80"/>
        <v>1940.277839546615</v>
      </c>
      <c r="AD56" s="6">
        <f t="shared" si="81"/>
        <v>1028.5961320111733</v>
      </c>
      <c r="AE56" s="6">
        <f t="shared" si="82"/>
        <v>548.21396728254831</v>
      </c>
      <c r="AF56" s="6">
        <f t="shared" si="83"/>
        <v>293.96441340980766</v>
      </c>
      <c r="AG56" s="6">
        <f t="shared" si="84"/>
        <v>158.67297737324907</v>
      </c>
      <c r="AH56" s="6">
        <f t="shared" si="85"/>
        <v>86.244172388057308</v>
      </c>
      <c r="AI56" s="25">
        <f t="shared" si="86"/>
        <v>106.52447042493246</v>
      </c>
      <c r="AJ56" s="49">
        <f t="shared" si="87"/>
        <v>7976620</v>
      </c>
      <c r="AK56" s="6">
        <f t="shared" si="88"/>
        <v>0</v>
      </c>
      <c r="AL56" s="6">
        <f t="shared" si="89"/>
        <v>0</v>
      </c>
      <c r="AM56" s="6">
        <f t="shared" si="90"/>
        <v>0</v>
      </c>
      <c r="AN56" s="6">
        <f t="shared" si="91"/>
        <v>0</v>
      </c>
      <c r="AO56" s="6">
        <f t="shared" si="92"/>
        <v>0</v>
      </c>
      <c r="AP56" s="6">
        <f t="shared" si="93"/>
        <v>0</v>
      </c>
      <c r="AQ56" s="6">
        <f t="shared" si="94"/>
        <v>0</v>
      </c>
      <c r="AR56" s="6">
        <f t="shared" si="95"/>
        <v>0</v>
      </c>
      <c r="AS56" s="6">
        <f t="shared" si="96"/>
        <v>0</v>
      </c>
      <c r="AT56" s="6">
        <f t="shared" si="97"/>
        <v>0</v>
      </c>
      <c r="AU56" s="6">
        <f t="shared" si="98"/>
        <v>0</v>
      </c>
      <c r="AV56" s="6">
        <f t="shared" si="99"/>
        <v>0</v>
      </c>
      <c r="AW56" s="6">
        <f t="shared" si="100"/>
        <v>0</v>
      </c>
      <c r="AX56" s="6">
        <f t="shared" si="101"/>
        <v>0</v>
      </c>
      <c r="AY56" s="6">
        <f t="shared" si="102"/>
        <v>0</v>
      </c>
      <c r="AZ56" s="6">
        <f t="shared" si="103"/>
        <v>0</v>
      </c>
      <c r="BA56" s="6">
        <f t="shared" si="104"/>
        <v>0</v>
      </c>
      <c r="BB56" s="6">
        <f t="shared" si="105"/>
        <v>0</v>
      </c>
      <c r="BC56" s="6">
        <f t="shared" si="106"/>
        <v>0</v>
      </c>
      <c r="BD56" s="6">
        <f t="shared" si="107"/>
        <v>0</v>
      </c>
      <c r="BE56" s="6">
        <f t="shared" si="108"/>
        <v>0</v>
      </c>
      <c r="BF56" s="6">
        <f t="shared" si="109"/>
        <v>0</v>
      </c>
      <c r="BG56" s="6">
        <f t="shared" si="110"/>
        <v>0</v>
      </c>
      <c r="BH56" s="25">
        <f t="shared" si="111"/>
        <v>0</v>
      </c>
    </row>
    <row r="57" spans="1:60" ht="15.5" x14ac:dyDescent="0.35">
      <c r="A57" s="43" t="s">
        <v>65</v>
      </c>
      <c r="B57" s="57">
        <f>'Baseline and counterfactual'!B25</f>
        <v>7062001</v>
      </c>
      <c r="C57" s="26">
        <f>'Baseline and counterfactual'!C25</f>
        <v>0.67901</v>
      </c>
      <c r="D57" s="28">
        <f>'Baseline and counterfactual'!D25</f>
        <v>0.21728320000000001</v>
      </c>
      <c r="E57" s="49">
        <f>'Baseline and counterfactual'!E25</f>
        <v>9.9999999999999995E-7</v>
      </c>
      <c r="F57" s="27">
        <f t="shared" si="59"/>
        <v>3.2000000000000001E-7</v>
      </c>
      <c r="G57" s="49">
        <f t="shared" si="5"/>
        <v>-0.43586423463001789</v>
      </c>
      <c r="H57" s="27">
        <f t="shared" si="60"/>
        <v>0.31223328022050617</v>
      </c>
      <c r="I57" s="38">
        <f t="shared" si="7"/>
        <v>-13.864255368602903</v>
      </c>
      <c r="J57" s="41">
        <f t="shared" si="61"/>
        <v>0.31223328022050617</v>
      </c>
      <c r="K57" s="49">
        <f t="shared" si="62"/>
        <v>7.9465272654426662E-3</v>
      </c>
      <c r="L57" s="6">
        <f t="shared" si="63"/>
        <v>603.21707268279442</v>
      </c>
      <c r="M57" s="6">
        <f t="shared" si="64"/>
        <v>48449.006834142565</v>
      </c>
      <c r="N57" s="6">
        <f t="shared" si="65"/>
        <v>388378.39103806851</v>
      </c>
      <c r="O57" s="6">
        <f t="shared" si="66"/>
        <v>1010048.6639220549</v>
      </c>
      <c r="P57" s="6">
        <f t="shared" si="67"/>
        <v>1413574.5583073203</v>
      </c>
      <c r="Q57" s="6">
        <f t="shared" si="68"/>
        <v>1376897.2830522698</v>
      </c>
      <c r="R57" s="6">
        <f t="shared" si="69"/>
        <v>1073770.052622257</v>
      </c>
      <c r="S57" s="6">
        <f t="shared" si="70"/>
        <v>726923.28487215436</v>
      </c>
      <c r="T57" s="6">
        <f t="shared" si="71"/>
        <v>448765.85213554854</v>
      </c>
      <c r="U57" s="6">
        <f t="shared" si="72"/>
        <v>260672.24078282318</v>
      </c>
      <c r="V57" s="6">
        <f t="shared" si="73"/>
        <v>145431.37470134062</v>
      </c>
      <c r="W57" s="6">
        <f t="shared" si="74"/>
        <v>79025.408062030081</v>
      </c>
      <c r="X57" s="6">
        <f t="shared" si="75"/>
        <v>42229.624132609686</v>
      </c>
      <c r="Y57" s="6">
        <f t="shared" si="76"/>
        <v>22344.495497835633</v>
      </c>
      <c r="Z57" s="6">
        <f t="shared" si="77"/>
        <v>11763.756620881228</v>
      </c>
      <c r="AA57" s="6">
        <f t="shared" si="78"/>
        <v>6184.1033214351937</v>
      </c>
      <c r="AB57" s="6">
        <f t="shared" si="79"/>
        <v>3254.4669711558104</v>
      </c>
      <c r="AC57" s="6">
        <f t="shared" si="80"/>
        <v>1717.8007781687024</v>
      </c>
      <c r="AD57" s="6">
        <f t="shared" si="81"/>
        <v>910.65475262191728</v>
      </c>
      <c r="AE57" s="6">
        <f t="shared" si="82"/>
        <v>485.35439636880324</v>
      </c>
      <c r="AF57" s="6">
        <f t="shared" si="83"/>
        <v>260.25772588696401</v>
      </c>
      <c r="AG57" s="6">
        <f t="shared" si="84"/>
        <v>140.47914089963697</v>
      </c>
      <c r="AH57" s="6">
        <f t="shared" si="85"/>
        <v>76.355202034023563</v>
      </c>
      <c r="AI57" s="25">
        <f t="shared" si="86"/>
        <v>94.310110882221224</v>
      </c>
      <c r="AJ57" s="49">
        <f t="shared" si="87"/>
        <v>7062001</v>
      </c>
      <c r="AK57" s="6">
        <f t="shared" si="88"/>
        <v>0</v>
      </c>
      <c r="AL57" s="6">
        <f t="shared" si="89"/>
        <v>0</v>
      </c>
      <c r="AM57" s="6">
        <f t="shared" si="90"/>
        <v>0</v>
      </c>
      <c r="AN57" s="6">
        <f t="shared" si="91"/>
        <v>0</v>
      </c>
      <c r="AO57" s="6">
        <f t="shared" si="92"/>
        <v>0</v>
      </c>
      <c r="AP57" s="6">
        <f t="shared" si="93"/>
        <v>0</v>
      </c>
      <c r="AQ57" s="6">
        <f t="shared" si="94"/>
        <v>0</v>
      </c>
      <c r="AR57" s="6">
        <f t="shared" si="95"/>
        <v>0</v>
      </c>
      <c r="AS57" s="6">
        <f t="shared" si="96"/>
        <v>0</v>
      </c>
      <c r="AT57" s="6">
        <f t="shared" si="97"/>
        <v>0</v>
      </c>
      <c r="AU57" s="6">
        <f t="shared" si="98"/>
        <v>0</v>
      </c>
      <c r="AV57" s="6">
        <f t="shared" si="99"/>
        <v>0</v>
      </c>
      <c r="AW57" s="6">
        <f t="shared" si="100"/>
        <v>0</v>
      </c>
      <c r="AX57" s="6">
        <f t="shared" si="101"/>
        <v>0</v>
      </c>
      <c r="AY57" s="6">
        <f t="shared" si="102"/>
        <v>0</v>
      </c>
      <c r="AZ57" s="6">
        <f t="shared" si="103"/>
        <v>0</v>
      </c>
      <c r="BA57" s="6">
        <f t="shared" si="104"/>
        <v>0</v>
      </c>
      <c r="BB57" s="6">
        <f t="shared" si="105"/>
        <v>0</v>
      </c>
      <c r="BC57" s="6">
        <f t="shared" si="106"/>
        <v>0</v>
      </c>
      <c r="BD57" s="6">
        <f t="shared" si="107"/>
        <v>0</v>
      </c>
      <c r="BE57" s="6">
        <f t="shared" si="108"/>
        <v>0</v>
      </c>
      <c r="BF57" s="6">
        <f t="shared" si="109"/>
        <v>0</v>
      </c>
      <c r="BG57" s="6">
        <f t="shared" si="110"/>
        <v>0</v>
      </c>
      <c r="BH57" s="25">
        <f t="shared" si="111"/>
        <v>0</v>
      </c>
    </row>
    <row r="58" spans="1:60" ht="15.5" x14ac:dyDescent="0.35">
      <c r="A58" s="43" t="s">
        <v>66</v>
      </c>
      <c r="B58" s="57">
        <f>'Baseline and counterfactual'!B26</f>
        <v>6536311</v>
      </c>
      <c r="C58" s="26">
        <f>'Baseline and counterfactual'!C26</f>
        <v>0.67901</v>
      </c>
      <c r="D58" s="28">
        <f>'Baseline and counterfactual'!D26</f>
        <v>0.21728320000000001</v>
      </c>
      <c r="E58" s="49">
        <f>'Baseline and counterfactual'!E26</f>
        <v>9.9999999999999995E-7</v>
      </c>
      <c r="F58" s="27">
        <f t="shared" si="59"/>
        <v>3.2000000000000001E-7</v>
      </c>
      <c r="G58" s="49">
        <f t="shared" si="5"/>
        <v>-0.43586423463001789</v>
      </c>
      <c r="H58" s="27">
        <f t="shared" si="60"/>
        <v>0.31223328022050617</v>
      </c>
      <c r="I58" s="38">
        <f t="shared" si="7"/>
        <v>-13.864255368602903</v>
      </c>
      <c r="J58" s="41">
        <f t="shared" si="61"/>
        <v>0.31223328022050617</v>
      </c>
      <c r="K58" s="49">
        <f t="shared" si="62"/>
        <v>7.3549938008947921E-3</v>
      </c>
      <c r="L58" s="6">
        <f t="shared" si="63"/>
        <v>558.3140511541061</v>
      </c>
      <c r="M58" s="6">
        <f t="shared" si="64"/>
        <v>44842.499499657562</v>
      </c>
      <c r="N58" s="6">
        <f t="shared" si="65"/>
        <v>359467.79807938694</v>
      </c>
      <c r="O58" s="6">
        <f t="shared" si="66"/>
        <v>934861.40720300528</v>
      </c>
      <c r="P58" s="6">
        <f t="shared" si="67"/>
        <v>1308349.139965327</v>
      </c>
      <c r="Q58" s="6">
        <f t="shared" si="68"/>
        <v>1274402.0932713922</v>
      </c>
      <c r="R58" s="6">
        <f t="shared" si="69"/>
        <v>993839.42404219951</v>
      </c>
      <c r="S58" s="6">
        <f t="shared" si="70"/>
        <v>672811.66670268041</v>
      </c>
      <c r="T58" s="6">
        <f t="shared" si="71"/>
        <v>415360.06235880731</v>
      </c>
      <c r="U58" s="6">
        <f t="shared" si="72"/>
        <v>241267.99682178121</v>
      </c>
      <c r="V58" s="6">
        <f t="shared" si="73"/>
        <v>134605.57343527628</v>
      </c>
      <c r="W58" s="6">
        <f t="shared" si="74"/>
        <v>73142.816603302083</v>
      </c>
      <c r="X58" s="6">
        <f t="shared" si="75"/>
        <v>39086.082930863668</v>
      </c>
      <c r="Y58" s="6">
        <f t="shared" si="76"/>
        <v>20681.18819467082</v>
      </c>
      <c r="Z58" s="6">
        <f t="shared" si="77"/>
        <v>10888.071497354475</v>
      </c>
      <c r="AA58" s="6">
        <f t="shared" si="78"/>
        <v>5723.763359001704</v>
      </c>
      <c r="AB58" s="6">
        <f t="shared" si="79"/>
        <v>3012.2069173740429</v>
      </c>
      <c r="AC58" s="6">
        <f t="shared" si="80"/>
        <v>1589.9289906858764</v>
      </c>
      <c r="AD58" s="6">
        <f t="shared" si="81"/>
        <v>842.86630329915226</v>
      </c>
      <c r="AE58" s="6">
        <f t="shared" si="82"/>
        <v>449.22498310093255</v>
      </c>
      <c r="AF58" s="6">
        <f t="shared" si="83"/>
        <v>240.88433810048281</v>
      </c>
      <c r="AG58" s="6">
        <f t="shared" si="84"/>
        <v>130.02198016296614</v>
      </c>
      <c r="AH58" s="6">
        <f t="shared" si="85"/>
        <v>70.6713786874585</v>
      </c>
      <c r="AI58" s="25">
        <f t="shared" si="86"/>
        <v>87.289737734486621</v>
      </c>
      <c r="AJ58" s="49">
        <f t="shared" si="87"/>
        <v>6536311</v>
      </c>
      <c r="AK58" s="6">
        <f t="shared" si="88"/>
        <v>0</v>
      </c>
      <c r="AL58" s="6">
        <f t="shared" si="89"/>
        <v>0</v>
      </c>
      <c r="AM58" s="6">
        <f t="shared" si="90"/>
        <v>0</v>
      </c>
      <c r="AN58" s="6">
        <f t="shared" si="91"/>
        <v>0</v>
      </c>
      <c r="AO58" s="6">
        <f t="shared" si="92"/>
        <v>0</v>
      </c>
      <c r="AP58" s="6">
        <f t="shared" si="93"/>
        <v>0</v>
      </c>
      <c r="AQ58" s="6">
        <f t="shared" si="94"/>
        <v>0</v>
      </c>
      <c r="AR58" s="6">
        <f t="shared" si="95"/>
        <v>0</v>
      </c>
      <c r="AS58" s="6">
        <f t="shared" si="96"/>
        <v>0</v>
      </c>
      <c r="AT58" s="6">
        <f t="shared" si="97"/>
        <v>0</v>
      </c>
      <c r="AU58" s="6">
        <f t="shared" si="98"/>
        <v>0</v>
      </c>
      <c r="AV58" s="6">
        <f t="shared" si="99"/>
        <v>0</v>
      </c>
      <c r="AW58" s="6">
        <f t="shared" si="100"/>
        <v>0</v>
      </c>
      <c r="AX58" s="6">
        <f t="shared" si="101"/>
        <v>0</v>
      </c>
      <c r="AY58" s="6">
        <f t="shared" si="102"/>
        <v>0</v>
      </c>
      <c r="AZ58" s="6">
        <f t="shared" si="103"/>
        <v>0</v>
      </c>
      <c r="BA58" s="6">
        <f t="shared" si="104"/>
        <v>0</v>
      </c>
      <c r="BB58" s="6">
        <f t="shared" si="105"/>
        <v>0</v>
      </c>
      <c r="BC58" s="6">
        <f t="shared" si="106"/>
        <v>0</v>
      </c>
      <c r="BD58" s="6">
        <f t="shared" si="107"/>
        <v>0</v>
      </c>
      <c r="BE58" s="6">
        <f t="shared" si="108"/>
        <v>0</v>
      </c>
      <c r="BF58" s="6">
        <f t="shared" si="109"/>
        <v>0</v>
      </c>
      <c r="BG58" s="6">
        <f t="shared" si="110"/>
        <v>0</v>
      </c>
      <c r="BH58" s="25">
        <f t="shared" si="111"/>
        <v>0</v>
      </c>
    </row>
    <row r="59" spans="1:60" ht="15.5" x14ac:dyDescent="0.35">
      <c r="A59" s="43" t="s">
        <v>67</v>
      </c>
      <c r="B59" s="57">
        <f>'Baseline and counterfactual'!B27</f>
        <v>6027703</v>
      </c>
      <c r="C59" s="26">
        <f>'Baseline and counterfactual'!C27</f>
        <v>0.67901</v>
      </c>
      <c r="D59" s="28">
        <f>'Baseline and counterfactual'!D27</f>
        <v>0.21728320000000001</v>
      </c>
      <c r="E59" s="49">
        <f>'Baseline and counterfactual'!E27</f>
        <v>9.9999999999999995E-7</v>
      </c>
      <c r="F59" s="27">
        <f t="shared" si="59"/>
        <v>3.2000000000000001E-7</v>
      </c>
      <c r="G59" s="49">
        <f t="shared" si="5"/>
        <v>-0.43586423463001789</v>
      </c>
      <c r="H59" s="27">
        <f t="shared" si="60"/>
        <v>0.31223328022050617</v>
      </c>
      <c r="I59" s="38">
        <f t="shared" si="7"/>
        <v>-13.864255368602903</v>
      </c>
      <c r="J59" s="41">
        <f t="shared" si="61"/>
        <v>0.31223328022050617</v>
      </c>
      <c r="K59" s="49">
        <f t="shared" si="62"/>
        <v>6.7826818825840662E-3</v>
      </c>
      <c r="L59" s="6">
        <f t="shared" si="63"/>
        <v>514.8701279794916</v>
      </c>
      <c r="M59" s="6">
        <f t="shared" si="64"/>
        <v>41353.183586519124</v>
      </c>
      <c r="N59" s="6">
        <f t="shared" si="65"/>
        <v>331496.63852997735</v>
      </c>
      <c r="O59" s="6">
        <f t="shared" si="66"/>
        <v>862117.3179767268</v>
      </c>
      <c r="P59" s="6">
        <f t="shared" si="67"/>
        <v>1206542.9622330428</v>
      </c>
      <c r="Q59" s="6">
        <f t="shared" si="68"/>
        <v>1175237.426863295</v>
      </c>
      <c r="R59" s="6">
        <f t="shared" si="69"/>
        <v>916506.09614772594</v>
      </c>
      <c r="S59" s="6">
        <f t="shared" si="70"/>
        <v>620458.37504040846</v>
      </c>
      <c r="T59" s="6">
        <f t="shared" si="71"/>
        <v>383039.77487612964</v>
      </c>
      <c r="U59" s="6">
        <f t="shared" si="72"/>
        <v>222494.28282201398</v>
      </c>
      <c r="V59" s="6">
        <f t="shared" si="73"/>
        <v>124131.55047434785</v>
      </c>
      <c r="W59" s="6">
        <f t="shared" si="74"/>
        <v>67451.376635563051</v>
      </c>
      <c r="X59" s="6">
        <f t="shared" si="75"/>
        <v>36044.689327147331</v>
      </c>
      <c r="Y59" s="6">
        <f t="shared" si="76"/>
        <v>19071.929124024529</v>
      </c>
      <c r="Z59" s="6">
        <f t="shared" si="77"/>
        <v>10040.841267928969</v>
      </c>
      <c r="AA59" s="6">
        <f t="shared" si="78"/>
        <v>5278.3818839624746</v>
      </c>
      <c r="AB59" s="6">
        <f t="shared" si="79"/>
        <v>2777.8189673772054</v>
      </c>
      <c r="AC59" s="6">
        <f t="shared" si="80"/>
        <v>1466.2123248028174</v>
      </c>
      <c r="AD59" s="6">
        <f t="shared" si="81"/>
        <v>777.28060139659976</v>
      </c>
      <c r="AE59" s="6">
        <f t="shared" si="82"/>
        <v>414.26957473603079</v>
      </c>
      <c r="AF59" s="6">
        <f t="shared" si="83"/>
        <v>222.14047762129044</v>
      </c>
      <c r="AG59" s="6">
        <f t="shared" si="84"/>
        <v>119.90461896538454</v>
      </c>
      <c r="AH59" s="6">
        <f t="shared" si="85"/>
        <v>65.172247974205888</v>
      </c>
      <c r="AI59" s="25">
        <f t="shared" si="86"/>
        <v>80.497487651884711</v>
      </c>
      <c r="AJ59" s="49">
        <f t="shared" si="87"/>
        <v>6027703</v>
      </c>
      <c r="AK59" s="6">
        <f t="shared" si="88"/>
        <v>0</v>
      </c>
      <c r="AL59" s="6">
        <f t="shared" si="89"/>
        <v>0</v>
      </c>
      <c r="AM59" s="6">
        <f t="shared" si="90"/>
        <v>0</v>
      </c>
      <c r="AN59" s="6">
        <f t="shared" si="91"/>
        <v>0</v>
      </c>
      <c r="AO59" s="6">
        <f t="shared" si="92"/>
        <v>0</v>
      </c>
      <c r="AP59" s="6">
        <f t="shared" si="93"/>
        <v>0</v>
      </c>
      <c r="AQ59" s="6">
        <f t="shared" si="94"/>
        <v>0</v>
      </c>
      <c r="AR59" s="6">
        <f t="shared" si="95"/>
        <v>0</v>
      </c>
      <c r="AS59" s="6">
        <f t="shared" si="96"/>
        <v>0</v>
      </c>
      <c r="AT59" s="6">
        <f t="shared" si="97"/>
        <v>0</v>
      </c>
      <c r="AU59" s="6">
        <f t="shared" si="98"/>
        <v>0</v>
      </c>
      <c r="AV59" s="6">
        <f t="shared" si="99"/>
        <v>0</v>
      </c>
      <c r="AW59" s="6">
        <f t="shared" si="100"/>
        <v>0</v>
      </c>
      <c r="AX59" s="6">
        <f t="shared" si="101"/>
        <v>0</v>
      </c>
      <c r="AY59" s="6">
        <f t="shared" si="102"/>
        <v>0</v>
      </c>
      <c r="AZ59" s="6">
        <f t="shared" si="103"/>
        <v>0</v>
      </c>
      <c r="BA59" s="6">
        <f t="shared" si="104"/>
        <v>0</v>
      </c>
      <c r="BB59" s="6">
        <f t="shared" si="105"/>
        <v>0</v>
      </c>
      <c r="BC59" s="6">
        <f t="shared" si="106"/>
        <v>0</v>
      </c>
      <c r="BD59" s="6">
        <f t="shared" si="107"/>
        <v>0</v>
      </c>
      <c r="BE59" s="6">
        <f t="shared" si="108"/>
        <v>0</v>
      </c>
      <c r="BF59" s="6">
        <f t="shared" si="109"/>
        <v>0</v>
      </c>
      <c r="BG59" s="6">
        <f t="shared" si="110"/>
        <v>0</v>
      </c>
      <c r="BH59" s="25">
        <f t="shared" si="111"/>
        <v>0</v>
      </c>
    </row>
    <row r="60" spans="1:60" ht="15.5" x14ac:dyDescent="0.35">
      <c r="A60" s="43" t="s">
        <v>68</v>
      </c>
      <c r="B60" s="57">
        <f>'Baseline and counterfactual'!B28</f>
        <v>5120890</v>
      </c>
      <c r="C60" s="26">
        <f>'Baseline and counterfactual'!C28</f>
        <v>0.67901</v>
      </c>
      <c r="D60" s="28">
        <f>'Baseline and counterfactual'!D28</f>
        <v>0.21728320000000001</v>
      </c>
      <c r="E60" s="49">
        <f>'Baseline and counterfactual'!E28</f>
        <v>9.9999999999999995E-7</v>
      </c>
      <c r="F60" s="27">
        <f t="shared" si="59"/>
        <v>3.2000000000000001E-7</v>
      </c>
      <c r="G60" s="49">
        <f t="shared" si="5"/>
        <v>-0.43586423463001789</v>
      </c>
      <c r="H60" s="27">
        <f t="shared" si="60"/>
        <v>0.31223328022050617</v>
      </c>
      <c r="I60" s="38">
        <f t="shared" si="7"/>
        <v>-13.864255368602903</v>
      </c>
      <c r="J60" s="41">
        <f t="shared" si="61"/>
        <v>0.31223328022050617</v>
      </c>
      <c r="K60" s="49">
        <f t="shared" si="62"/>
        <v>5.7622891880548723E-3</v>
      </c>
      <c r="L60" s="6">
        <f t="shared" si="63"/>
        <v>437.41260803143399</v>
      </c>
      <c r="M60" s="6">
        <f t="shared" si="64"/>
        <v>35131.973870704962</v>
      </c>
      <c r="N60" s="6">
        <f t="shared" si="65"/>
        <v>281625.9894161633</v>
      </c>
      <c r="O60" s="6">
        <f t="shared" si="66"/>
        <v>732419.62194451853</v>
      </c>
      <c r="P60" s="6">
        <f t="shared" si="67"/>
        <v>1025029.5659672625</v>
      </c>
      <c r="Q60" s="6">
        <f t="shared" si="68"/>
        <v>998433.66317981808</v>
      </c>
      <c r="R60" s="6">
        <f t="shared" si="69"/>
        <v>778626.10395733302</v>
      </c>
      <c r="S60" s="6">
        <f t="shared" si="70"/>
        <v>527116.0653006091</v>
      </c>
      <c r="T60" s="6">
        <f t="shared" si="71"/>
        <v>325414.93049100519</v>
      </c>
      <c r="U60" s="6">
        <f t="shared" si="72"/>
        <v>189022.04504110824</v>
      </c>
      <c r="V60" s="6">
        <f t="shared" si="73"/>
        <v>105457.08962578003</v>
      </c>
      <c r="W60" s="6">
        <f t="shared" si="74"/>
        <v>57303.931547272397</v>
      </c>
      <c r="X60" s="6">
        <f t="shared" si="75"/>
        <v>30622.09420877165</v>
      </c>
      <c r="Y60" s="6">
        <f t="shared" si="76"/>
        <v>16202.73114516856</v>
      </c>
      <c r="Z60" s="6">
        <f t="shared" si="77"/>
        <v>8530.2881778556075</v>
      </c>
      <c r="AA60" s="6">
        <f t="shared" si="78"/>
        <v>4484.2974190607265</v>
      </c>
      <c r="AB60" s="6">
        <f t="shared" si="79"/>
        <v>2359.9214114982537</v>
      </c>
      <c r="AC60" s="6">
        <f t="shared" si="80"/>
        <v>1245.6340386975769</v>
      </c>
      <c r="AD60" s="6">
        <f t="shared" si="81"/>
        <v>660.34581645542812</v>
      </c>
      <c r="AE60" s="6">
        <f t="shared" si="82"/>
        <v>351.94649148605907</v>
      </c>
      <c r="AF60" s="6">
        <f t="shared" si="83"/>
        <v>188.7214666094348</v>
      </c>
      <c r="AG60" s="6">
        <f t="shared" si="84"/>
        <v>101.86606145220625</v>
      </c>
      <c r="AH60" s="6">
        <f t="shared" si="85"/>
        <v>55.367677028651073</v>
      </c>
      <c r="AI60" s="25">
        <f t="shared" si="86"/>
        <v>68.387374019864609</v>
      </c>
      <c r="AJ60" s="49">
        <f t="shared" si="87"/>
        <v>5120890</v>
      </c>
      <c r="AK60" s="6">
        <f t="shared" si="88"/>
        <v>0</v>
      </c>
      <c r="AL60" s="6">
        <f t="shared" si="89"/>
        <v>0</v>
      </c>
      <c r="AM60" s="6">
        <f t="shared" si="90"/>
        <v>0</v>
      </c>
      <c r="AN60" s="6">
        <f t="shared" si="91"/>
        <v>0</v>
      </c>
      <c r="AO60" s="6">
        <f t="shared" si="92"/>
        <v>0</v>
      </c>
      <c r="AP60" s="6">
        <f t="shared" si="93"/>
        <v>0</v>
      </c>
      <c r="AQ60" s="6">
        <f t="shared" si="94"/>
        <v>0</v>
      </c>
      <c r="AR60" s="6">
        <f t="shared" si="95"/>
        <v>0</v>
      </c>
      <c r="AS60" s="6">
        <f t="shared" si="96"/>
        <v>0</v>
      </c>
      <c r="AT60" s="6">
        <f t="shared" si="97"/>
        <v>0</v>
      </c>
      <c r="AU60" s="6">
        <f t="shared" si="98"/>
        <v>0</v>
      </c>
      <c r="AV60" s="6">
        <f t="shared" si="99"/>
        <v>0</v>
      </c>
      <c r="AW60" s="6">
        <f t="shared" si="100"/>
        <v>0</v>
      </c>
      <c r="AX60" s="6">
        <f t="shared" si="101"/>
        <v>0</v>
      </c>
      <c r="AY60" s="6">
        <f t="shared" si="102"/>
        <v>0</v>
      </c>
      <c r="AZ60" s="6">
        <f t="shared" si="103"/>
        <v>0</v>
      </c>
      <c r="BA60" s="6">
        <f t="shared" si="104"/>
        <v>0</v>
      </c>
      <c r="BB60" s="6">
        <f t="shared" si="105"/>
        <v>0</v>
      </c>
      <c r="BC60" s="6">
        <f t="shared" si="106"/>
        <v>0</v>
      </c>
      <c r="BD60" s="6">
        <f t="shared" si="107"/>
        <v>0</v>
      </c>
      <c r="BE60" s="6">
        <f t="shared" si="108"/>
        <v>0</v>
      </c>
      <c r="BF60" s="6">
        <f t="shared" si="109"/>
        <v>0</v>
      </c>
      <c r="BG60" s="6">
        <f t="shared" si="110"/>
        <v>0</v>
      </c>
      <c r="BH60" s="25">
        <f t="shared" si="111"/>
        <v>0</v>
      </c>
    </row>
    <row r="61" spans="1:60" ht="15.5" x14ac:dyDescent="0.35">
      <c r="A61" s="43" t="s">
        <v>69</v>
      </c>
      <c r="B61" s="57">
        <f>'Baseline and counterfactual'!B29</f>
        <v>4141984</v>
      </c>
      <c r="C61" s="26">
        <f>'Baseline and counterfactual'!C29</f>
        <v>0.67901</v>
      </c>
      <c r="D61" s="28">
        <f>'Baseline and counterfactual'!D29</f>
        <v>0.21728320000000001</v>
      </c>
      <c r="E61" s="49">
        <f>'Baseline and counterfactual'!E29</f>
        <v>9.9999999999999995E-7</v>
      </c>
      <c r="F61" s="27">
        <f t="shared" si="59"/>
        <v>3.2000000000000001E-7</v>
      </c>
      <c r="G61" s="49">
        <f t="shared" si="5"/>
        <v>-0.43586423463001789</v>
      </c>
      <c r="H61" s="27">
        <f t="shared" si="60"/>
        <v>0.31223328022050617</v>
      </c>
      <c r="I61" s="38">
        <f t="shared" si="7"/>
        <v>-13.864255368602903</v>
      </c>
      <c r="J61" s="41">
        <f t="shared" si="61"/>
        <v>0.31223328022050617</v>
      </c>
      <c r="K61" s="49">
        <f t="shared" si="62"/>
        <v>4.6607737366544241E-3</v>
      </c>
      <c r="L61" s="6">
        <f t="shared" si="63"/>
        <v>353.79709852476253</v>
      </c>
      <c r="M61" s="6">
        <f t="shared" si="64"/>
        <v>28416.168607581501</v>
      </c>
      <c r="N61" s="6">
        <f t="shared" si="65"/>
        <v>227790.54854642801</v>
      </c>
      <c r="O61" s="6">
        <f t="shared" si="66"/>
        <v>592410.76363293186</v>
      </c>
      <c r="P61" s="6">
        <f t="shared" si="67"/>
        <v>829085.581171114</v>
      </c>
      <c r="Q61" s="6">
        <f t="shared" si="68"/>
        <v>807573.73385333328</v>
      </c>
      <c r="R61" s="6">
        <f t="shared" si="69"/>
        <v>629784.44461287197</v>
      </c>
      <c r="S61" s="6">
        <f t="shared" si="70"/>
        <v>426352.90127655113</v>
      </c>
      <c r="T61" s="6">
        <f t="shared" si="71"/>
        <v>263208.82414089266</v>
      </c>
      <c r="U61" s="6">
        <f t="shared" si="72"/>
        <v>152888.71391643828</v>
      </c>
      <c r="V61" s="6">
        <f t="shared" si="73"/>
        <v>85297.980998722269</v>
      </c>
      <c r="W61" s="6">
        <f t="shared" si="74"/>
        <v>46349.749283014768</v>
      </c>
      <c r="X61" s="6">
        <f t="shared" si="75"/>
        <v>24768.394607036051</v>
      </c>
      <c r="Y61" s="6">
        <f t="shared" si="76"/>
        <v>13105.427603324784</v>
      </c>
      <c r="Z61" s="6">
        <f t="shared" si="77"/>
        <v>6899.6438408298318</v>
      </c>
      <c r="AA61" s="6">
        <f t="shared" si="78"/>
        <v>3627.0820425728389</v>
      </c>
      <c r="AB61" s="6">
        <f t="shared" si="79"/>
        <v>1908.8003701862729</v>
      </c>
      <c r="AC61" s="6">
        <f t="shared" si="80"/>
        <v>1007.5194464518363</v>
      </c>
      <c r="AD61" s="6">
        <f t="shared" si="81"/>
        <v>534.11453989937684</v>
      </c>
      <c r="AE61" s="6">
        <f t="shared" si="82"/>
        <v>284.66862920144604</v>
      </c>
      <c r="AF61" s="6">
        <f t="shared" si="83"/>
        <v>152.64559386216325</v>
      </c>
      <c r="AG61" s="6">
        <f t="shared" si="84"/>
        <v>82.393411433960722</v>
      </c>
      <c r="AH61" s="6">
        <f t="shared" si="85"/>
        <v>44.783627918162722</v>
      </c>
      <c r="AI61" s="25">
        <f t="shared" si="86"/>
        <v>55.314488105054956</v>
      </c>
      <c r="AJ61" s="49">
        <f t="shared" si="87"/>
        <v>4141984</v>
      </c>
      <c r="AK61" s="6">
        <f t="shared" si="88"/>
        <v>0</v>
      </c>
      <c r="AL61" s="6">
        <f t="shared" si="89"/>
        <v>0</v>
      </c>
      <c r="AM61" s="6">
        <f t="shared" si="90"/>
        <v>0</v>
      </c>
      <c r="AN61" s="6">
        <f t="shared" si="91"/>
        <v>0</v>
      </c>
      <c r="AO61" s="6">
        <f t="shared" si="92"/>
        <v>0</v>
      </c>
      <c r="AP61" s="6">
        <f t="shared" si="93"/>
        <v>0</v>
      </c>
      <c r="AQ61" s="6">
        <f t="shared" si="94"/>
        <v>0</v>
      </c>
      <c r="AR61" s="6">
        <f t="shared" si="95"/>
        <v>0</v>
      </c>
      <c r="AS61" s="6">
        <f t="shared" si="96"/>
        <v>0</v>
      </c>
      <c r="AT61" s="6">
        <f t="shared" si="97"/>
        <v>0</v>
      </c>
      <c r="AU61" s="6">
        <f t="shared" si="98"/>
        <v>0</v>
      </c>
      <c r="AV61" s="6">
        <f t="shared" si="99"/>
        <v>0</v>
      </c>
      <c r="AW61" s="6">
        <f t="shared" si="100"/>
        <v>0</v>
      </c>
      <c r="AX61" s="6">
        <f t="shared" si="101"/>
        <v>0</v>
      </c>
      <c r="AY61" s="6">
        <f t="shared" si="102"/>
        <v>0</v>
      </c>
      <c r="AZ61" s="6">
        <f t="shared" si="103"/>
        <v>0</v>
      </c>
      <c r="BA61" s="6">
        <f t="shared" si="104"/>
        <v>0</v>
      </c>
      <c r="BB61" s="6">
        <f t="shared" si="105"/>
        <v>0</v>
      </c>
      <c r="BC61" s="6">
        <f t="shared" si="106"/>
        <v>0</v>
      </c>
      <c r="BD61" s="6">
        <f t="shared" si="107"/>
        <v>0</v>
      </c>
      <c r="BE61" s="6">
        <f t="shared" si="108"/>
        <v>0</v>
      </c>
      <c r="BF61" s="6">
        <f t="shared" si="109"/>
        <v>0</v>
      </c>
      <c r="BG61" s="6">
        <f t="shared" si="110"/>
        <v>0</v>
      </c>
      <c r="BH61" s="25">
        <f t="shared" si="111"/>
        <v>0</v>
      </c>
    </row>
    <row r="62" spans="1:60" ht="15.5" x14ac:dyDescent="0.35">
      <c r="A62" s="43" t="s">
        <v>70</v>
      </c>
      <c r="B62" s="57">
        <f>'Baseline and counterfactual'!B30</f>
        <v>3172657</v>
      </c>
      <c r="C62" s="26">
        <f>'Baseline and counterfactual'!C30</f>
        <v>0.67901</v>
      </c>
      <c r="D62" s="28">
        <f>'Baseline and counterfactual'!D30</f>
        <v>0.21728320000000001</v>
      </c>
      <c r="E62" s="49">
        <f>'Baseline and counterfactual'!E30</f>
        <v>9.9999999999999995E-7</v>
      </c>
      <c r="F62" s="27">
        <f t="shared" si="59"/>
        <v>3.2000000000000001E-7</v>
      </c>
      <c r="G62" s="49">
        <f t="shared" si="5"/>
        <v>-0.43586423463001789</v>
      </c>
      <c r="H62" s="27">
        <f t="shared" si="60"/>
        <v>0.31223328022050617</v>
      </c>
      <c r="I62" s="38">
        <f t="shared" si="7"/>
        <v>-13.864255368602903</v>
      </c>
      <c r="J62" s="41">
        <f t="shared" si="61"/>
        <v>0.31223328022050617</v>
      </c>
      <c r="K62" s="49">
        <f t="shared" si="62"/>
        <v>3.5700370694364859E-3</v>
      </c>
      <c r="L62" s="6">
        <f t="shared" si="63"/>
        <v>270.99980135468354</v>
      </c>
      <c r="M62" s="6">
        <f t="shared" si="64"/>
        <v>21766.080276028035</v>
      </c>
      <c r="N62" s="6">
        <f t="shared" si="65"/>
        <v>174481.90972723812</v>
      </c>
      <c r="O62" s="6">
        <f t="shared" si="66"/>
        <v>453771.94989535614</v>
      </c>
      <c r="P62" s="6">
        <f t="shared" si="67"/>
        <v>635058.98929150926</v>
      </c>
      <c r="Q62" s="6">
        <f t="shared" si="68"/>
        <v>618581.44785830041</v>
      </c>
      <c r="R62" s="6">
        <f t="shared" si="69"/>
        <v>482399.26245300332</v>
      </c>
      <c r="S62" s="6">
        <f t="shared" si="70"/>
        <v>326575.7464793101</v>
      </c>
      <c r="T62" s="6">
        <f t="shared" si="71"/>
        <v>201611.43026442689</v>
      </c>
      <c r="U62" s="6">
        <f t="shared" si="72"/>
        <v>117108.96237841221</v>
      </c>
      <c r="V62" s="6">
        <f t="shared" si="73"/>
        <v>65336.137585626406</v>
      </c>
      <c r="W62" s="6">
        <f t="shared" si="74"/>
        <v>35502.758221905686</v>
      </c>
      <c r="X62" s="6">
        <f t="shared" si="75"/>
        <v>18971.975876482182</v>
      </c>
      <c r="Y62" s="6">
        <f t="shared" si="76"/>
        <v>10038.4324574121</v>
      </c>
      <c r="Z62" s="6">
        <f t="shared" si="77"/>
        <v>5284.9560329338919</v>
      </c>
      <c r="AA62" s="6">
        <f t="shared" si="78"/>
        <v>2778.2548730132744</v>
      </c>
      <c r="AB62" s="6">
        <f t="shared" si="79"/>
        <v>1462.0937348077805</v>
      </c>
      <c r="AC62" s="6">
        <f t="shared" si="80"/>
        <v>771.73490395461295</v>
      </c>
      <c r="AD62" s="6">
        <f t="shared" si="81"/>
        <v>409.11848858265444</v>
      </c>
      <c r="AE62" s="6">
        <f t="shared" si="82"/>
        <v>218.04910861953405</v>
      </c>
      <c r="AF62" s="6">
        <f t="shared" si="83"/>
        <v>116.92273844755299</v>
      </c>
      <c r="AG62" s="6">
        <f t="shared" si="84"/>
        <v>63.111309348330536</v>
      </c>
      <c r="AH62" s="6">
        <f t="shared" si="85"/>
        <v>34.303148104858536</v>
      </c>
      <c r="AI62" s="25">
        <f t="shared" si="86"/>
        <v>42.369525784725226</v>
      </c>
      <c r="AJ62" s="49">
        <f t="shared" si="87"/>
        <v>3172657</v>
      </c>
      <c r="AK62" s="6">
        <f t="shared" si="88"/>
        <v>0</v>
      </c>
      <c r="AL62" s="6">
        <f t="shared" si="89"/>
        <v>0</v>
      </c>
      <c r="AM62" s="6">
        <f t="shared" si="90"/>
        <v>0</v>
      </c>
      <c r="AN62" s="6">
        <f t="shared" si="91"/>
        <v>0</v>
      </c>
      <c r="AO62" s="6">
        <f t="shared" si="92"/>
        <v>0</v>
      </c>
      <c r="AP62" s="6">
        <f t="shared" si="93"/>
        <v>0</v>
      </c>
      <c r="AQ62" s="6">
        <f t="shared" si="94"/>
        <v>0</v>
      </c>
      <c r="AR62" s="6">
        <f t="shared" si="95"/>
        <v>0</v>
      </c>
      <c r="AS62" s="6">
        <f t="shared" si="96"/>
        <v>0</v>
      </c>
      <c r="AT62" s="6">
        <f t="shared" si="97"/>
        <v>0</v>
      </c>
      <c r="AU62" s="6">
        <f t="shared" si="98"/>
        <v>0</v>
      </c>
      <c r="AV62" s="6">
        <f t="shared" si="99"/>
        <v>0</v>
      </c>
      <c r="AW62" s="6">
        <f t="shared" si="100"/>
        <v>0</v>
      </c>
      <c r="AX62" s="6">
        <f t="shared" si="101"/>
        <v>0</v>
      </c>
      <c r="AY62" s="6">
        <f t="shared" si="102"/>
        <v>0</v>
      </c>
      <c r="AZ62" s="6">
        <f t="shared" si="103"/>
        <v>0</v>
      </c>
      <c r="BA62" s="6">
        <f t="shared" si="104"/>
        <v>0</v>
      </c>
      <c r="BB62" s="6">
        <f t="shared" si="105"/>
        <v>0</v>
      </c>
      <c r="BC62" s="6">
        <f t="shared" si="106"/>
        <v>0</v>
      </c>
      <c r="BD62" s="6">
        <f t="shared" si="107"/>
        <v>0</v>
      </c>
      <c r="BE62" s="6">
        <f t="shared" si="108"/>
        <v>0</v>
      </c>
      <c r="BF62" s="6">
        <f t="shared" si="109"/>
        <v>0</v>
      </c>
      <c r="BG62" s="6">
        <f t="shared" si="110"/>
        <v>0</v>
      </c>
      <c r="BH62" s="25">
        <f t="shared" si="111"/>
        <v>0</v>
      </c>
    </row>
    <row r="63" spans="1:60" ht="15.5" x14ac:dyDescent="0.35">
      <c r="A63" s="43" t="s">
        <v>71</v>
      </c>
      <c r="B63" s="57">
        <f>'Baseline and counterfactual'!B31</f>
        <v>2283021</v>
      </c>
      <c r="C63" s="26">
        <f>'Baseline and counterfactual'!C31</f>
        <v>0.67901</v>
      </c>
      <c r="D63" s="28">
        <f>'Baseline and counterfactual'!D31</f>
        <v>0.21728320000000001</v>
      </c>
      <c r="E63" s="49">
        <f>'Baseline and counterfactual'!E31</f>
        <v>9.9999999999999995E-7</v>
      </c>
      <c r="F63" s="27">
        <f t="shared" si="59"/>
        <v>3.2000000000000001E-7</v>
      </c>
      <c r="G63" s="49">
        <f t="shared" si="5"/>
        <v>-0.43586423463001789</v>
      </c>
      <c r="H63" s="27">
        <f t="shared" si="60"/>
        <v>0.31223328022050617</v>
      </c>
      <c r="I63" s="38">
        <f t="shared" si="7"/>
        <v>-13.864255368602903</v>
      </c>
      <c r="J63" s="41">
        <f t="shared" si="61"/>
        <v>0.31223328022050617</v>
      </c>
      <c r="K63" s="49">
        <f t="shared" si="62"/>
        <v>2.5689728200375761E-3</v>
      </c>
      <c r="L63" s="6">
        <f t="shared" si="63"/>
        <v>195.00949440439697</v>
      </c>
      <c r="M63" s="6">
        <f t="shared" si="64"/>
        <v>15662.713731064467</v>
      </c>
      <c r="N63" s="6">
        <f t="shared" si="65"/>
        <v>125555.91859674365</v>
      </c>
      <c r="O63" s="6">
        <f t="shared" si="66"/>
        <v>326531.00881124113</v>
      </c>
      <c r="P63" s="6">
        <f t="shared" si="67"/>
        <v>456983.84943323245</v>
      </c>
      <c r="Q63" s="6">
        <f t="shared" si="68"/>
        <v>445126.7299524988</v>
      </c>
      <c r="R63" s="6">
        <f t="shared" si="69"/>
        <v>347131.01560134551</v>
      </c>
      <c r="S63" s="6">
        <f t="shared" si="70"/>
        <v>235001.54202075454</v>
      </c>
      <c r="T63" s="6">
        <f t="shared" si="71"/>
        <v>145078.12509632215</v>
      </c>
      <c r="U63" s="6">
        <f t="shared" si="72"/>
        <v>84270.761194205683</v>
      </c>
      <c r="V63" s="6">
        <f t="shared" si="73"/>
        <v>47015.411425462757</v>
      </c>
      <c r="W63" s="6">
        <f t="shared" si="74"/>
        <v>25547.527696354613</v>
      </c>
      <c r="X63" s="6">
        <f t="shared" si="75"/>
        <v>13652.096440775736</v>
      </c>
      <c r="Y63" s="6">
        <f t="shared" si="76"/>
        <v>7223.583295437682</v>
      </c>
      <c r="Z63" s="6">
        <f t="shared" si="77"/>
        <v>3803.016086285018</v>
      </c>
      <c r="AA63" s="6">
        <f t="shared" si="78"/>
        <v>1999.2120857822447</v>
      </c>
      <c r="AB63" s="6">
        <f t="shared" si="79"/>
        <v>1052.1120627078797</v>
      </c>
      <c r="AC63" s="6">
        <f t="shared" si="80"/>
        <v>555.33484778258867</v>
      </c>
      <c r="AD63" s="6">
        <f t="shared" si="81"/>
        <v>294.39870144250079</v>
      </c>
      <c r="AE63" s="6">
        <f t="shared" si="82"/>
        <v>156.90655939475249</v>
      </c>
      <c r="AF63" s="6">
        <f t="shared" si="83"/>
        <v>84.136755802241112</v>
      </c>
      <c r="AG63" s="6">
        <f t="shared" si="84"/>
        <v>45.414441138684367</v>
      </c>
      <c r="AH63" s="6">
        <f t="shared" si="85"/>
        <v>24.684296944013248</v>
      </c>
      <c r="AI63" s="25">
        <f t="shared" si="86"/>
        <v>30.488803903658408</v>
      </c>
      <c r="AJ63" s="49">
        <f t="shared" si="87"/>
        <v>2283021</v>
      </c>
      <c r="AK63" s="6">
        <f t="shared" si="88"/>
        <v>0</v>
      </c>
      <c r="AL63" s="6">
        <f t="shared" si="89"/>
        <v>0</v>
      </c>
      <c r="AM63" s="6">
        <f t="shared" si="90"/>
        <v>0</v>
      </c>
      <c r="AN63" s="6">
        <f t="shared" si="91"/>
        <v>0</v>
      </c>
      <c r="AO63" s="6">
        <f t="shared" si="92"/>
        <v>0</v>
      </c>
      <c r="AP63" s="6">
        <f t="shared" si="93"/>
        <v>0</v>
      </c>
      <c r="AQ63" s="6">
        <f t="shared" si="94"/>
        <v>0</v>
      </c>
      <c r="AR63" s="6">
        <f t="shared" si="95"/>
        <v>0</v>
      </c>
      <c r="AS63" s="6">
        <f t="shared" si="96"/>
        <v>0</v>
      </c>
      <c r="AT63" s="6">
        <f t="shared" si="97"/>
        <v>0</v>
      </c>
      <c r="AU63" s="6">
        <f t="shared" si="98"/>
        <v>0</v>
      </c>
      <c r="AV63" s="6">
        <f t="shared" si="99"/>
        <v>0</v>
      </c>
      <c r="AW63" s="6">
        <f t="shared" si="100"/>
        <v>0</v>
      </c>
      <c r="AX63" s="6">
        <f t="shared" si="101"/>
        <v>0</v>
      </c>
      <c r="AY63" s="6">
        <f t="shared" si="102"/>
        <v>0</v>
      </c>
      <c r="AZ63" s="6">
        <f t="shared" si="103"/>
        <v>0</v>
      </c>
      <c r="BA63" s="6">
        <f t="shared" si="104"/>
        <v>0</v>
      </c>
      <c r="BB63" s="6">
        <f t="shared" si="105"/>
        <v>0</v>
      </c>
      <c r="BC63" s="6">
        <f t="shared" si="106"/>
        <v>0</v>
      </c>
      <c r="BD63" s="6">
        <f t="shared" si="107"/>
        <v>0</v>
      </c>
      <c r="BE63" s="6">
        <f t="shared" si="108"/>
        <v>0</v>
      </c>
      <c r="BF63" s="6">
        <f t="shared" si="109"/>
        <v>0</v>
      </c>
      <c r="BG63" s="6">
        <f t="shared" si="110"/>
        <v>0</v>
      </c>
      <c r="BH63" s="25">
        <f t="shared" si="111"/>
        <v>0</v>
      </c>
    </row>
    <row r="64" spans="1:60" ht="15.5" x14ac:dyDescent="0.35">
      <c r="A64" s="43" t="s">
        <v>72</v>
      </c>
      <c r="B64" s="57">
        <f>'Baseline and counterfactual'!B32</f>
        <v>1691282</v>
      </c>
      <c r="C64" s="26">
        <f>'Baseline and counterfactual'!C32</f>
        <v>0.67901</v>
      </c>
      <c r="D64" s="28">
        <f>'Baseline and counterfactual'!D32</f>
        <v>0.21728320000000001</v>
      </c>
      <c r="E64" s="49">
        <f>'Baseline and counterfactual'!E32</f>
        <v>9.9999999999999995E-7</v>
      </c>
      <c r="F64" s="27">
        <f t="shared" si="59"/>
        <v>3.2000000000000001E-7</v>
      </c>
      <c r="G64" s="49">
        <f t="shared" si="5"/>
        <v>-0.43586423463001789</v>
      </c>
      <c r="H64" s="27">
        <f t="shared" si="60"/>
        <v>0.31223328022050617</v>
      </c>
      <c r="I64" s="38">
        <f t="shared" si="7"/>
        <v>-13.864255368602903</v>
      </c>
      <c r="J64" s="41">
        <f t="shared" si="61"/>
        <v>0.31223328022050617</v>
      </c>
      <c r="K64" s="49">
        <f t="shared" si="62"/>
        <v>1.903117618724835E-3</v>
      </c>
      <c r="L64" s="6">
        <f t="shared" si="63"/>
        <v>144.46474549084627</v>
      </c>
      <c r="M64" s="6">
        <f t="shared" si="64"/>
        <v>11603.075838768969</v>
      </c>
      <c r="N64" s="6">
        <f t="shared" si="65"/>
        <v>93012.926782599796</v>
      </c>
      <c r="O64" s="6">
        <f t="shared" si="66"/>
        <v>241897.03802299389</v>
      </c>
      <c r="P64" s="6">
        <f t="shared" si="67"/>
        <v>338537.64763317385</v>
      </c>
      <c r="Q64" s="6">
        <f t="shared" si="68"/>
        <v>329753.7894252931</v>
      </c>
      <c r="R64" s="6">
        <f t="shared" si="69"/>
        <v>257157.70390560353</v>
      </c>
      <c r="S64" s="6">
        <f t="shared" si="70"/>
        <v>174091.20546501578</v>
      </c>
      <c r="T64" s="6">
        <f t="shared" si="71"/>
        <v>107475.14874771539</v>
      </c>
      <c r="U64" s="6">
        <f t="shared" si="72"/>
        <v>62428.519726300627</v>
      </c>
      <c r="V64" s="6">
        <f t="shared" si="73"/>
        <v>34829.429543784092</v>
      </c>
      <c r="W64" s="6">
        <f t="shared" si="74"/>
        <v>18925.832805456463</v>
      </c>
      <c r="X64" s="6">
        <f t="shared" si="75"/>
        <v>10113.592898421903</v>
      </c>
      <c r="Y64" s="6">
        <f t="shared" si="76"/>
        <v>5351.2939228655514</v>
      </c>
      <c r="Z64" s="6">
        <f t="shared" si="77"/>
        <v>2817.3077043287371</v>
      </c>
      <c r="AA64" s="6">
        <f t="shared" si="78"/>
        <v>1481.0338647195827</v>
      </c>
      <c r="AB64" s="6">
        <f t="shared" si="79"/>
        <v>779.41385280324107</v>
      </c>
      <c r="AC64" s="6">
        <f t="shared" si="80"/>
        <v>411.39693065785735</v>
      </c>
      <c r="AD64" s="6">
        <f t="shared" si="81"/>
        <v>218.09314262684211</v>
      </c>
      <c r="AE64" s="6">
        <f t="shared" si="82"/>
        <v>116.23775672071163</v>
      </c>
      <c r="AF64" s="6">
        <f t="shared" si="83"/>
        <v>62.329247355467139</v>
      </c>
      <c r="AG64" s="6">
        <f t="shared" si="84"/>
        <v>33.643416700028766</v>
      </c>
      <c r="AH64" s="6">
        <f t="shared" si="85"/>
        <v>18.28634388560798</v>
      </c>
      <c r="AI64" s="25">
        <f t="shared" si="86"/>
        <v>22.586373600500039</v>
      </c>
      <c r="AJ64" s="49">
        <f t="shared" si="87"/>
        <v>1691282</v>
      </c>
      <c r="AK64" s="6">
        <f t="shared" si="88"/>
        <v>0</v>
      </c>
      <c r="AL64" s="6">
        <f t="shared" si="89"/>
        <v>0</v>
      </c>
      <c r="AM64" s="6">
        <f t="shared" si="90"/>
        <v>0</v>
      </c>
      <c r="AN64" s="6">
        <f t="shared" si="91"/>
        <v>0</v>
      </c>
      <c r="AO64" s="6">
        <f t="shared" si="92"/>
        <v>0</v>
      </c>
      <c r="AP64" s="6">
        <f t="shared" si="93"/>
        <v>0</v>
      </c>
      <c r="AQ64" s="6">
        <f t="shared" si="94"/>
        <v>0</v>
      </c>
      <c r="AR64" s="6">
        <f t="shared" si="95"/>
        <v>0</v>
      </c>
      <c r="AS64" s="6">
        <f t="shared" si="96"/>
        <v>0</v>
      </c>
      <c r="AT64" s="6">
        <f t="shared" si="97"/>
        <v>0</v>
      </c>
      <c r="AU64" s="6">
        <f t="shared" si="98"/>
        <v>0</v>
      </c>
      <c r="AV64" s="6">
        <f t="shared" si="99"/>
        <v>0</v>
      </c>
      <c r="AW64" s="6">
        <f t="shared" si="100"/>
        <v>0</v>
      </c>
      <c r="AX64" s="6">
        <f t="shared" si="101"/>
        <v>0</v>
      </c>
      <c r="AY64" s="6">
        <f t="shared" si="102"/>
        <v>0</v>
      </c>
      <c r="AZ64" s="6">
        <f t="shared" si="103"/>
        <v>0</v>
      </c>
      <c r="BA64" s="6">
        <f t="shared" si="104"/>
        <v>0</v>
      </c>
      <c r="BB64" s="6">
        <f t="shared" si="105"/>
        <v>0</v>
      </c>
      <c r="BC64" s="6">
        <f t="shared" si="106"/>
        <v>0</v>
      </c>
      <c r="BD64" s="6">
        <f t="shared" si="107"/>
        <v>0</v>
      </c>
      <c r="BE64" s="6">
        <f t="shared" si="108"/>
        <v>0</v>
      </c>
      <c r="BF64" s="6">
        <f t="shared" si="109"/>
        <v>0</v>
      </c>
      <c r="BG64" s="6">
        <f t="shared" si="110"/>
        <v>0</v>
      </c>
      <c r="BH64" s="25">
        <f t="shared" si="111"/>
        <v>0</v>
      </c>
    </row>
    <row r="65" spans="1:60" ht="15.5" x14ac:dyDescent="0.35">
      <c r="A65" s="43" t="s">
        <v>78</v>
      </c>
      <c r="B65" s="58">
        <f>'Baseline and counterfactual'!B33</f>
        <v>2062198</v>
      </c>
      <c r="C65" s="29">
        <f>'Baseline and counterfactual'!C33</f>
        <v>0.67901</v>
      </c>
      <c r="D65" s="31">
        <f>'Baseline and counterfactual'!D33</f>
        <v>0.21728320000000001</v>
      </c>
      <c r="E65" s="49">
        <f>'Baseline and counterfactual'!E33</f>
        <v>9.9999999999999995E-7</v>
      </c>
      <c r="F65" s="27">
        <f t="shared" si="59"/>
        <v>3.2000000000000001E-7</v>
      </c>
      <c r="G65" s="49">
        <f t="shared" si="5"/>
        <v>-0.43586423463001789</v>
      </c>
      <c r="H65" s="30">
        <f>SQRT(LN(1+((D65*D65)/(C65*C65))))</f>
        <v>0.31223328022050617</v>
      </c>
      <c r="I65" s="38">
        <f t="shared" si="7"/>
        <v>-13.864255368602903</v>
      </c>
      <c r="J65" s="42">
        <f>SQRT(LN(1+((F65*F65)/(E65*E65))))</f>
        <v>0.31223328022050617</v>
      </c>
      <c r="K65" s="49">
        <f t="shared" si="62"/>
        <v>2.3204914065774467E-3</v>
      </c>
      <c r="L65" s="6">
        <f t="shared" si="63"/>
        <v>176.14738950791894</v>
      </c>
      <c r="M65" s="6">
        <f t="shared" si="64"/>
        <v>14147.752881280408</v>
      </c>
      <c r="N65" s="6">
        <f t="shared" si="65"/>
        <v>113411.64370295654</v>
      </c>
      <c r="O65" s="6">
        <f t="shared" si="66"/>
        <v>294947.61253116984</v>
      </c>
      <c r="P65" s="6">
        <f t="shared" si="67"/>
        <v>412782.52820868185</v>
      </c>
      <c r="Q65" s="6">
        <f t="shared" si="68"/>
        <v>402072.2771514511</v>
      </c>
      <c r="R65" s="6">
        <f t="shared" si="69"/>
        <v>313555.10357156751</v>
      </c>
      <c r="S65" s="6">
        <f t="shared" si="70"/>
        <v>212271.24496538402</v>
      </c>
      <c r="T65" s="6">
        <f t="shared" si="71"/>
        <v>131045.58364438407</v>
      </c>
      <c r="U65" s="6">
        <f t="shared" si="72"/>
        <v>76119.753253767078</v>
      </c>
      <c r="V65" s="6">
        <f t="shared" si="73"/>
        <v>42467.891189247246</v>
      </c>
      <c r="W65" s="6">
        <f t="shared" si="74"/>
        <v>23076.467768087587</v>
      </c>
      <c r="X65" s="6">
        <f t="shared" si="75"/>
        <v>12331.61060541048</v>
      </c>
      <c r="Y65" s="6">
        <f t="shared" si="76"/>
        <v>6524.8891817836966</v>
      </c>
      <c r="Z65" s="6">
        <f t="shared" si="77"/>
        <v>3435.1730304297644</v>
      </c>
      <c r="AA65" s="6">
        <f t="shared" si="78"/>
        <v>1805.8402287477747</v>
      </c>
      <c r="AB65" s="6">
        <f t="shared" si="79"/>
        <v>950.3475401636972</v>
      </c>
      <c r="AC65" s="6">
        <f t="shared" si="80"/>
        <v>501.62062128537531</v>
      </c>
      <c r="AD65" s="6">
        <f t="shared" si="81"/>
        <v>265.92327154122643</v>
      </c>
      <c r="AE65" s="6">
        <f t="shared" si="82"/>
        <v>141.7299240658495</v>
      </c>
      <c r="AF65" s="6">
        <f t="shared" si="83"/>
        <v>75.99870940384254</v>
      </c>
      <c r="AG65" s="6">
        <f t="shared" si="84"/>
        <v>41.02177320634047</v>
      </c>
      <c r="AH65" s="6">
        <f t="shared" si="85"/>
        <v>22.296732176072947</v>
      </c>
      <c r="AI65" s="25">
        <f t="shared" si="86"/>
        <v>27.539803809302043</v>
      </c>
      <c r="AJ65" s="49">
        <f t="shared" si="87"/>
        <v>2062198</v>
      </c>
      <c r="AK65" s="6">
        <f t="shared" si="88"/>
        <v>0</v>
      </c>
      <c r="AL65" s="6">
        <f t="shared" si="89"/>
        <v>0</v>
      </c>
      <c r="AM65" s="6">
        <f t="shared" si="90"/>
        <v>0</v>
      </c>
      <c r="AN65" s="6">
        <f t="shared" si="91"/>
        <v>0</v>
      </c>
      <c r="AO65" s="6">
        <f t="shared" si="92"/>
        <v>0</v>
      </c>
      <c r="AP65" s="6">
        <f t="shared" si="93"/>
        <v>0</v>
      </c>
      <c r="AQ65" s="6">
        <f t="shared" si="94"/>
        <v>0</v>
      </c>
      <c r="AR65" s="6">
        <f t="shared" si="95"/>
        <v>0</v>
      </c>
      <c r="AS65" s="6">
        <f t="shared" si="96"/>
        <v>0</v>
      </c>
      <c r="AT65" s="6">
        <f t="shared" si="97"/>
        <v>0</v>
      </c>
      <c r="AU65" s="6">
        <f t="shared" si="98"/>
        <v>0</v>
      </c>
      <c r="AV65" s="6">
        <f t="shared" si="99"/>
        <v>0</v>
      </c>
      <c r="AW65" s="6">
        <f t="shared" si="100"/>
        <v>0</v>
      </c>
      <c r="AX65" s="6">
        <f t="shared" si="101"/>
        <v>0</v>
      </c>
      <c r="AY65" s="6">
        <f t="shared" si="102"/>
        <v>0</v>
      </c>
      <c r="AZ65" s="6">
        <f t="shared" si="103"/>
        <v>0</v>
      </c>
      <c r="BA65" s="6">
        <f t="shared" si="104"/>
        <v>0</v>
      </c>
      <c r="BB65" s="6">
        <f t="shared" si="105"/>
        <v>0</v>
      </c>
      <c r="BC65" s="6">
        <f t="shared" si="106"/>
        <v>0</v>
      </c>
      <c r="BD65" s="6">
        <f t="shared" si="107"/>
        <v>0</v>
      </c>
      <c r="BE65" s="6">
        <f t="shared" si="108"/>
        <v>0</v>
      </c>
      <c r="BF65" s="6">
        <f t="shared" si="109"/>
        <v>0</v>
      </c>
      <c r="BG65" s="6">
        <f t="shared" si="110"/>
        <v>0</v>
      </c>
      <c r="BH65" s="25">
        <f t="shared" si="111"/>
        <v>0</v>
      </c>
    </row>
    <row r="68" spans="1:60" x14ac:dyDescent="0.35">
      <c r="B68" s="233" t="s">
        <v>81</v>
      </c>
      <c r="C68" s="233"/>
      <c r="D68" s="233"/>
      <c r="E68" s="233"/>
      <c r="F68" s="233"/>
      <c r="AA68" s="233" t="s">
        <v>80</v>
      </c>
      <c r="AB68" s="233"/>
      <c r="AC68" s="233"/>
      <c r="AD68" s="233"/>
    </row>
    <row r="69" spans="1:60" x14ac:dyDescent="0.35">
      <c r="B69" s="33" t="s">
        <v>102</v>
      </c>
      <c r="C69" s="9" t="s">
        <v>103</v>
      </c>
      <c r="D69" s="9" t="s">
        <v>104</v>
      </c>
      <c r="E69" s="9" t="s">
        <v>105</v>
      </c>
      <c r="F69" s="9" t="s">
        <v>106</v>
      </c>
      <c r="G69" s="9" t="s">
        <v>107</v>
      </c>
      <c r="H69" s="9" t="s">
        <v>108</v>
      </c>
      <c r="I69" s="9" t="s">
        <v>109</v>
      </c>
      <c r="J69" s="9" t="s">
        <v>110</v>
      </c>
      <c r="K69" s="9" t="s">
        <v>111</v>
      </c>
      <c r="L69" s="9" t="s">
        <v>112</v>
      </c>
      <c r="M69" s="9" t="s">
        <v>113</v>
      </c>
      <c r="N69" s="9" t="s">
        <v>114</v>
      </c>
      <c r="O69" s="9" t="s">
        <v>115</v>
      </c>
      <c r="P69" s="9" t="s">
        <v>116</v>
      </c>
      <c r="Q69" s="9" t="s">
        <v>117</v>
      </c>
      <c r="R69" s="9" t="s">
        <v>118</v>
      </c>
      <c r="S69" s="9" t="s">
        <v>119</v>
      </c>
      <c r="T69" s="9" t="s">
        <v>120</v>
      </c>
      <c r="U69" s="9" t="s">
        <v>121</v>
      </c>
      <c r="V69" s="9" t="s">
        <v>122</v>
      </c>
      <c r="W69" s="9" t="s">
        <v>123</v>
      </c>
      <c r="X69" s="9" t="s">
        <v>124</v>
      </c>
      <c r="Y69" s="9" t="s">
        <v>125</v>
      </c>
      <c r="Z69" s="36" t="s">
        <v>126</v>
      </c>
      <c r="AA69" s="33" t="s">
        <v>102</v>
      </c>
      <c r="AB69" s="9" t="s">
        <v>103</v>
      </c>
      <c r="AC69" s="9" t="s">
        <v>104</v>
      </c>
      <c r="AD69" s="9" t="s">
        <v>105</v>
      </c>
      <c r="AE69" s="9" t="s">
        <v>106</v>
      </c>
      <c r="AF69" s="9" t="s">
        <v>107</v>
      </c>
      <c r="AG69" s="9" t="s">
        <v>108</v>
      </c>
      <c r="AH69" s="9" t="s">
        <v>109</v>
      </c>
      <c r="AI69" s="9" t="s">
        <v>110</v>
      </c>
      <c r="AJ69" s="9" t="s">
        <v>111</v>
      </c>
      <c r="AK69" s="9" t="s">
        <v>112</v>
      </c>
      <c r="AL69" s="9" t="s">
        <v>113</v>
      </c>
      <c r="AM69" s="9" t="s">
        <v>114</v>
      </c>
      <c r="AN69" s="9" t="s">
        <v>115</v>
      </c>
      <c r="AO69" s="9" t="s">
        <v>116</v>
      </c>
      <c r="AP69" s="9" t="s">
        <v>117</v>
      </c>
      <c r="AQ69" s="9" t="s">
        <v>118</v>
      </c>
      <c r="AR69" s="9" t="s">
        <v>119</v>
      </c>
      <c r="AS69" s="9" t="s">
        <v>120</v>
      </c>
      <c r="AT69" s="9" t="s">
        <v>121</v>
      </c>
      <c r="AU69" s="9" t="s">
        <v>122</v>
      </c>
      <c r="AV69" s="9" t="s">
        <v>123</v>
      </c>
      <c r="AW69" s="9" t="s">
        <v>124</v>
      </c>
      <c r="AX69" s="9" t="s">
        <v>125</v>
      </c>
      <c r="AY69" s="36" t="s">
        <v>126</v>
      </c>
    </row>
    <row r="70" spans="1:60" ht="15.5" x14ac:dyDescent="0.35">
      <c r="A70" s="43" t="s">
        <v>45</v>
      </c>
      <c r="B70" s="49">
        <f>K37/$B37</f>
        <v>1.1252515066824072E-9</v>
      </c>
      <c r="C70" s="6">
        <f t="shared" ref="C70:Z80" si="112">L37/$B37</f>
        <v>8.5417302076676904E-5</v>
      </c>
      <c r="D70" s="6">
        <f t="shared" si="112"/>
        <v>6.8605210951035783E-3</v>
      </c>
      <c r="E70" s="6">
        <f t="shared" si="112"/>
        <v>5.4995516290364234E-2</v>
      </c>
      <c r="F70" s="6">
        <f t="shared" si="112"/>
        <v>0.14302584549648958</v>
      </c>
      <c r="G70" s="6">
        <f t="shared" si="112"/>
        <v>0.20016629257165502</v>
      </c>
      <c r="H70" s="6">
        <f t="shared" si="112"/>
        <v>0.19497268310387805</v>
      </c>
      <c r="I70" s="6">
        <f t="shared" si="112"/>
        <v>0.15204898053997118</v>
      </c>
      <c r="J70" s="6">
        <f t="shared" si="112"/>
        <v>0.10293446359921987</v>
      </c>
      <c r="K70" s="6">
        <f t="shared" si="112"/>
        <v>6.3546557432595741E-2</v>
      </c>
      <c r="L70" s="6">
        <f t="shared" si="112"/>
        <v>3.6911951836713586E-2</v>
      </c>
      <c r="M70" s="6">
        <f t="shared" si="112"/>
        <v>2.0593508086637291E-2</v>
      </c>
      <c r="N70" s="6">
        <f t="shared" si="112"/>
        <v>1.1190228953809278E-2</v>
      </c>
      <c r="O70" s="6">
        <f t="shared" si="112"/>
        <v>5.9798383110692965E-3</v>
      </c>
      <c r="P70" s="6">
        <f t="shared" si="112"/>
        <v>3.1640459266198961E-3</v>
      </c>
      <c r="Q70" s="6">
        <f t="shared" si="112"/>
        <v>1.6657823499148794E-3</v>
      </c>
      <c r="R70" s="6">
        <f t="shared" si="112"/>
        <v>8.7568712061003584E-4</v>
      </c>
      <c r="S70" s="6">
        <f t="shared" si="112"/>
        <v>4.6084204337493162E-4</v>
      </c>
      <c r="T70" s="6">
        <f t="shared" si="112"/>
        <v>2.4324561525390642E-4</v>
      </c>
      <c r="U70" s="6">
        <f t="shared" si="112"/>
        <v>1.2895137690038805E-4</v>
      </c>
      <c r="V70" s="6">
        <f t="shared" si="112"/>
        <v>6.8727602328122472E-5</v>
      </c>
      <c r="W70" s="6">
        <f t="shared" si="112"/>
        <v>3.6853255314883704E-5</v>
      </c>
      <c r="X70" s="6">
        <f t="shared" si="112"/>
        <v>1.9892257293596671E-5</v>
      </c>
      <c r="Y70" s="6">
        <f t="shared" si="112"/>
        <v>1.0812119969116907E-5</v>
      </c>
      <c r="Z70" s="25">
        <f t="shared" si="112"/>
        <v>1.3354587585334698E-5</v>
      </c>
      <c r="AA70" s="49">
        <f>AJ37/$B37</f>
        <v>1</v>
      </c>
      <c r="AB70" s="6">
        <f t="shared" ref="AB70:AY80" si="113">AK37/$B37</f>
        <v>0</v>
      </c>
      <c r="AC70" s="6">
        <f t="shared" si="113"/>
        <v>0</v>
      </c>
      <c r="AD70" s="6">
        <f t="shared" si="113"/>
        <v>0</v>
      </c>
      <c r="AE70" s="6">
        <f t="shared" si="113"/>
        <v>0</v>
      </c>
      <c r="AF70" s="6">
        <f t="shared" si="113"/>
        <v>0</v>
      </c>
      <c r="AG70" s="6">
        <f t="shared" si="113"/>
        <v>0</v>
      </c>
      <c r="AH70" s="6">
        <f t="shared" si="113"/>
        <v>0</v>
      </c>
      <c r="AI70" s="6">
        <f t="shared" si="113"/>
        <v>0</v>
      </c>
      <c r="AJ70" s="6">
        <f t="shared" si="113"/>
        <v>0</v>
      </c>
      <c r="AK70" s="6">
        <f t="shared" si="113"/>
        <v>0</v>
      </c>
      <c r="AL70" s="6">
        <f t="shared" si="113"/>
        <v>0</v>
      </c>
      <c r="AM70" s="6">
        <f t="shared" si="113"/>
        <v>0</v>
      </c>
      <c r="AN70" s="6">
        <f t="shared" si="113"/>
        <v>0</v>
      </c>
      <c r="AO70" s="6">
        <f t="shared" si="113"/>
        <v>0</v>
      </c>
      <c r="AP70" s="6">
        <f t="shared" si="113"/>
        <v>0</v>
      </c>
      <c r="AQ70" s="6">
        <f t="shared" si="113"/>
        <v>0</v>
      </c>
      <c r="AR70" s="6">
        <f t="shared" si="113"/>
        <v>0</v>
      </c>
      <c r="AS70" s="6">
        <f t="shared" si="113"/>
        <v>0</v>
      </c>
      <c r="AT70" s="6">
        <f t="shared" si="113"/>
        <v>0</v>
      </c>
      <c r="AU70" s="6">
        <f t="shared" si="113"/>
        <v>0</v>
      </c>
      <c r="AV70" s="6">
        <f t="shared" si="113"/>
        <v>0</v>
      </c>
      <c r="AW70" s="6">
        <f t="shared" si="113"/>
        <v>0</v>
      </c>
      <c r="AX70" s="6">
        <f t="shared" si="113"/>
        <v>0</v>
      </c>
      <c r="AY70" s="25">
        <f t="shared" si="113"/>
        <v>0</v>
      </c>
    </row>
    <row r="71" spans="1:60" ht="15.5" x14ac:dyDescent="0.35">
      <c r="A71" s="43" t="s">
        <v>46</v>
      </c>
      <c r="B71" s="26">
        <f t="shared" ref="B71:B83" si="114">K38/$B38</f>
        <v>1.1252515066824072E-9</v>
      </c>
      <c r="C71" s="27">
        <f t="shared" si="112"/>
        <v>8.5417302076676904E-5</v>
      </c>
      <c r="D71" s="27">
        <f t="shared" si="112"/>
        <v>6.8605210951035783E-3</v>
      </c>
      <c r="E71" s="27">
        <f t="shared" si="112"/>
        <v>5.4995516290364234E-2</v>
      </c>
      <c r="F71" s="27">
        <f t="shared" si="112"/>
        <v>0.14302584549648958</v>
      </c>
      <c r="G71" s="27">
        <f t="shared" si="112"/>
        <v>0.20016629257165502</v>
      </c>
      <c r="H71" s="27">
        <f t="shared" si="112"/>
        <v>0.19497268310387805</v>
      </c>
      <c r="I71" s="27">
        <f t="shared" si="112"/>
        <v>0.15204898053997118</v>
      </c>
      <c r="J71" s="27">
        <f t="shared" si="112"/>
        <v>0.10293446359921987</v>
      </c>
      <c r="K71" s="27">
        <f t="shared" si="112"/>
        <v>6.3546557432595741E-2</v>
      </c>
      <c r="L71" s="27">
        <f t="shared" si="112"/>
        <v>3.6911951836713586E-2</v>
      </c>
      <c r="M71" s="27">
        <f t="shared" si="112"/>
        <v>2.0593508086637291E-2</v>
      </c>
      <c r="N71" s="27">
        <f t="shared" si="112"/>
        <v>1.1190228953809278E-2</v>
      </c>
      <c r="O71" s="27">
        <f t="shared" si="112"/>
        <v>5.9798383110692965E-3</v>
      </c>
      <c r="P71" s="27">
        <f t="shared" si="112"/>
        <v>3.1640459266198961E-3</v>
      </c>
      <c r="Q71" s="27">
        <f t="shared" si="112"/>
        <v>1.6657823499148794E-3</v>
      </c>
      <c r="R71" s="27">
        <f t="shared" si="112"/>
        <v>8.7568712061003584E-4</v>
      </c>
      <c r="S71" s="27">
        <f t="shared" si="112"/>
        <v>4.6084204337493162E-4</v>
      </c>
      <c r="T71" s="27">
        <f t="shared" si="112"/>
        <v>2.4324561525390642E-4</v>
      </c>
      <c r="U71" s="27">
        <f t="shared" si="112"/>
        <v>1.2895137690038805E-4</v>
      </c>
      <c r="V71" s="27">
        <f t="shared" si="112"/>
        <v>6.8727602328122472E-5</v>
      </c>
      <c r="W71" s="27">
        <f t="shared" si="112"/>
        <v>3.6853255314883704E-5</v>
      </c>
      <c r="X71" s="27">
        <f t="shared" si="112"/>
        <v>1.9892257293596671E-5</v>
      </c>
      <c r="Y71" s="27">
        <f t="shared" si="112"/>
        <v>1.0812119969116907E-5</v>
      </c>
      <c r="Z71" s="28">
        <f t="shared" si="112"/>
        <v>1.3354587585334698E-5</v>
      </c>
      <c r="AA71" s="26">
        <f t="shared" ref="AA71:AA83" si="115">AJ38/$B38</f>
        <v>1</v>
      </c>
      <c r="AB71" s="27">
        <f t="shared" si="113"/>
        <v>0</v>
      </c>
      <c r="AC71" s="27">
        <f t="shared" si="113"/>
        <v>0</v>
      </c>
      <c r="AD71" s="27">
        <f t="shared" si="113"/>
        <v>0</v>
      </c>
      <c r="AE71" s="27">
        <f t="shared" si="113"/>
        <v>0</v>
      </c>
      <c r="AF71" s="27">
        <f t="shared" si="113"/>
        <v>0</v>
      </c>
      <c r="AG71" s="27">
        <f t="shared" si="113"/>
        <v>0</v>
      </c>
      <c r="AH71" s="27">
        <f t="shared" si="113"/>
        <v>0</v>
      </c>
      <c r="AI71" s="27">
        <f t="shared" si="113"/>
        <v>0</v>
      </c>
      <c r="AJ71" s="27">
        <f t="shared" si="113"/>
        <v>0</v>
      </c>
      <c r="AK71" s="27">
        <f t="shared" si="113"/>
        <v>0</v>
      </c>
      <c r="AL71" s="27">
        <f t="shared" si="113"/>
        <v>0</v>
      </c>
      <c r="AM71" s="27">
        <f t="shared" si="113"/>
        <v>0</v>
      </c>
      <c r="AN71" s="27">
        <f t="shared" si="113"/>
        <v>0</v>
      </c>
      <c r="AO71" s="27">
        <f t="shared" si="113"/>
        <v>0</v>
      </c>
      <c r="AP71" s="27">
        <f t="shared" si="113"/>
        <v>0</v>
      </c>
      <c r="AQ71" s="27">
        <f t="shared" si="113"/>
        <v>0</v>
      </c>
      <c r="AR71" s="27">
        <f t="shared" si="113"/>
        <v>0</v>
      </c>
      <c r="AS71" s="27">
        <f t="shared" si="113"/>
        <v>0</v>
      </c>
      <c r="AT71" s="27">
        <f t="shared" si="113"/>
        <v>0</v>
      </c>
      <c r="AU71" s="27">
        <f t="shared" si="113"/>
        <v>0</v>
      </c>
      <c r="AV71" s="27">
        <f t="shared" si="113"/>
        <v>0</v>
      </c>
      <c r="AW71" s="27">
        <f t="shared" si="113"/>
        <v>0</v>
      </c>
      <c r="AX71" s="27">
        <f t="shared" si="113"/>
        <v>0</v>
      </c>
      <c r="AY71" s="28">
        <f t="shared" si="113"/>
        <v>0</v>
      </c>
    </row>
    <row r="72" spans="1:60" ht="15.5" x14ac:dyDescent="0.35">
      <c r="A72" s="43" t="s">
        <v>47</v>
      </c>
      <c r="B72" s="26">
        <f t="shared" si="114"/>
        <v>1.1252515066824072E-9</v>
      </c>
      <c r="C72" s="27">
        <f t="shared" si="112"/>
        <v>8.5417302076676904E-5</v>
      </c>
      <c r="D72" s="27">
        <f t="shared" si="112"/>
        <v>6.8605210951035783E-3</v>
      </c>
      <c r="E72" s="27">
        <f t="shared" si="112"/>
        <v>5.4995516290364234E-2</v>
      </c>
      <c r="F72" s="27">
        <f t="shared" si="112"/>
        <v>0.14302584549648958</v>
      </c>
      <c r="G72" s="27">
        <f t="shared" si="112"/>
        <v>0.20016629257165502</v>
      </c>
      <c r="H72" s="27">
        <f t="shared" si="112"/>
        <v>0.19497268310387805</v>
      </c>
      <c r="I72" s="27">
        <f t="shared" si="112"/>
        <v>0.15204898053997118</v>
      </c>
      <c r="J72" s="27">
        <f t="shared" si="112"/>
        <v>0.10293446359921987</v>
      </c>
      <c r="K72" s="27">
        <f t="shared" si="112"/>
        <v>6.3546557432595741E-2</v>
      </c>
      <c r="L72" s="27">
        <f t="shared" si="112"/>
        <v>3.6911951836713586E-2</v>
      </c>
      <c r="M72" s="27">
        <f t="shared" si="112"/>
        <v>2.0593508086637291E-2</v>
      </c>
      <c r="N72" s="27">
        <f t="shared" si="112"/>
        <v>1.1190228953809278E-2</v>
      </c>
      <c r="O72" s="27">
        <f t="shared" si="112"/>
        <v>5.9798383110692965E-3</v>
      </c>
      <c r="P72" s="27">
        <f t="shared" si="112"/>
        <v>3.1640459266198961E-3</v>
      </c>
      <c r="Q72" s="27">
        <f t="shared" si="112"/>
        <v>1.6657823499148794E-3</v>
      </c>
      <c r="R72" s="27">
        <f t="shared" si="112"/>
        <v>8.7568712061003584E-4</v>
      </c>
      <c r="S72" s="27">
        <f t="shared" si="112"/>
        <v>4.6084204337493162E-4</v>
      </c>
      <c r="T72" s="27">
        <f t="shared" si="112"/>
        <v>2.4324561525390642E-4</v>
      </c>
      <c r="U72" s="27">
        <f t="shared" si="112"/>
        <v>1.2895137690038805E-4</v>
      </c>
      <c r="V72" s="27">
        <f t="shared" si="112"/>
        <v>6.8727602328122472E-5</v>
      </c>
      <c r="W72" s="27">
        <f t="shared" si="112"/>
        <v>3.6853255314883704E-5</v>
      </c>
      <c r="X72" s="27">
        <f t="shared" si="112"/>
        <v>1.9892257293596671E-5</v>
      </c>
      <c r="Y72" s="27">
        <f t="shared" si="112"/>
        <v>1.0812119969116907E-5</v>
      </c>
      <c r="Z72" s="28">
        <f t="shared" si="112"/>
        <v>1.3354587585334698E-5</v>
      </c>
      <c r="AA72" s="26">
        <f t="shared" si="115"/>
        <v>1</v>
      </c>
      <c r="AB72" s="27">
        <f t="shared" si="113"/>
        <v>0</v>
      </c>
      <c r="AC72" s="27">
        <f t="shared" si="113"/>
        <v>0</v>
      </c>
      <c r="AD72" s="27">
        <f t="shared" si="113"/>
        <v>0</v>
      </c>
      <c r="AE72" s="27">
        <f t="shared" si="113"/>
        <v>0</v>
      </c>
      <c r="AF72" s="27">
        <f t="shared" si="113"/>
        <v>0</v>
      </c>
      <c r="AG72" s="27">
        <f t="shared" si="113"/>
        <v>0</v>
      </c>
      <c r="AH72" s="27">
        <f t="shared" si="113"/>
        <v>0</v>
      </c>
      <c r="AI72" s="27">
        <f t="shared" si="113"/>
        <v>0</v>
      </c>
      <c r="AJ72" s="27">
        <f t="shared" si="113"/>
        <v>0</v>
      </c>
      <c r="AK72" s="27">
        <f t="shared" si="113"/>
        <v>0</v>
      </c>
      <c r="AL72" s="27">
        <f t="shared" si="113"/>
        <v>0</v>
      </c>
      <c r="AM72" s="27">
        <f t="shared" si="113"/>
        <v>0</v>
      </c>
      <c r="AN72" s="27">
        <f t="shared" si="113"/>
        <v>0</v>
      </c>
      <c r="AO72" s="27">
        <f t="shared" si="113"/>
        <v>0</v>
      </c>
      <c r="AP72" s="27">
        <f t="shared" si="113"/>
        <v>0</v>
      </c>
      <c r="AQ72" s="27">
        <f t="shared" si="113"/>
        <v>0</v>
      </c>
      <c r="AR72" s="27">
        <f t="shared" si="113"/>
        <v>0</v>
      </c>
      <c r="AS72" s="27">
        <f t="shared" si="113"/>
        <v>0</v>
      </c>
      <c r="AT72" s="27">
        <f t="shared" si="113"/>
        <v>0</v>
      </c>
      <c r="AU72" s="27">
        <f t="shared" si="113"/>
        <v>0</v>
      </c>
      <c r="AV72" s="27">
        <f t="shared" si="113"/>
        <v>0</v>
      </c>
      <c r="AW72" s="27">
        <f t="shared" si="113"/>
        <v>0</v>
      </c>
      <c r="AX72" s="27">
        <f t="shared" si="113"/>
        <v>0</v>
      </c>
      <c r="AY72" s="28">
        <f t="shared" si="113"/>
        <v>0</v>
      </c>
    </row>
    <row r="73" spans="1:60" ht="15.5" x14ac:dyDescent="0.35">
      <c r="A73" s="43" t="s">
        <v>48</v>
      </c>
      <c r="B73" s="26">
        <f t="shared" si="114"/>
        <v>1.1252515066824072E-9</v>
      </c>
      <c r="C73" s="27">
        <f t="shared" si="112"/>
        <v>8.5417302076676904E-5</v>
      </c>
      <c r="D73" s="27">
        <f t="shared" si="112"/>
        <v>6.8605210951035783E-3</v>
      </c>
      <c r="E73" s="27">
        <f t="shared" si="112"/>
        <v>5.4995516290364234E-2</v>
      </c>
      <c r="F73" s="27">
        <f t="shared" si="112"/>
        <v>0.14302584549648958</v>
      </c>
      <c r="G73" s="27">
        <f t="shared" si="112"/>
        <v>0.20016629257165502</v>
      </c>
      <c r="H73" s="27">
        <f t="shared" si="112"/>
        <v>0.19497268310387805</v>
      </c>
      <c r="I73" s="27">
        <f t="shared" si="112"/>
        <v>0.15204898053997118</v>
      </c>
      <c r="J73" s="27">
        <f t="shared" si="112"/>
        <v>0.10293446359921987</v>
      </c>
      <c r="K73" s="27">
        <f t="shared" si="112"/>
        <v>6.3546557432595741E-2</v>
      </c>
      <c r="L73" s="27">
        <f t="shared" si="112"/>
        <v>3.6911951836713586E-2</v>
      </c>
      <c r="M73" s="27">
        <f t="shared" si="112"/>
        <v>2.0593508086637291E-2</v>
      </c>
      <c r="N73" s="27">
        <f t="shared" si="112"/>
        <v>1.1190228953809278E-2</v>
      </c>
      <c r="O73" s="27">
        <f t="shared" si="112"/>
        <v>5.9798383110692965E-3</v>
      </c>
      <c r="P73" s="27">
        <f t="shared" si="112"/>
        <v>3.1640459266198961E-3</v>
      </c>
      <c r="Q73" s="27">
        <f t="shared" si="112"/>
        <v>1.6657823499148794E-3</v>
      </c>
      <c r="R73" s="27">
        <f t="shared" si="112"/>
        <v>8.7568712061003584E-4</v>
      </c>
      <c r="S73" s="27">
        <f t="shared" si="112"/>
        <v>4.6084204337493162E-4</v>
      </c>
      <c r="T73" s="27">
        <f t="shared" si="112"/>
        <v>2.4324561525390642E-4</v>
      </c>
      <c r="U73" s="27">
        <f t="shared" si="112"/>
        <v>1.2895137690038805E-4</v>
      </c>
      <c r="V73" s="27">
        <f t="shared" si="112"/>
        <v>6.8727602328122472E-5</v>
      </c>
      <c r="W73" s="27">
        <f t="shared" si="112"/>
        <v>3.6853255314883704E-5</v>
      </c>
      <c r="X73" s="27">
        <f t="shared" si="112"/>
        <v>1.9892257293596671E-5</v>
      </c>
      <c r="Y73" s="27">
        <f t="shared" si="112"/>
        <v>1.0812119969116907E-5</v>
      </c>
      <c r="Z73" s="28">
        <f t="shared" si="112"/>
        <v>1.3354587585334698E-5</v>
      </c>
      <c r="AA73" s="26">
        <f t="shared" si="115"/>
        <v>1</v>
      </c>
      <c r="AB73" s="27">
        <f t="shared" si="113"/>
        <v>0</v>
      </c>
      <c r="AC73" s="27">
        <f t="shared" si="113"/>
        <v>0</v>
      </c>
      <c r="AD73" s="27">
        <f t="shared" si="113"/>
        <v>0</v>
      </c>
      <c r="AE73" s="27">
        <f t="shared" si="113"/>
        <v>0</v>
      </c>
      <c r="AF73" s="27">
        <f t="shared" si="113"/>
        <v>0</v>
      </c>
      <c r="AG73" s="27">
        <f t="shared" si="113"/>
        <v>0</v>
      </c>
      <c r="AH73" s="27">
        <f t="shared" si="113"/>
        <v>0</v>
      </c>
      <c r="AI73" s="27">
        <f t="shared" si="113"/>
        <v>0</v>
      </c>
      <c r="AJ73" s="27">
        <f t="shared" si="113"/>
        <v>0</v>
      </c>
      <c r="AK73" s="27">
        <f t="shared" si="113"/>
        <v>0</v>
      </c>
      <c r="AL73" s="27">
        <f t="shared" si="113"/>
        <v>0</v>
      </c>
      <c r="AM73" s="27">
        <f t="shared" si="113"/>
        <v>0</v>
      </c>
      <c r="AN73" s="27">
        <f t="shared" si="113"/>
        <v>0</v>
      </c>
      <c r="AO73" s="27">
        <f t="shared" si="113"/>
        <v>0</v>
      </c>
      <c r="AP73" s="27">
        <f t="shared" si="113"/>
        <v>0</v>
      </c>
      <c r="AQ73" s="27">
        <f t="shared" si="113"/>
        <v>0</v>
      </c>
      <c r="AR73" s="27">
        <f t="shared" si="113"/>
        <v>0</v>
      </c>
      <c r="AS73" s="27">
        <f t="shared" si="113"/>
        <v>0</v>
      </c>
      <c r="AT73" s="27">
        <f t="shared" si="113"/>
        <v>0</v>
      </c>
      <c r="AU73" s="27">
        <f t="shared" si="113"/>
        <v>0</v>
      </c>
      <c r="AV73" s="27">
        <f t="shared" si="113"/>
        <v>0</v>
      </c>
      <c r="AW73" s="27">
        <f t="shared" si="113"/>
        <v>0</v>
      </c>
      <c r="AX73" s="27">
        <f t="shared" si="113"/>
        <v>0</v>
      </c>
      <c r="AY73" s="28">
        <f t="shared" si="113"/>
        <v>0</v>
      </c>
    </row>
    <row r="74" spans="1:60" ht="15.5" x14ac:dyDescent="0.35">
      <c r="A74" s="43" t="s">
        <v>49</v>
      </c>
      <c r="B74" s="26">
        <f t="shared" si="114"/>
        <v>1.1252515066824072E-9</v>
      </c>
      <c r="C74" s="27">
        <f t="shared" si="112"/>
        <v>8.541730207667689E-5</v>
      </c>
      <c r="D74" s="27">
        <f t="shared" si="112"/>
        <v>6.8605210951035783E-3</v>
      </c>
      <c r="E74" s="27">
        <f t="shared" si="112"/>
        <v>5.4995516290364234E-2</v>
      </c>
      <c r="F74" s="27">
        <f t="shared" si="112"/>
        <v>0.14302584549648958</v>
      </c>
      <c r="G74" s="27">
        <f t="shared" si="112"/>
        <v>0.20016629257165502</v>
      </c>
      <c r="H74" s="27">
        <f t="shared" si="112"/>
        <v>0.19497268310387805</v>
      </c>
      <c r="I74" s="27">
        <f t="shared" si="112"/>
        <v>0.15204898053997118</v>
      </c>
      <c r="J74" s="27">
        <f t="shared" si="112"/>
        <v>0.10293446359921987</v>
      </c>
      <c r="K74" s="27">
        <f t="shared" si="112"/>
        <v>6.3546557432595741E-2</v>
      </c>
      <c r="L74" s="27">
        <f t="shared" si="112"/>
        <v>3.6911951836713586E-2</v>
      </c>
      <c r="M74" s="27">
        <f t="shared" si="112"/>
        <v>2.0593508086637295E-2</v>
      </c>
      <c r="N74" s="27">
        <f t="shared" si="112"/>
        <v>1.1190228953809278E-2</v>
      </c>
      <c r="O74" s="27">
        <f t="shared" si="112"/>
        <v>5.9798383110692965E-3</v>
      </c>
      <c r="P74" s="27">
        <f t="shared" si="112"/>
        <v>3.1640459266198961E-3</v>
      </c>
      <c r="Q74" s="27">
        <f t="shared" si="112"/>
        <v>1.6657823499148794E-3</v>
      </c>
      <c r="R74" s="27">
        <f t="shared" si="112"/>
        <v>8.7568712061003584E-4</v>
      </c>
      <c r="S74" s="27">
        <f t="shared" si="112"/>
        <v>4.6084204337493162E-4</v>
      </c>
      <c r="T74" s="27">
        <f t="shared" si="112"/>
        <v>2.4324561525390642E-4</v>
      </c>
      <c r="U74" s="27">
        <f t="shared" si="112"/>
        <v>1.2895137690038805E-4</v>
      </c>
      <c r="V74" s="27">
        <f t="shared" si="112"/>
        <v>6.8727602328122472E-5</v>
      </c>
      <c r="W74" s="27">
        <f t="shared" si="112"/>
        <v>3.6853255314883704E-5</v>
      </c>
      <c r="X74" s="27">
        <f t="shared" si="112"/>
        <v>1.9892257293596671E-5</v>
      </c>
      <c r="Y74" s="27">
        <f t="shared" si="112"/>
        <v>1.0812119969116907E-5</v>
      </c>
      <c r="Z74" s="28">
        <f t="shared" si="112"/>
        <v>1.3354587585334698E-5</v>
      </c>
      <c r="AA74" s="26">
        <f t="shared" si="115"/>
        <v>1</v>
      </c>
      <c r="AB74" s="27">
        <f t="shared" si="113"/>
        <v>0</v>
      </c>
      <c r="AC74" s="27">
        <f t="shared" si="113"/>
        <v>0</v>
      </c>
      <c r="AD74" s="27">
        <f t="shared" si="113"/>
        <v>0</v>
      </c>
      <c r="AE74" s="27">
        <f t="shared" si="113"/>
        <v>0</v>
      </c>
      <c r="AF74" s="27">
        <f t="shared" si="113"/>
        <v>0</v>
      </c>
      <c r="AG74" s="27">
        <f t="shared" si="113"/>
        <v>0</v>
      </c>
      <c r="AH74" s="27">
        <f t="shared" si="113"/>
        <v>0</v>
      </c>
      <c r="AI74" s="27">
        <f t="shared" si="113"/>
        <v>0</v>
      </c>
      <c r="AJ74" s="27">
        <f t="shared" si="113"/>
        <v>0</v>
      </c>
      <c r="AK74" s="27">
        <f t="shared" si="113"/>
        <v>0</v>
      </c>
      <c r="AL74" s="27">
        <f t="shared" si="113"/>
        <v>0</v>
      </c>
      <c r="AM74" s="27">
        <f t="shared" si="113"/>
        <v>0</v>
      </c>
      <c r="AN74" s="27">
        <f t="shared" si="113"/>
        <v>0</v>
      </c>
      <c r="AO74" s="27">
        <f t="shared" si="113"/>
        <v>0</v>
      </c>
      <c r="AP74" s="27">
        <f t="shared" si="113"/>
        <v>0</v>
      </c>
      <c r="AQ74" s="27">
        <f t="shared" si="113"/>
        <v>0</v>
      </c>
      <c r="AR74" s="27">
        <f t="shared" si="113"/>
        <v>0</v>
      </c>
      <c r="AS74" s="27">
        <f t="shared" si="113"/>
        <v>0</v>
      </c>
      <c r="AT74" s="27">
        <f t="shared" si="113"/>
        <v>0</v>
      </c>
      <c r="AU74" s="27">
        <f t="shared" si="113"/>
        <v>0</v>
      </c>
      <c r="AV74" s="27">
        <f t="shared" si="113"/>
        <v>0</v>
      </c>
      <c r="AW74" s="27">
        <f t="shared" si="113"/>
        <v>0</v>
      </c>
      <c r="AX74" s="27">
        <f t="shared" si="113"/>
        <v>0</v>
      </c>
      <c r="AY74" s="28">
        <f t="shared" si="113"/>
        <v>0</v>
      </c>
    </row>
    <row r="75" spans="1:60" ht="15.5" x14ac:dyDescent="0.35">
      <c r="A75" s="43" t="s">
        <v>50</v>
      </c>
      <c r="B75" s="26">
        <f t="shared" si="114"/>
        <v>1.1252515066824072E-9</v>
      </c>
      <c r="C75" s="27">
        <f t="shared" si="112"/>
        <v>8.5417302076676904E-5</v>
      </c>
      <c r="D75" s="27">
        <f t="shared" si="112"/>
        <v>6.8605210951035783E-3</v>
      </c>
      <c r="E75" s="27">
        <f t="shared" si="112"/>
        <v>5.4995516290364234E-2</v>
      </c>
      <c r="F75" s="27">
        <f t="shared" si="112"/>
        <v>0.14302584549648958</v>
      </c>
      <c r="G75" s="27">
        <f t="shared" si="112"/>
        <v>0.20016629257165502</v>
      </c>
      <c r="H75" s="27">
        <f t="shared" si="112"/>
        <v>0.19497268310387803</v>
      </c>
      <c r="I75" s="27">
        <f t="shared" si="112"/>
        <v>0.15204898053997118</v>
      </c>
      <c r="J75" s="27">
        <f t="shared" si="112"/>
        <v>0.10293446359921987</v>
      </c>
      <c r="K75" s="27">
        <f t="shared" si="112"/>
        <v>6.3546557432595741E-2</v>
      </c>
      <c r="L75" s="27">
        <f t="shared" si="112"/>
        <v>3.6911951836713586E-2</v>
      </c>
      <c r="M75" s="27">
        <f t="shared" si="112"/>
        <v>2.0593508086637291E-2</v>
      </c>
      <c r="N75" s="27">
        <f t="shared" si="112"/>
        <v>1.1190228953809276E-2</v>
      </c>
      <c r="O75" s="27">
        <f t="shared" si="112"/>
        <v>5.9798383110692957E-3</v>
      </c>
      <c r="P75" s="27">
        <f t="shared" si="112"/>
        <v>3.1640459266198961E-3</v>
      </c>
      <c r="Q75" s="27">
        <f t="shared" si="112"/>
        <v>1.6657823499148794E-3</v>
      </c>
      <c r="R75" s="27">
        <f t="shared" si="112"/>
        <v>8.7568712061003584E-4</v>
      </c>
      <c r="S75" s="27">
        <f t="shared" si="112"/>
        <v>4.6084204337493162E-4</v>
      </c>
      <c r="T75" s="27">
        <f t="shared" si="112"/>
        <v>2.4324561525390642E-4</v>
      </c>
      <c r="U75" s="27">
        <f t="shared" si="112"/>
        <v>1.2895137690038805E-4</v>
      </c>
      <c r="V75" s="27">
        <f t="shared" si="112"/>
        <v>6.8727602328122472E-5</v>
      </c>
      <c r="W75" s="27">
        <f t="shared" si="112"/>
        <v>3.6853255314883704E-5</v>
      </c>
      <c r="X75" s="27">
        <f t="shared" si="112"/>
        <v>1.9892257293596671E-5</v>
      </c>
      <c r="Y75" s="27">
        <f t="shared" si="112"/>
        <v>1.0812119969116907E-5</v>
      </c>
      <c r="Z75" s="28">
        <f t="shared" si="112"/>
        <v>1.3354587585334698E-5</v>
      </c>
      <c r="AA75" s="26">
        <f t="shared" si="115"/>
        <v>1</v>
      </c>
      <c r="AB75" s="27">
        <f t="shared" si="113"/>
        <v>0</v>
      </c>
      <c r="AC75" s="27">
        <f t="shared" si="113"/>
        <v>0</v>
      </c>
      <c r="AD75" s="27">
        <f t="shared" si="113"/>
        <v>0</v>
      </c>
      <c r="AE75" s="27">
        <f t="shared" si="113"/>
        <v>0</v>
      </c>
      <c r="AF75" s="27">
        <f t="shared" si="113"/>
        <v>0</v>
      </c>
      <c r="AG75" s="27">
        <f t="shared" si="113"/>
        <v>0</v>
      </c>
      <c r="AH75" s="27">
        <f t="shared" si="113"/>
        <v>0</v>
      </c>
      <c r="AI75" s="27">
        <f t="shared" si="113"/>
        <v>0</v>
      </c>
      <c r="AJ75" s="27">
        <f t="shared" si="113"/>
        <v>0</v>
      </c>
      <c r="AK75" s="27">
        <f t="shared" si="113"/>
        <v>0</v>
      </c>
      <c r="AL75" s="27">
        <f t="shared" si="113"/>
        <v>0</v>
      </c>
      <c r="AM75" s="27">
        <f t="shared" si="113"/>
        <v>0</v>
      </c>
      <c r="AN75" s="27">
        <f t="shared" si="113"/>
        <v>0</v>
      </c>
      <c r="AO75" s="27">
        <f t="shared" si="113"/>
        <v>0</v>
      </c>
      <c r="AP75" s="27">
        <f t="shared" si="113"/>
        <v>0</v>
      </c>
      <c r="AQ75" s="27">
        <f t="shared" si="113"/>
        <v>0</v>
      </c>
      <c r="AR75" s="27">
        <f t="shared" si="113"/>
        <v>0</v>
      </c>
      <c r="AS75" s="27">
        <f t="shared" si="113"/>
        <v>0</v>
      </c>
      <c r="AT75" s="27">
        <f t="shared" si="113"/>
        <v>0</v>
      </c>
      <c r="AU75" s="27">
        <f t="shared" si="113"/>
        <v>0</v>
      </c>
      <c r="AV75" s="27">
        <f t="shared" si="113"/>
        <v>0</v>
      </c>
      <c r="AW75" s="27">
        <f t="shared" si="113"/>
        <v>0</v>
      </c>
      <c r="AX75" s="27">
        <f t="shared" si="113"/>
        <v>0</v>
      </c>
      <c r="AY75" s="28">
        <f t="shared" si="113"/>
        <v>0</v>
      </c>
    </row>
    <row r="76" spans="1:60" ht="15.5" x14ac:dyDescent="0.35">
      <c r="A76" s="43" t="s">
        <v>51</v>
      </c>
      <c r="B76" s="26">
        <f t="shared" si="114"/>
        <v>1.1252515066824072E-9</v>
      </c>
      <c r="C76" s="27">
        <f t="shared" si="112"/>
        <v>8.5417302076676904E-5</v>
      </c>
      <c r="D76" s="27">
        <f t="shared" si="112"/>
        <v>6.8605210951035783E-3</v>
      </c>
      <c r="E76" s="27">
        <f t="shared" si="112"/>
        <v>5.4995516290364234E-2</v>
      </c>
      <c r="F76" s="27">
        <f t="shared" si="112"/>
        <v>0.14302584549648958</v>
      </c>
      <c r="G76" s="27">
        <f t="shared" si="112"/>
        <v>0.20016629257165505</v>
      </c>
      <c r="H76" s="27">
        <f t="shared" si="112"/>
        <v>0.19497268310387803</v>
      </c>
      <c r="I76" s="27">
        <f t="shared" si="112"/>
        <v>0.15204898053997118</v>
      </c>
      <c r="J76" s="27">
        <f t="shared" si="112"/>
        <v>0.10293446359921987</v>
      </c>
      <c r="K76" s="27">
        <f t="shared" si="112"/>
        <v>6.3546557432595741E-2</v>
      </c>
      <c r="L76" s="27">
        <f t="shared" si="112"/>
        <v>3.6911951836713586E-2</v>
      </c>
      <c r="M76" s="27">
        <f t="shared" si="112"/>
        <v>2.0593508086637291E-2</v>
      </c>
      <c r="N76" s="27">
        <f t="shared" si="112"/>
        <v>1.1190228953809276E-2</v>
      </c>
      <c r="O76" s="27">
        <f t="shared" si="112"/>
        <v>5.9798383110692974E-3</v>
      </c>
      <c r="P76" s="27">
        <f t="shared" si="112"/>
        <v>3.1640459266198961E-3</v>
      </c>
      <c r="Q76" s="27">
        <f t="shared" si="112"/>
        <v>1.6657823499148794E-3</v>
      </c>
      <c r="R76" s="27">
        <f t="shared" si="112"/>
        <v>8.7568712061003584E-4</v>
      </c>
      <c r="S76" s="27">
        <f t="shared" si="112"/>
        <v>4.6084204337493162E-4</v>
      </c>
      <c r="T76" s="27">
        <f t="shared" si="112"/>
        <v>2.4324561525390642E-4</v>
      </c>
      <c r="U76" s="27">
        <f t="shared" si="112"/>
        <v>1.2895137690038805E-4</v>
      </c>
      <c r="V76" s="27">
        <f t="shared" si="112"/>
        <v>6.8727602328122472E-5</v>
      </c>
      <c r="W76" s="27">
        <f t="shared" si="112"/>
        <v>3.6853255314883704E-5</v>
      </c>
      <c r="X76" s="27">
        <f t="shared" si="112"/>
        <v>1.9892257293596671E-5</v>
      </c>
      <c r="Y76" s="27">
        <f t="shared" si="112"/>
        <v>1.0812119969116907E-5</v>
      </c>
      <c r="Z76" s="28">
        <f t="shared" si="112"/>
        <v>1.33545875853347E-5</v>
      </c>
      <c r="AA76" s="26">
        <f t="shared" si="115"/>
        <v>1</v>
      </c>
      <c r="AB76" s="27">
        <f t="shared" si="113"/>
        <v>0</v>
      </c>
      <c r="AC76" s="27">
        <f t="shared" si="113"/>
        <v>0</v>
      </c>
      <c r="AD76" s="27">
        <f t="shared" si="113"/>
        <v>0</v>
      </c>
      <c r="AE76" s="27">
        <f t="shared" si="113"/>
        <v>0</v>
      </c>
      <c r="AF76" s="27">
        <f t="shared" si="113"/>
        <v>0</v>
      </c>
      <c r="AG76" s="27">
        <f t="shared" si="113"/>
        <v>0</v>
      </c>
      <c r="AH76" s="27">
        <f t="shared" si="113"/>
        <v>0</v>
      </c>
      <c r="AI76" s="27">
        <f t="shared" si="113"/>
        <v>0</v>
      </c>
      <c r="AJ76" s="27">
        <f t="shared" si="113"/>
        <v>0</v>
      </c>
      <c r="AK76" s="27">
        <f t="shared" si="113"/>
        <v>0</v>
      </c>
      <c r="AL76" s="27">
        <f t="shared" si="113"/>
        <v>0</v>
      </c>
      <c r="AM76" s="27">
        <f t="shared" si="113"/>
        <v>0</v>
      </c>
      <c r="AN76" s="27">
        <f t="shared" si="113"/>
        <v>0</v>
      </c>
      <c r="AO76" s="27">
        <f t="shared" si="113"/>
        <v>0</v>
      </c>
      <c r="AP76" s="27">
        <f t="shared" si="113"/>
        <v>0</v>
      </c>
      <c r="AQ76" s="27">
        <f t="shared" si="113"/>
        <v>0</v>
      </c>
      <c r="AR76" s="27">
        <f t="shared" si="113"/>
        <v>0</v>
      </c>
      <c r="AS76" s="27">
        <f t="shared" si="113"/>
        <v>0</v>
      </c>
      <c r="AT76" s="27">
        <f t="shared" si="113"/>
        <v>0</v>
      </c>
      <c r="AU76" s="27">
        <f t="shared" si="113"/>
        <v>0</v>
      </c>
      <c r="AV76" s="27">
        <f t="shared" si="113"/>
        <v>0</v>
      </c>
      <c r="AW76" s="27">
        <f t="shared" si="113"/>
        <v>0</v>
      </c>
      <c r="AX76" s="27">
        <f t="shared" si="113"/>
        <v>0</v>
      </c>
      <c r="AY76" s="28">
        <f t="shared" si="113"/>
        <v>0</v>
      </c>
    </row>
    <row r="77" spans="1:60" ht="15.5" x14ac:dyDescent="0.35">
      <c r="A77" s="43" t="s">
        <v>52</v>
      </c>
      <c r="B77" s="26">
        <f t="shared" si="114"/>
        <v>1.1252515066824072E-9</v>
      </c>
      <c r="C77" s="27">
        <f t="shared" si="112"/>
        <v>8.5417302076676904E-5</v>
      </c>
      <c r="D77" s="27">
        <f t="shared" si="112"/>
        <v>6.8605210951035792E-3</v>
      </c>
      <c r="E77" s="27">
        <f t="shared" si="112"/>
        <v>5.4995516290364241E-2</v>
      </c>
      <c r="F77" s="27">
        <f t="shared" si="112"/>
        <v>0.14302584549648958</v>
      </c>
      <c r="G77" s="27">
        <f t="shared" si="112"/>
        <v>0.20016629257165505</v>
      </c>
      <c r="H77" s="27">
        <f t="shared" si="112"/>
        <v>0.19497268310387805</v>
      </c>
      <c r="I77" s="27">
        <f t="shared" si="112"/>
        <v>0.15204898053997118</v>
      </c>
      <c r="J77" s="27">
        <f t="shared" si="112"/>
        <v>0.10293446359921989</v>
      </c>
      <c r="K77" s="27">
        <f t="shared" si="112"/>
        <v>6.3546557432595741E-2</v>
      </c>
      <c r="L77" s="27">
        <f t="shared" si="112"/>
        <v>3.6911951836713586E-2</v>
      </c>
      <c r="M77" s="27">
        <f t="shared" si="112"/>
        <v>2.0593508086637291E-2</v>
      </c>
      <c r="N77" s="27">
        <f t="shared" si="112"/>
        <v>1.1190228953809278E-2</v>
      </c>
      <c r="O77" s="27">
        <f t="shared" si="112"/>
        <v>5.9798383110692965E-3</v>
      </c>
      <c r="P77" s="27">
        <f t="shared" si="112"/>
        <v>3.1640459266198961E-3</v>
      </c>
      <c r="Q77" s="27">
        <f t="shared" si="112"/>
        <v>1.6657823499148796E-3</v>
      </c>
      <c r="R77" s="27">
        <f t="shared" si="112"/>
        <v>8.7568712061003584E-4</v>
      </c>
      <c r="S77" s="27">
        <f t="shared" si="112"/>
        <v>4.6084204337493162E-4</v>
      </c>
      <c r="T77" s="27">
        <f t="shared" si="112"/>
        <v>2.4324561525390645E-4</v>
      </c>
      <c r="U77" s="27">
        <f t="shared" si="112"/>
        <v>1.2895137690038805E-4</v>
      </c>
      <c r="V77" s="27">
        <f t="shared" si="112"/>
        <v>6.8727602328122472E-5</v>
      </c>
      <c r="W77" s="27">
        <f t="shared" si="112"/>
        <v>3.6853255314883704E-5</v>
      </c>
      <c r="X77" s="27">
        <f t="shared" si="112"/>
        <v>1.9892257293596671E-5</v>
      </c>
      <c r="Y77" s="27">
        <f t="shared" si="112"/>
        <v>1.0812119969116907E-5</v>
      </c>
      <c r="Z77" s="28">
        <f t="shared" si="112"/>
        <v>1.3354587585334698E-5</v>
      </c>
      <c r="AA77" s="26">
        <f t="shared" si="115"/>
        <v>1</v>
      </c>
      <c r="AB77" s="27">
        <f t="shared" si="113"/>
        <v>0</v>
      </c>
      <c r="AC77" s="27">
        <f t="shared" si="113"/>
        <v>0</v>
      </c>
      <c r="AD77" s="27">
        <f t="shared" si="113"/>
        <v>0</v>
      </c>
      <c r="AE77" s="27">
        <f t="shared" si="113"/>
        <v>0</v>
      </c>
      <c r="AF77" s="27">
        <f t="shared" si="113"/>
        <v>0</v>
      </c>
      <c r="AG77" s="27">
        <f t="shared" si="113"/>
        <v>0</v>
      </c>
      <c r="AH77" s="27">
        <f t="shared" si="113"/>
        <v>0</v>
      </c>
      <c r="AI77" s="27">
        <f t="shared" si="113"/>
        <v>0</v>
      </c>
      <c r="AJ77" s="27">
        <f t="shared" si="113"/>
        <v>0</v>
      </c>
      <c r="AK77" s="27">
        <f t="shared" si="113"/>
        <v>0</v>
      </c>
      <c r="AL77" s="27">
        <f t="shared" si="113"/>
        <v>0</v>
      </c>
      <c r="AM77" s="27">
        <f t="shared" si="113"/>
        <v>0</v>
      </c>
      <c r="AN77" s="27">
        <f t="shared" si="113"/>
        <v>0</v>
      </c>
      <c r="AO77" s="27">
        <f t="shared" si="113"/>
        <v>0</v>
      </c>
      <c r="AP77" s="27">
        <f t="shared" si="113"/>
        <v>0</v>
      </c>
      <c r="AQ77" s="27">
        <f t="shared" si="113"/>
        <v>0</v>
      </c>
      <c r="AR77" s="27">
        <f t="shared" si="113"/>
        <v>0</v>
      </c>
      <c r="AS77" s="27">
        <f t="shared" si="113"/>
        <v>0</v>
      </c>
      <c r="AT77" s="27">
        <f t="shared" si="113"/>
        <v>0</v>
      </c>
      <c r="AU77" s="27">
        <f t="shared" si="113"/>
        <v>0</v>
      </c>
      <c r="AV77" s="27">
        <f t="shared" si="113"/>
        <v>0</v>
      </c>
      <c r="AW77" s="27">
        <f t="shared" si="113"/>
        <v>0</v>
      </c>
      <c r="AX77" s="27">
        <f t="shared" si="113"/>
        <v>0</v>
      </c>
      <c r="AY77" s="28">
        <f t="shared" si="113"/>
        <v>0</v>
      </c>
    </row>
    <row r="78" spans="1:60" ht="15.5" x14ac:dyDescent="0.35">
      <c r="A78" s="43" t="s">
        <v>53</v>
      </c>
      <c r="B78" s="26">
        <f t="shared" si="114"/>
        <v>1.1252515066824072E-9</v>
      </c>
      <c r="C78" s="27">
        <f t="shared" si="112"/>
        <v>8.5417302076676904E-5</v>
      </c>
      <c r="D78" s="27">
        <f t="shared" si="112"/>
        <v>6.8605210951035783E-3</v>
      </c>
      <c r="E78" s="27">
        <f t="shared" si="112"/>
        <v>5.4995516290364234E-2</v>
      </c>
      <c r="F78" s="27">
        <f t="shared" si="112"/>
        <v>0.14302584549648958</v>
      </c>
      <c r="G78" s="27">
        <f t="shared" si="112"/>
        <v>0.20016629257165502</v>
      </c>
      <c r="H78" s="27">
        <f t="shared" si="112"/>
        <v>0.19497268310387805</v>
      </c>
      <c r="I78" s="27">
        <f t="shared" si="112"/>
        <v>0.15204898053997118</v>
      </c>
      <c r="J78" s="27">
        <f t="shared" si="112"/>
        <v>0.10293446359921987</v>
      </c>
      <c r="K78" s="27">
        <f t="shared" si="112"/>
        <v>6.3546557432595741E-2</v>
      </c>
      <c r="L78" s="27">
        <f t="shared" si="112"/>
        <v>3.6911951836713586E-2</v>
      </c>
      <c r="M78" s="27">
        <f t="shared" si="112"/>
        <v>2.0593508086637291E-2</v>
      </c>
      <c r="N78" s="27">
        <f t="shared" si="112"/>
        <v>1.1190228953809278E-2</v>
      </c>
      <c r="O78" s="27">
        <f t="shared" si="112"/>
        <v>5.9798383110692965E-3</v>
      </c>
      <c r="P78" s="27">
        <f t="shared" si="112"/>
        <v>3.1640459266198961E-3</v>
      </c>
      <c r="Q78" s="27">
        <f t="shared" si="112"/>
        <v>1.6657823499148794E-3</v>
      </c>
      <c r="R78" s="27">
        <f t="shared" si="112"/>
        <v>8.7568712061003584E-4</v>
      </c>
      <c r="S78" s="27">
        <f t="shared" si="112"/>
        <v>4.6084204337493162E-4</v>
      </c>
      <c r="T78" s="27">
        <f t="shared" si="112"/>
        <v>2.4324561525390639E-4</v>
      </c>
      <c r="U78" s="27">
        <f t="shared" si="112"/>
        <v>1.2895137690038805E-4</v>
      </c>
      <c r="V78" s="27">
        <f t="shared" si="112"/>
        <v>6.8727602328122472E-5</v>
      </c>
      <c r="W78" s="27">
        <f t="shared" si="112"/>
        <v>3.6853255314883704E-5</v>
      </c>
      <c r="X78" s="27">
        <f t="shared" si="112"/>
        <v>1.9892257293596671E-5</v>
      </c>
      <c r="Y78" s="27">
        <f t="shared" si="112"/>
        <v>1.0812119969116907E-5</v>
      </c>
      <c r="Z78" s="28">
        <f t="shared" si="112"/>
        <v>1.3354587585334698E-5</v>
      </c>
      <c r="AA78" s="26">
        <f t="shared" si="115"/>
        <v>1</v>
      </c>
      <c r="AB78" s="27">
        <f t="shared" si="113"/>
        <v>0</v>
      </c>
      <c r="AC78" s="27">
        <f t="shared" si="113"/>
        <v>0</v>
      </c>
      <c r="AD78" s="27">
        <f t="shared" si="113"/>
        <v>0</v>
      </c>
      <c r="AE78" s="27">
        <f t="shared" si="113"/>
        <v>0</v>
      </c>
      <c r="AF78" s="27">
        <f t="shared" si="113"/>
        <v>0</v>
      </c>
      <c r="AG78" s="27">
        <f t="shared" si="113"/>
        <v>0</v>
      </c>
      <c r="AH78" s="27">
        <f t="shared" si="113"/>
        <v>0</v>
      </c>
      <c r="AI78" s="27">
        <f t="shared" si="113"/>
        <v>0</v>
      </c>
      <c r="AJ78" s="27">
        <f t="shared" si="113"/>
        <v>0</v>
      </c>
      <c r="AK78" s="27">
        <f t="shared" si="113"/>
        <v>0</v>
      </c>
      <c r="AL78" s="27">
        <f t="shared" si="113"/>
        <v>0</v>
      </c>
      <c r="AM78" s="27">
        <f t="shared" si="113"/>
        <v>0</v>
      </c>
      <c r="AN78" s="27">
        <f t="shared" si="113"/>
        <v>0</v>
      </c>
      <c r="AO78" s="27">
        <f t="shared" si="113"/>
        <v>0</v>
      </c>
      <c r="AP78" s="27">
        <f t="shared" si="113"/>
        <v>0</v>
      </c>
      <c r="AQ78" s="27">
        <f t="shared" si="113"/>
        <v>0</v>
      </c>
      <c r="AR78" s="27">
        <f t="shared" si="113"/>
        <v>0</v>
      </c>
      <c r="AS78" s="27">
        <f t="shared" si="113"/>
        <v>0</v>
      </c>
      <c r="AT78" s="27">
        <f t="shared" si="113"/>
        <v>0</v>
      </c>
      <c r="AU78" s="27">
        <f t="shared" si="113"/>
        <v>0</v>
      </c>
      <c r="AV78" s="27">
        <f t="shared" si="113"/>
        <v>0</v>
      </c>
      <c r="AW78" s="27">
        <f t="shared" si="113"/>
        <v>0</v>
      </c>
      <c r="AX78" s="27">
        <f t="shared" si="113"/>
        <v>0</v>
      </c>
      <c r="AY78" s="28">
        <f t="shared" si="113"/>
        <v>0</v>
      </c>
    </row>
    <row r="79" spans="1:60" ht="15.5" x14ac:dyDescent="0.35">
      <c r="A79" s="43" t="s">
        <v>54</v>
      </c>
      <c r="B79" s="26">
        <f t="shared" si="114"/>
        <v>1.1252515066824074E-9</v>
      </c>
      <c r="C79" s="27">
        <f t="shared" si="112"/>
        <v>8.5417302076676904E-5</v>
      </c>
      <c r="D79" s="27">
        <f t="shared" si="112"/>
        <v>6.8605210951035783E-3</v>
      </c>
      <c r="E79" s="27">
        <f t="shared" si="112"/>
        <v>5.4995516290364234E-2</v>
      </c>
      <c r="F79" s="27">
        <f t="shared" si="112"/>
        <v>0.14302584549648958</v>
      </c>
      <c r="G79" s="27">
        <f t="shared" si="112"/>
        <v>0.20016629257165502</v>
      </c>
      <c r="H79" s="27">
        <f t="shared" si="112"/>
        <v>0.19497268310387805</v>
      </c>
      <c r="I79" s="27">
        <f t="shared" si="112"/>
        <v>0.15204898053997118</v>
      </c>
      <c r="J79" s="27">
        <f t="shared" si="112"/>
        <v>0.10293446359921987</v>
      </c>
      <c r="K79" s="27">
        <f t="shared" si="112"/>
        <v>6.3546557432595741E-2</v>
      </c>
      <c r="L79" s="27">
        <f t="shared" si="112"/>
        <v>3.6911951836713586E-2</v>
      </c>
      <c r="M79" s="27">
        <f t="shared" si="112"/>
        <v>2.0593508086637291E-2</v>
      </c>
      <c r="N79" s="27">
        <f t="shared" si="112"/>
        <v>1.1190228953809278E-2</v>
      </c>
      <c r="O79" s="27">
        <f t="shared" si="112"/>
        <v>5.9798383110692965E-3</v>
      </c>
      <c r="P79" s="27">
        <f t="shared" si="112"/>
        <v>3.1640459266198961E-3</v>
      </c>
      <c r="Q79" s="27">
        <f t="shared" si="112"/>
        <v>1.6657823499148794E-3</v>
      </c>
      <c r="R79" s="27">
        <f t="shared" si="112"/>
        <v>8.7568712061003584E-4</v>
      </c>
      <c r="S79" s="27">
        <f t="shared" si="112"/>
        <v>4.6084204337493162E-4</v>
      </c>
      <c r="T79" s="27">
        <f t="shared" si="112"/>
        <v>2.4324561525390639E-4</v>
      </c>
      <c r="U79" s="27">
        <f t="shared" si="112"/>
        <v>1.2895137690038805E-4</v>
      </c>
      <c r="V79" s="27">
        <f t="shared" si="112"/>
        <v>6.8727602328122472E-5</v>
      </c>
      <c r="W79" s="27">
        <f t="shared" si="112"/>
        <v>3.6853255314883704E-5</v>
      </c>
      <c r="X79" s="27">
        <f t="shared" si="112"/>
        <v>1.9892257293596671E-5</v>
      </c>
      <c r="Y79" s="27">
        <f t="shared" si="112"/>
        <v>1.0812119969116907E-5</v>
      </c>
      <c r="Z79" s="28">
        <f t="shared" si="112"/>
        <v>1.3354587585334698E-5</v>
      </c>
      <c r="AA79" s="26">
        <f t="shared" si="115"/>
        <v>1</v>
      </c>
      <c r="AB79" s="27">
        <f t="shared" si="113"/>
        <v>0</v>
      </c>
      <c r="AC79" s="27">
        <f t="shared" si="113"/>
        <v>0</v>
      </c>
      <c r="AD79" s="27">
        <f t="shared" si="113"/>
        <v>0</v>
      </c>
      <c r="AE79" s="27">
        <f t="shared" si="113"/>
        <v>0</v>
      </c>
      <c r="AF79" s="27">
        <f t="shared" si="113"/>
        <v>0</v>
      </c>
      <c r="AG79" s="27">
        <f t="shared" si="113"/>
        <v>0</v>
      </c>
      <c r="AH79" s="27">
        <f t="shared" si="113"/>
        <v>0</v>
      </c>
      <c r="AI79" s="27">
        <f t="shared" si="113"/>
        <v>0</v>
      </c>
      <c r="AJ79" s="27">
        <f t="shared" si="113"/>
        <v>0</v>
      </c>
      <c r="AK79" s="27">
        <f t="shared" si="113"/>
        <v>0</v>
      </c>
      <c r="AL79" s="27">
        <f t="shared" si="113"/>
        <v>0</v>
      </c>
      <c r="AM79" s="27">
        <f t="shared" si="113"/>
        <v>0</v>
      </c>
      <c r="AN79" s="27">
        <f t="shared" si="113"/>
        <v>0</v>
      </c>
      <c r="AO79" s="27">
        <f t="shared" si="113"/>
        <v>0</v>
      </c>
      <c r="AP79" s="27">
        <f t="shared" si="113"/>
        <v>0</v>
      </c>
      <c r="AQ79" s="27">
        <f t="shared" si="113"/>
        <v>0</v>
      </c>
      <c r="AR79" s="27">
        <f t="shared" si="113"/>
        <v>0</v>
      </c>
      <c r="AS79" s="27">
        <f t="shared" si="113"/>
        <v>0</v>
      </c>
      <c r="AT79" s="27">
        <f t="shared" si="113"/>
        <v>0</v>
      </c>
      <c r="AU79" s="27">
        <f t="shared" si="113"/>
        <v>0</v>
      </c>
      <c r="AV79" s="27">
        <f t="shared" si="113"/>
        <v>0</v>
      </c>
      <c r="AW79" s="27">
        <f t="shared" si="113"/>
        <v>0</v>
      </c>
      <c r="AX79" s="27">
        <f t="shared" si="113"/>
        <v>0</v>
      </c>
      <c r="AY79" s="28">
        <f t="shared" si="113"/>
        <v>0</v>
      </c>
    </row>
    <row r="80" spans="1:60" ht="15.5" x14ac:dyDescent="0.35">
      <c r="A80" s="43" t="s">
        <v>55</v>
      </c>
      <c r="B80" s="26">
        <f t="shared" si="114"/>
        <v>1.1252515066824072E-9</v>
      </c>
      <c r="C80" s="27">
        <f t="shared" si="112"/>
        <v>8.5417302076676904E-5</v>
      </c>
      <c r="D80" s="27">
        <f t="shared" si="112"/>
        <v>6.8605210951035783E-3</v>
      </c>
      <c r="E80" s="27">
        <f t="shared" si="112"/>
        <v>5.4995516290364227E-2</v>
      </c>
      <c r="F80" s="27">
        <f t="shared" si="112"/>
        <v>0.14302584549648958</v>
      </c>
      <c r="G80" s="27">
        <f t="shared" si="112"/>
        <v>0.20016629257165502</v>
      </c>
      <c r="H80" s="27">
        <f t="shared" si="112"/>
        <v>0.19497268310387805</v>
      </c>
      <c r="I80" s="27">
        <f t="shared" si="112"/>
        <v>0.15204898053997118</v>
      </c>
      <c r="J80" s="27">
        <f t="shared" si="112"/>
        <v>0.10293446359921987</v>
      </c>
      <c r="K80" s="27">
        <f t="shared" si="112"/>
        <v>6.3546557432595741E-2</v>
      </c>
      <c r="L80" s="27">
        <f t="shared" si="112"/>
        <v>3.6911951836713586E-2</v>
      </c>
      <c r="M80" s="27">
        <f t="shared" si="112"/>
        <v>2.0593508086637291E-2</v>
      </c>
      <c r="N80" s="27">
        <f t="shared" si="112"/>
        <v>1.1190228953809278E-2</v>
      </c>
      <c r="O80" s="27">
        <f t="shared" si="112"/>
        <v>5.9798383110692965E-3</v>
      </c>
      <c r="P80" s="27">
        <f t="shared" si="112"/>
        <v>3.1640459266198961E-3</v>
      </c>
      <c r="Q80" s="27">
        <f t="shared" si="112"/>
        <v>1.6657823499148792E-3</v>
      </c>
      <c r="R80" s="27">
        <f t="shared" ref="R80:Z83" si="116">AA47/$B47</f>
        <v>8.7568712061003595E-4</v>
      </c>
      <c r="S80" s="27">
        <f t="shared" si="116"/>
        <v>4.6084204337493162E-4</v>
      </c>
      <c r="T80" s="27">
        <f t="shared" si="116"/>
        <v>2.4324561525390645E-4</v>
      </c>
      <c r="U80" s="27">
        <f t="shared" si="116"/>
        <v>1.2895137690038805E-4</v>
      </c>
      <c r="V80" s="27">
        <f t="shared" si="116"/>
        <v>6.8727602328122472E-5</v>
      </c>
      <c r="W80" s="27">
        <f t="shared" si="116"/>
        <v>3.6853255314883704E-5</v>
      </c>
      <c r="X80" s="27">
        <f t="shared" si="116"/>
        <v>1.9892257293596671E-5</v>
      </c>
      <c r="Y80" s="27">
        <f t="shared" si="116"/>
        <v>1.0812119969116907E-5</v>
      </c>
      <c r="Z80" s="28">
        <f t="shared" si="116"/>
        <v>1.33545875853347E-5</v>
      </c>
      <c r="AA80" s="26">
        <f t="shared" si="115"/>
        <v>1</v>
      </c>
      <c r="AB80" s="27">
        <f t="shared" si="113"/>
        <v>0</v>
      </c>
      <c r="AC80" s="27">
        <f t="shared" si="113"/>
        <v>0</v>
      </c>
      <c r="AD80" s="27">
        <f t="shared" si="113"/>
        <v>0</v>
      </c>
      <c r="AE80" s="27">
        <f t="shared" si="113"/>
        <v>0</v>
      </c>
      <c r="AF80" s="27">
        <f t="shared" si="113"/>
        <v>0</v>
      </c>
      <c r="AG80" s="27">
        <f t="shared" si="113"/>
        <v>0</v>
      </c>
      <c r="AH80" s="27">
        <f t="shared" si="113"/>
        <v>0</v>
      </c>
      <c r="AI80" s="27">
        <f t="shared" si="113"/>
        <v>0</v>
      </c>
      <c r="AJ80" s="27">
        <f t="shared" si="113"/>
        <v>0</v>
      </c>
      <c r="AK80" s="27">
        <f t="shared" si="113"/>
        <v>0</v>
      </c>
      <c r="AL80" s="27">
        <f t="shared" si="113"/>
        <v>0</v>
      </c>
      <c r="AM80" s="27">
        <f t="shared" si="113"/>
        <v>0</v>
      </c>
      <c r="AN80" s="27">
        <f t="shared" si="113"/>
        <v>0</v>
      </c>
      <c r="AO80" s="27">
        <f t="shared" si="113"/>
        <v>0</v>
      </c>
      <c r="AP80" s="27">
        <f t="shared" si="113"/>
        <v>0</v>
      </c>
      <c r="AQ80" s="27">
        <f t="shared" ref="AQ80:AY83" si="117">AZ47/$B47</f>
        <v>0</v>
      </c>
      <c r="AR80" s="27">
        <f t="shared" si="117"/>
        <v>0</v>
      </c>
      <c r="AS80" s="27">
        <f t="shared" si="117"/>
        <v>0</v>
      </c>
      <c r="AT80" s="27">
        <f t="shared" si="117"/>
        <v>0</v>
      </c>
      <c r="AU80" s="27">
        <f t="shared" si="117"/>
        <v>0</v>
      </c>
      <c r="AV80" s="27">
        <f t="shared" si="117"/>
        <v>0</v>
      </c>
      <c r="AW80" s="27">
        <f t="shared" si="117"/>
        <v>0</v>
      </c>
      <c r="AX80" s="27">
        <f t="shared" si="117"/>
        <v>0</v>
      </c>
      <c r="AY80" s="28">
        <f t="shared" si="117"/>
        <v>0</v>
      </c>
    </row>
    <row r="81" spans="1:51" ht="15.5" x14ac:dyDescent="0.35">
      <c r="A81" s="43" t="s">
        <v>56</v>
      </c>
      <c r="B81" s="26">
        <f t="shared" si="114"/>
        <v>1.1252515066824072E-9</v>
      </c>
      <c r="C81" s="27">
        <f t="shared" ref="C81:Q83" si="118">L48/$B48</f>
        <v>8.5417302076676904E-5</v>
      </c>
      <c r="D81" s="27">
        <f t="shared" si="118"/>
        <v>6.8605210951035783E-3</v>
      </c>
      <c r="E81" s="27">
        <f t="shared" si="118"/>
        <v>5.4995516290364234E-2</v>
      </c>
      <c r="F81" s="27">
        <f t="shared" si="118"/>
        <v>0.14302584549648958</v>
      </c>
      <c r="G81" s="27">
        <f t="shared" si="118"/>
        <v>0.20016629257165502</v>
      </c>
      <c r="H81" s="27">
        <f t="shared" si="118"/>
        <v>0.19497268310387805</v>
      </c>
      <c r="I81" s="27">
        <f t="shared" si="118"/>
        <v>0.15204898053997118</v>
      </c>
      <c r="J81" s="27">
        <f t="shared" si="118"/>
        <v>0.10293446359921987</v>
      </c>
      <c r="K81" s="27">
        <f t="shared" si="118"/>
        <v>6.3546557432595741E-2</v>
      </c>
      <c r="L81" s="27">
        <f t="shared" si="118"/>
        <v>3.6911951836713593E-2</v>
      </c>
      <c r="M81" s="27">
        <f t="shared" si="118"/>
        <v>2.0593508086637291E-2</v>
      </c>
      <c r="N81" s="27">
        <f t="shared" si="118"/>
        <v>1.1190228953809278E-2</v>
      </c>
      <c r="O81" s="27">
        <f t="shared" si="118"/>
        <v>5.9798383110692965E-3</v>
      </c>
      <c r="P81" s="27">
        <f t="shared" si="118"/>
        <v>3.1640459266198961E-3</v>
      </c>
      <c r="Q81" s="27">
        <f t="shared" si="118"/>
        <v>1.6657823499148794E-3</v>
      </c>
      <c r="R81" s="27">
        <f t="shared" si="116"/>
        <v>8.7568712061003584E-4</v>
      </c>
      <c r="S81" s="27">
        <f t="shared" si="116"/>
        <v>4.6084204337493157E-4</v>
      </c>
      <c r="T81" s="27">
        <f t="shared" si="116"/>
        <v>2.4324561525390642E-4</v>
      </c>
      <c r="U81" s="27">
        <f t="shared" si="116"/>
        <v>1.2895137690038805E-4</v>
      </c>
      <c r="V81" s="27">
        <f t="shared" si="116"/>
        <v>6.8727602328122472E-5</v>
      </c>
      <c r="W81" s="27">
        <f t="shared" si="116"/>
        <v>3.6853255314883711E-5</v>
      </c>
      <c r="X81" s="27">
        <f t="shared" si="116"/>
        <v>1.9892257293596675E-5</v>
      </c>
      <c r="Y81" s="27">
        <f t="shared" si="116"/>
        <v>1.0812119969116908E-5</v>
      </c>
      <c r="Z81" s="28">
        <f t="shared" si="116"/>
        <v>1.3354587585334698E-5</v>
      </c>
      <c r="AA81" s="26">
        <f t="shared" si="115"/>
        <v>1</v>
      </c>
      <c r="AB81" s="27">
        <f t="shared" ref="AB81:AP83" si="119">AK48/$B48</f>
        <v>0</v>
      </c>
      <c r="AC81" s="27">
        <f t="shared" si="119"/>
        <v>0</v>
      </c>
      <c r="AD81" s="27">
        <f t="shared" si="119"/>
        <v>0</v>
      </c>
      <c r="AE81" s="27">
        <f t="shared" si="119"/>
        <v>0</v>
      </c>
      <c r="AF81" s="27">
        <f t="shared" si="119"/>
        <v>0</v>
      </c>
      <c r="AG81" s="27">
        <f t="shared" si="119"/>
        <v>0</v>
      </c>
      <c r="AH81" s="27">
        <f t="shared" si="119"/>
        <v>0</v>
      </c>
      <c r="AI81" s="27">
        <f t="shared" si="119"/>
        <v>0</v>
      </c>
      <c r="AJ81" s="27">
        <f t="shared" si="119"/>
        <v>0</v>
      </c>
      <c r="AK81" s="27">
        <f t="shared" si="119"/>
        <v>0</v>
      </c>
      <c r="AL81" s="27">
        <f t="shared" si="119"/>
        <v>0</v>
      </c>
      <c r="AM81" s="27">
        <f t="shared" si="119"/>
        <v>0</v>
      </c>
      <c r="AN81" s="27">
        <f t="shared" si="119"/>
        <v>0</v>
      </c>
      <c r="AO81" s="27">
        <f t="shared" si="119"/>
        <v>0</v>
      </c>
      <c r="AP81" s="27">
        <f t="shared" si="119"/>
        <v>0</v>
      </c>
      <c r="AQ81" s="27">
        <f t="shared" si="117"/>
        <v>0</v>
      </c>
      <c r="AR81" s="27">
        <f t="shared" si="117"/>
        <v>0</v>
      </c>
      <c r="AS81" s="27">
        <f t="shared" si="117"/>
        <v>0</v>
      </c>
      <c r="AT81" s="27">
        <f t="shared" si="117"/>
        <v>0</v>
      </c>
      <c r="AU81" s="27">
        <f t="shared" si="117"/>
        <v>0</v>
      </c>
      <c r="AV81" s="27">
        <f t="shared" si="117"/>
        <v>0</v>
      </c>
      <c r="AW81" s="27">
        <f t="shared" si="117"/>
        <v>0</v>
      </c>
      <c r="AX81" s="27">
        <f t="shared" si="117"/>
        <v>0</v>
      </c>
      <c r="AY81" s="28">
        <f t="shared" si="117"/>
        <v>0</v>
      </c>
    </row>
    <row r="82" spans="1:51" ht="15.5" x14ac:dyDescent="0.35">
      <c r="A82" s="43" t="s">
        <v>57</v>
      </c>
      <c r="B82" s="26">
        <f t="shared" si="114"/>
        <v>1.1252515066824072E-9</v>
      </c>
      <c r="C82" s="27">
        <f t="shared" si="118"/>
        <v>8.5417302076676904E-5</v>
      </c>
      <c r="D82" s="27">
        <f t="shared" si="118"/>
        <v>6.8605210951035792E-3</v>
      </c>
      <c r="E82" s="27">
        <f t="shared" si="118"/>
        <v>5.4995516290364227E-2</v>
      </c>
      <c r="F82" s="27">
        <f t="shared" si="118"/>
        <v>0.14302584549648958</v>
      </c>
      <c r="G82" s="27">
        <f t="shared" si="118"/>
        <v>0.20016629257165502</v>
      </c>
      <c r="H82" s="27">
        <f t="shared" si="118"/>
        <v>0.19497268310387805</v>
      </c>
      <c r="I82" s="27">
        <f t="shared" si="118"/>
        <v>0.15204898053997118</v>
      </c>
      <c r="J82" s="27">
        <f t="shared" si="118"/>
        <v>0.10293446359921987</v>
      </c>
      <c r="K82" s="27">
        <f t="shared" si="118"/>
        <v>6.3546557432595741E-2</v>
      </c>
      <c r="L82" s="27">
        <f t="shared" si="118"/>
        <v>3.6911951836713586E-2</v>
      </c>
      <c r="M82" s="27">
        <f t="shared" si="118"/>
        <v>2.0593508086637291E-2</v>
      </c>
      <c r="N82" s="27">
        <f t="shared" si="118"/>
        <v>1.1190228953809278E-2</v>
      </c>
      <c r="O82" s="27">
        <f t="shared" si="118"/>
        <v>5.9798383110692965E-3</v>
      </c>
      <c r="P82" s="27">
        <f t="shared" si="118"/>
        <v>3.1640459266198961E-3</v>
      </c>
      <c r="Q82" s="27">
        <f t="shared" si="118"/>
        <v>1.6657823499148794E-3</v>
      </c>
      <c r="R82" s="27">
        <f t="shared" si="116"/>
        <v>8.7568712061003573E-4</v>
      </c>
      <c r="S82" s="27">
        <f t="shared" si="116"/>
        <v>4.6084204337493162E-4</v>
      </c>
      <c r="T82" s="27">
        <f t="shared" si="116"/>
        <v>2.4324561525390642E-4</v>
      </c>
      <c r="U82" s="27">
        <f t="shared" si="116"/>
        <v>1.2895137690038805E-4</v>
      </c>
      <c r="V82" s="27">
        <f t="shared" si="116"/>
        <v>6.8727602328122472E-5</v>
      </c>
      <c r="W82" s="27">
        <f t="shared" si="116"/>
        <v>3.6853255314883704E-5</v>
      </c>
      <c r="X82" s="27">
        <f t="shared" si="116"/>
        <v>1.9892257293596671E-5</v>
      </c>
      <c r="Y82" s="27">
        <f t="shared" si="116"/>
        <v>1.0812119969116907E-5</v>
      </c>
      <c r="Z82" s="28">
        <f t="shared" si="116"/>
        <v>1.3354587585334698E-5</v>
      </c>
      <c r="AA82" s="26">
        <f t="shared" si="115"/>
        <v>1</v>
      </c>
      <c r="AB82" s="27">
        <f t="shared" si="119"/>
        <v>0</v>
      </c>
      <c r="AC82" s="27">
        <f t="shared" si="119"/>
        <v>0</v>
      </c>
      <c r="AD82" s="27">
        <f t="shared" si="119"/>
        <v>0</v>
      </c>
      <c r="AE82" s="27">
        <f t="shared" si="119"/>
        <v>0</v>
      </c>
      <c r="AF82" s="27">
        <f t="shared" si="119"/>
        <v>0</v>
      </c>
      <c r="AG82" s="27">
        <f t="shared" si="119"/>
        <v>0</v>
      </c>
      <c r="AH82" s="27">
        <f t="shared" si="119"/>
        <v>0</v>
      </c>
      <c r="AI82" s="27">
        <f t="shared" si="119"/>
        <v>0</v>
      </c>
      <c r="AJ82" s="27">
        <f t="shared" si="119"/>
        <v>0</v>
      </c>
      <c r="AK82" s="27">
        <f t="shared" si="119"/>
        <v>0</v>
      </c>
      <c r="AL82" s="27">
        <f t="shared" si="119"/>
        <v>0</v>
      </c>
      <c r="AM82" s="27">
        <f t="shared" si="119"/>
        <v>0</v>
      </c>
      <c r="AN82" s="27">
        <f t="shared" si="119"/>
        <v>0</v>
      </c>
      <c r="AO82" s="27">
        <f t="shared" si="119"/>
        <v>0</v>
      </c>
      <c r="AP82" s="27">
        <f t="shared" si="119"/>
        <v>0</v>
      </c>
      <c r="AQ82" s="27">
        <f t="shared" si="117"/>
        <v>0</v>
      </c>
      <c r="AR82" s="27">
        <f t="shared" si="117"/>
        <v>0</v>
      </c>
      <c r="AS82" s="27">
        <f t="shared" si="117"/>
        <v>0</v>
      </c>
      <c r="AT82" s="27">
        <f t="shared" si="117"/>
        <v>0</v>
      </c>
      <c r="AU82" s="27">
        <f t="shared" si="117"/>
        <v>0</v>
      </c>
      <c r="AV82" s="27">
        <f t="shared" si="117"/>
        <v>0</v>
      </c>
      <c r="AW82" s="27">
        <f t="shared" si="117"/>
        <v>0</v>
      </c>
      <c r="AX82" s="27">
        <f t="shared" si="117"/>
        <v>0</v>
      </c>
      <c r="AY82" s="28">
        <f t="shared" si="117"/>
        <v>0</v>
      </c>
    </row>
    <row r="83" spans="1:51" ht="15.5" x14ac:dyDescent="0.35">
      <c r="A83" s="43" t="s">
        <v>77</v>
      </c>
      <c r="B83" s="26">
        <f t="shared" si="114"/>
        <v>1.1252515066824072E-9</v>
      </c>
      <c r="C83" s="27">
        <f t="shared" si="118"/>
        <v>8.5417302076676904E-5</v>
      </c>
      <c r="D83" s="27">
        <f t="shared" si="118"/>
        <v>6.8605210951035783E-3</v>
      </c>
      <c r="E83" s="27">
        <f t="shared" si="118"/>
        <v>5.4995516290364234E-2</v>
      </c>
      <c r="F83" s="27">
        <f t="shared" si="118"/>
        <v>0.14302584549648958</v>
      </c>
      <c r="G83" s="27">
        <f t="shared" si="118"/>
        <v>0.20016629257165502</v>
      </c>
      <c r="H83" s="27">
        <f t="shared" si="118"/>
        <v>0.19497268310387805</v>
      </c>
      <c r="I83" s="27">
        <f t="shared" si="118"/>
        <v>0.15204898053997118</v>
      </c>
      <c r="J83" s="27">
        <f t="shared" si="118"/>
        <v>0.10293446359921987</v>
      </c>
      <c r="K83" s="27">
        <f t="shared" si="118"/>
        <v>6.3546557432595741E-2</v>
      </c>
      <c r="L83" s="27">
        <f t="shared" si="118"/>
        <v>3.6911951836713586E-2</v>
      </c>
      <c r="M83" s="27">
        <f t="shared" si="118"/>
        <v>2.0593508086637291E-2</v>
      </c>
      <c r="N83" s="27">
        <f t="shared" si="118"/>
        <v>1.1190228953809278E-2</v>
      </c>
      <c r="O83" s="27">
        <f t="shared" si="118"/>
        <v>5.9798383110692965E-3</v>
      </c>
      <c r="P83" s="27">
        <f t="shared" si="118"/>
        <v>3.1640459266198961E-3</v>
      </c>
      <c r="Q83" s="27">
        <f t="shared" si="118"/>
        <v>1.6657823499148794E-3</v>
      </c>
      <c r="R83" s="27">
        <f t="shared" si="116"/>
        <v>8.7568712061003584E-4</v>
      </c>
      <c r="S83" s="27">
        <f t="shared" si="116"/>
        <v>4.6084204337493162E-4</v>
      </c>
      <c r="T83" s="27">
        <f t="shared" si="116"/>
        <v>2.4324561525390642E-4</v>
      </c>
      <c r="U83" s="27">
        <f t="shared" si="116"/>
        <v>1.2895137690038805E-4</v>
      </c>
      <c r="V83" s="27">
        <f t="shared" si="116"/>
        <v>6.8727602328122472E-5</v>
      </c>
      <c r="W83" s="27">
        <f t="shared" si="116"/>
        <v>3.6853255314883704E-5</v>
      </c>
      <c r="X83" s="27">
        <f t="shared" si="116"/>
        <v>1.9892257293596671E-5</v>
      </c>
      <c r="Y83" s="27">
        <f t="shared" si="116"/>
        <v>1.0812119969116907E-5</v>
      </c>
      <c r="Z83" s="28">
        <f t="shared" si="116"/>
        <v>1.3354587585334698E-5</v>
      </c>
      <c r="AA83" s="26">
        <f t="shared" si="115"/>
        <v>1</v>
      </c>
      <c r="AB83" s="27">
        <f t="shared" si="119"/>
        <v>0</v>
      </c>
      <c r="AC83" s="27">
        <f t="shared" si="119"/>
        <v>0</v>
      </c>
      <c r="AD83" s="27">
        <f t="shared" si="119"/>
        <v>0</v>
      </c>
      <c r="AE83" s="27">
        <f t="shared" si="119"/>
        <v>0</v>
      </c>
      <c r="AF83" s="27">
        <f t="shared" si="119"/>
        <v>0</v>
      </c>
      <c r="AG83" s="27">
        <f t="shared" si="119"/>
        <v>0</v>
      </c>
      <c r="AH83" s="27">
        <f t="shared" si="119"/>
        <v>0</v>
      </c>
      <c r="AI83" s="27">
        <f t="shared" si="119"/>
        <v>0</v>
      </c>
      <c r="AJ83" s="27">
        <f t="shared" si="119"/>
        <v>0</v>
      </c>
      <c r="AK83" s="27">
        <f t="shared" si="119"/>
        <v>0</v>
      </c>
      <c r="AL83" s="27">
        <f t="shared" si="119"/>
        <v>0</v>
      </c>
      <c r="AM83" s="27">
        <f t="shared" si="119"/>
        <v>0</v>
      </c>
      <c r="AN83" s="27">
        <f t="shared" si="119"/>
        <v>0</v>
      </c>
      <c r="AO83" s="27">
        <f t="shared" si="119"/>
        <v>0</v>
      </c>
      <c r="AP83" s="27">
        <f t="shared" si="119"/>
        <v>0</v>
      </c>
      <c r="AQ83" s="27">
        <f t="shared" si="117"/>
        <v>0</v>
      </c>
      <c r="AR83" s="27">
        <f t="shared" si="117"/>
        <v>0</v>
      </c>
      <c r="AS83" s="27">
        <f t="shared" si="117"/>
        <v>0</v>
      </c>
      <c r="AT83" s="27">
        <f t="shared" si="117"/>
        <v>0</v>
      </c>
      <c r="AU83" s="27">
        <f t="shared" si="117"/>
        <v>0</v>
      </c>
      <c r="AV83" s="27">
        <f t="shared" si="117"/>
        <v>0</v>
      </c>
      <c r="AW83" s="27">
        <f t="shared" si="117"/>
        <v>0</v>
      </c>
      <c r="AX83" s="27">
        <f t="shared" si="117"/>
        <v>0</v>
      </c>
      <c r="AY83" s="28">
        <f t="shared" si="117"/>
        <v>0</v>
      </c>
    </row>
    <row r="84" spans="1:51" ht="15.5" x14ac:dyDescent="0.35">
      <c r="A84" s="44"/>
      <c r="B84" s="26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8"/>
      <c r="AA84" s="26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8"/>
    </row>
    <row r="85" spans="1:51" ht="15.5" x14ac:dyDescent="0.35">
      <c r="A85" s="43" t="s">
        <v>60</v>
      </c>
      <c r="B85" s="26">
        <f>K52/$B52</f>
        <v>1.1252515066824072E-9</v>
      </c>
      <c r="C85" s="27">
        <f t="shared" ref="C85:Z95" si="120">L52/$B52</f>
        <v>8.5417302076676904E-5</v>
      </c>
      <c r="D85" s="27">
        <f t="shared" si="120"/>
        <v>6.8605210951035783E-3</v>
      </c>
      <c r="E85" s="27">
        <f t="shared" si="120"/>
        <v>5.4995516290364234E-2</v>
      </c>
      <c r="F85" s="27">
        <f t="shared" si="120"/>
        <v>0.14302584549648958</v>
      </c>
      <c r="G85" s="27">
        <f t="shared" si="120"/>
        <v>0.20016629257165502</v>
      </c>
      <c r="H85" s="27">
        <f t="shared" si="120"/>
        <v>0.19497268310387805</v>
      </c>
      <c r="I85" s="27">
        <f t="shared" si="120"/>
        <v>0.15204898053997118</v>
      </c>
      <c r="J85" s="27">
        <f t="shared" si="120"/>
        <v>0.10293446359921987</v>
      </c>
      <c r="K85" s="27">
        <f t="shared" si="120"/>
        <v>6.3546557432595741E-2</v>
      </c>
      <c r="L85" s="27">
        <f t="shared" si="120"/>
        <v>3.6911951836713586E-2</v>
      </c>
      <c r="M85" s="27">
        <f t="shared" si="120"/>
        <v>2.0593508086637291E-2</v>
      </c>
      <c r="N85" s="27">
        <f t="shared" si="120"/>
        <v>1.1190228953809278E-2</v>
      </c>
      <c r="O85" s="27">
        <f t="shared" si="120"/>
        <v>5.9798383110692965E-3</v>
      </c>
      <c r="P85" s="27">
        <f t="shared" si="120"/>
        <v>3.1640459266198961E-3</v>
      </c>
      <c r="Q85" s="27">
        <f t="shared" si="120"/>
        <v>1.6657823499148794E-3</v>
      </c>
      <c r="R85" s="27">
        <f t="shared" si="120"/>
        <v>8.7568712061003584E-4</v>
      </c>
      <c r="S85" s="27">
        <f t="shared" si="120"/>
        <v>4.6084204337493162E-4</v>
      </c>
      <c r="T85" s="27">
        <f t="shared" si="120"/>
        <v>2.4324561525390642E-4</v>
      </c>
      <c r="U85" s="27">
        <f t="shared" si="120"/>
        <v>1.2895137690038805E-4</v>
      </c>
      <c r="V85" s="27">
        <f t="shared" si="120"/>
        <v>6.8727602328122472E-5</v>
      </c>
      <c r="W85" s="27">
        <f t="shared" si="120"/>
        <v>3.6853255314883704E-5</v>
      </c>
      <c r="X85" s="27">
        <f t="shared" si="120"/>
        <v>1.9892257293596671E-5</v>
      </c>
      <c r="Y85" s="27">
        <f t="shared" si="120"/>
        <v>1.0812119969116907E-5</v>
      </c>
      <c r="Z85" s="28">
        <f t="shared" si="120"/>
        <v>1.3354587585334698E-5</v>
      </c>
      <c r="AA85" s="26">
        <f>AJ52/$B52</f>
        <v>1</v>
      </c>
      <c r="AB85" s="27">
        <f t="shared" ref="AB85:AY95" si="121">AK52/$B52</f>
        <v>0</v>
      </c>
      <c r="AC85" s="27">
        <f t="shared" si="121"/>
        <v>0</v>
      </c>
      <c r="AD85" s="27">
        <f t="shared" si="121"/>
        <v>0</v>
      </c>
      <c r="AE85" s="27">
        <f t="shared" si="121"/>
        <v>0</v>
      </c>
      <c r="AF85" s="27">
        <f t="shared" si="121"/>
        <v>0</v>
      </c>
      <c r="AG85" s="27">
        <f t="shared" si="121"/>
        <v>0</v>
      </c>
      <c r="AH85" s="27">
        <f t="shared" si="121"/>
        <v>0</v>
      </c>
      <c r="AI85" s="27">
        <f t="shared" si="121"/>
        <v>0</v>
      </c>
      <c r="AJ85" s="27">
        <f t="shared" si="121"/>
        <v>0</v>
      </c>
      <c r="AK85" s="27">
        <f t="shared" si="121"/>
        <v>0</v>
      </c>
      <c r="AL85" s="27">
        <f t="shared" si="121"/>
        <v>0</v>
      </c>
      <c r="AM85" s="27">
        <f t="shared" si="121"/>
        <v>0</v>
      </c>
      <c r="AN85" s="27">
        <f t="shared" si="121"/>
        <v>0</v>
      </c>
      <c r="AO85" s="27">
        <f t="shared" si="121"/>
        <v>0</v>
      </c>
      <c r="AP85" s="27">
        <f t="shared" si="121"/>
        <v>0</v>
      </c>
      <c r="AQ85" s="27">
        <f t="shared" si="121"/>
        <v>0</v>
      </c>
      <c r="AR85" s="27">
        <f t="shared" si="121"/>
        <v>0</v>
      </c>
      <c r="AS85" s="27">
        <f t="shared" si="121"/>
        <v>0</v>
      </c>
      <c r="AT85" s="27">
        <f t="shared" si="121"/>
        <v>0</v>
      </c>
      <c r="AU85" s="27">
        <f t="shared" si="121"/>
        <v>0</v>
      </c>
      <c r="AV85" s="27">
        <f t="shared" si="121"/>
        <v>0</v>
      </c>
      <c r="AW85" s="27">
        <f t="shared" si="121"/>
        <v>0</v>
      </c>
      <c r="AX85" s="27">
        <f t="shared" si="121"/>
        <v>0</v>
      </c>
      <c r="AY85" s="28">
        <f t="shared" si="121"/>
        <v>0</v>
      </c>
    </row>
    <row r="86" spans="1:51" ht="15.5" x14ac:dyDescent="0.35">
      <c r="A86" s="43" t="s">
        <v>61</v>
      </c>
      <c r="B86" s="26">
        <f t="shared" ref="B86:B98" si="122">K53/$B53</f>
        <v>1.1252515066824072E-9</v>
      </c>
      <c r="C86" s="27">
        <f t="shared" si="120"/>
        <v>8.5417302076676904E-5</v>
      </c>
      <c r="D86" s="27">
        <f t="shared" si="120"/>
        <v>6.8605210951035783E-3</v>
      </c>
      <c r="E86" s="27">
        <f t="shared" si="120"/>
        <v>5.4995516290364234E-2</v>
      </c>
      <c r="F86" s="27">
        <f t="shared" si="120"/>
        <v>0.14302584549648958</v>
      </c>
      <c r="G86" s="27">
        <f t="shared" si="120"/>
        <v>0.20016629257165502</v>
      </c>
      <c r="H86" s="27">
        <f t="shared" si="120"/>
        <v>0.19497268310387805</v>
      </c>
      <c r="I86" s="27">
        <f t="shared" si="120"/>
        <v>0.15204898053997118</v>
      </c>
      <c r="J86" s="27">
        <f t="shared" si="120"/>
        <v>0.10293446359921987</v>
      </c>
      <c r="K86" s="27">
        <f t="shared" si="120"/>
        <v>6.3546557432595741E-2</v>
      </c>
      <c r="L86" s="27">
        <f t="shared" si="120"/>
        <v>3.6911951836713586E-2</v>
      </c>
      <c r="M86" s="27">
        <f t="shared" si="120"/>
        <v>2.0593508086637291E-2</v>
      </c>
      <c r="N86" s="27">
        <f t="shared" si="120"/>
        <v>1.1190228953809278E-2</v>
      </c>
      <c r="O86" s="27">
        <f t="shared" si="120"/>
        <v>5.9798383110692965E-3</v>
      </c>
      <c r="P86" s="27">
        <f t="shared" si="120"/>
        <v>3.1640459266198961E-3</v>
      </c>
      <c r="Q86" s="27">
        <f t="shared" si="120"/>
        <v>1.6657823499148794E-3</v>
      </c>
      <c r="R86" s="27">
        <f t="shared" si="120"/>
        <v>8.7568712061003584E-4</v>
      </c>
      <c r="S86" s="27">
        <f t="shared" si="120"/>
        <v>4.6084204337493162E-4</v>
      </c>
      <c r="T86" s="27">
        <f t="shared" si="120"/>
        <v>2.4324561525390639E-4</v>
      </c>
      <c r="U86" s="27">
        <f t="shared" si="120"/>
        <v>1.2895137690038805E-4</v>
      </c>
      <c r="V86" s="27">
        <f t="shared" si="120"/>
        <v>6.8727602328122472E-5</v>
      </c>
      <c r="W86" s="27">
        <f t="shared" si="120"/>
        <v>3.6853255314883704E-5</v>
      </c>
      <c r="X86" s="27">
        <f t="shared" si="120"/>
        <v>1.9892257293596671E-5</v>
      </c>
      <c r="Y86" s="27">
        <f t="shared" si="120"/>
        <v>1.0812119969116907E-5</v>
      </c>
      <c r="Z86" s="28">
        <f t="shared" si="120"/>
        <v>1.3354587585334698E-5</v>
      </c>
      <c r="AA86" s="26">
        <f t="shared" ref="AA86:AA98" si="123">AJ53/$B53</f>
        <v>1</v>
      </c>
      <c r="AB86" s="27">
        <f t="shared" si="121"/>
        <v>0</v>
      </c>
      <c r="AC86" s="27">
        <f t="shared" si="121"/>
        <v>0</v>
      </c>
      <c r="AD86" s="27">
        <f t="shared" si="121"/>
        <v>0</v>
      </c>
      <c r="AE86" s="27">
        <f t="shared" si="121"/>
        <v>0</v>
      </c>
      <c r="AF86" s="27">
        <f t="shared" si="121"/>
        <v>0</v>
      </c>
      <c r="AG86" s="27">
        <f t="shared" si="121"/>
        <v>0</v>
      </c>
      <c r="AH86" s="27">
        <f t="shared" si="121"/>
        <v>0</v>
      </c>
      <c r="AI86" s="27">
        <f t="shared" si="121"/>
        <v>0</v>
      </c>
      <c r="AJ86" s="27">
        <f t="shared" si="121"/>
        <v>0</v>
      </c>
      <c r="AK86" s="27">
        <f t="shared" si="121"/>
        <v>0</v>
      </c>
      <c r="AL86" s="27">
        <f t="shared" si="121"/>
        <v>0</v>
      </c>
      <c r="AM86" s="27">
        <f t="shared" si="121"/>
        <v>0</v>
      </c>
      <c r="AN86" s="27">
        <f t="shared" si="121"/>
        <v>0</v>
      </c>
      <c r="AO86" s="27">
        <f t="shared" si="121"/>
        <v>0</v>
      </c>
      <c r="AP86" s="27">
        <f t="shared" si="121"/>
        <v>0</v>
      </c>
      <c r="AQ86" s="27">
        <f t="shared" si="121"/>
        <v>0</v>
      </c>
      <c r="AR86" s="27">
        <f t="shared" si="121"/>
        <v>0</v>
      </c>
      <c r="AS86" s="27">
        <f t="shared" si="121"/>
        <v>0</v>
      </c>
      <c r="AT86" s="27">
        <f t="shared" si="121"/>
        <v>0</v>
      </c>
      <c r="AU86" s="27">
        <f t="shared" si="121"/>
        <v>0</v>
      </c>
      <c r="AV86" s="27">
        <f t="shared" si="121"/>
        <v>0</v>
      </c>
      <c r="AW86" s="27">
        <f t="shared" si="121"/>
        <v>0</v>
      </c>
      <c r="AX86" s="27">
        <f t="shared" si="121"/>
        <v>0</v>
      </c>
      <c r="AY86" s="28">
        <f t="shared" si="121"/>
        <v>0</v>
      </c>
    </row>
    <row r="87" spans="1:51" ht="15.5" x14ac:dyDescent="0.35">
      <c r="A87" s="43" t="s">
        <v>62</v>
      </c>
      <c r="B87" s="26">
        <f t="shared" si="122"/>
        <v>1.1252515066824072E-9</v>
      </c>
      <c r="C87" s="27">
        <f t="shared" si="120"/>
        <v>8.5417302076676904E-5</v>
      </c>
      <c r="D87" s="27">
        <f t="shared" si="120"/>
        <v>6.8605210951035783E-3</v>
      </c>
      <c r="E87" s="27">
        <f t="shared" si="120"/>
        <v>5.4995516290364234E-2</v>
      </c>
      <c r="F87" s="27">
        <f t="shared" si="120"/>
        <v>0.14302584549648958</v>
      </c>
      <c r="G87" s="27">
        <f t="shared" si="120"/>
        <v>0.20016629257165502</v>
      </c>
      <c r="H87" s="27">
        <f t="shared" si="120"/>
        <v>0.19497268310387805</v>
      </c>
      <c r="I87" s="27">
        <f t="shared" si="120"/>
        <v>0.15204898053997118</v>
      </c>
      <c r="J87" s="27">
        <f t="shared" si="120"/>
        <v>0.10293446359921987</v>
      </c>
      <c r="K87" s="27">
        <f t="shared" si="120"/>
        <v>6.3546557432595741E-2</v>
      </c>
      <c r="L87" s="27">
        <f t="shared" si="120"/>
        <v>3.6911951836713586E-2</v>
      </c>
      <c r="M87" s="27">
        <f t="shared" si="120"/>
        <v>2.0593508086637291E-2</v>
      </c>
      <c r="N87" s="27">
        <f t="shared" si="120"/>
        <v>1.1190228953809278E-2</v>
      </c>
      <c r="O87" s="27">
        <f t="shared" si="120"/>
        <v>5.9798383110692965E-3</v>
      </c>
      <c r="P87" s="27">
        <f t="shared" si="120"/>
        <v>3.1640459266198961E-3</v>
      </c>
      <c r="Q87" s="27">
        <f t="shared" si="120"/>
        <v>1.6657823499148794E-3</v>
      </c>
      <c r="R87" s="27">
        <f t="shared" si="120"/>
        <v>8.7568712061003584E-4</v>
      </c>
      <c r="S87" s="27">
        <f t="shared" si="120"/>
        <v>4.6084204337493162E-4</v>
      </c>
      <c r="T87" s="27">
        <f t="shared" si="120"/>
        <v>2.4324561525390642E-4</v>
      </c>
      <c r="U87" s="27">
        <f t="shared" si="120"/>
        <v>1.2895137690038805E-4</v>
      </c>
      <c r="V87" s="27">
        <f t="shared" si="120"/>
        <v>6.8727602328122472E-5</v>
      </c>
      <c r="W87" s="27">
        <f t="shared" si="120"/>
        <v>3.6853255314883704E-5</v>
      </c>
      <c r="X87" s="27">
        <f t="shared" si="120"/>
        <v>1.9892257293596671E-5</v>
      </c>
      <c r="Y87" s="27">
        <f t="shared" si="120"/>
        <v>1.0812119969116907E-5</v>
      </c>
      <c r="Z87" s="28">
        <f t="shared" si="120"/>
        <v>1.3354587585334698E-5</v>
      </c>
      <c r="AA87" s="26">
        <f t="shared" si="123"/>
        <v>1</v>
      </c>
      <c r="AB87" s="27">
        <f t="shared" si="121"/>
        <v>0</v>
      </c>
      <c r="AC87" s="27">
        <f t="shared" si="121"/>
        <v>0</v>
      </c>
      <c r="AD87" s="27">
        <f t="shared" si="121"/>
        <v>0</v>
      </c>
      <c r="AE87" s="27">
        <f t="shared" si="121"/>
        <v>0</v>
      </c>
      <c r="AF87" s="27">
        <f t="shared" si="121"/>
        <v>0</v>
      </c>
      <c r="AG87" s="27">
        <f t="shared" si="121"/>
        <v>0</v>
      </c>
      <c r="AH87" s="27">
        <f t="shared" si="121"/>
        <v>0</v>
      </c>
      <c r="AI87" s="27">
        <f t="shared" si="121"/>
        <v>0</v>
      </c>
      <c r="AJ87" s="27">
        <f t="shared" si="121"/>
        <v>0</v>
      </c>
      <c r="AK87" s="27">
        <f t="shared" si="121"/>
        <v>0</v>
      </c>
      <c r="AL87" s="27">
        <f t="shared" si="121"/>
        <v>0</v>
      </c>
      <c r="AM87" s="27">
        <f t="shared" si="121"/>
        <v>0</v>
      </c>
      <c r="AN87" s="27">
        <f t="shared" si="121"/>
        <v>0</v>
      </c>
      <c r="AO87" s="27">
        <f t="shared" si="121"/>
        <v>0</v>
      </c>
      <c r="AP87" s="27">
        <f t="shared" si="121"/>
        <v>0</v>
      </c>
      <c r="AQ87" s="27">
        <f t="shared" si="121"/>
        <v>0</v>
      </c>
      <c r="AR87" s="27">
        <f t="shared" si="121"/>
        <v>0</v>
      </c>
      <c r="AS87" s="27">
        <f t="shared" si="121"/>
        <v>0</v>
      </c>
      <c r="AT87" s="27">
        <f t="shared" si="121"/>
        <v>0</v>
      </c>
      <c r="AU87" s="27">
        <f t="shared" si="121"/>
        <v>0</v>
      </c>
      <c r="AV87" s="27">
        <f t="shared" si="121"/>
        <v>0</v>
      </c>
      <c r="AW87" s="27">
        <f t="shared" si="121"/>
        <v>0</v>
      </c>
      <c r="AX87" s="27">
        <f t="shared" si="121"/>
        <v>0</v>
      </c>
      <c r="AY87" s="28">
        <f t="shared" si="121"/>
        <v>0</v>
      </c>
    </row>
    <row r="88" spans="1:51" ht="15.5" x14ac:dyDescent="0.35">
      <c r="A88" s="43" t="s">
        <v>63</v>
      </c>
      <c r="B88" s="26">
        <f t="shared" si="122"/>
        <v>1.1252515066824072E-9</v>
      </c>
      <c r="C88" s="27">
        <f t="shared" si="120"/>
        <v>8.5417302076676904E-5</v>
      </c>
      <c r="D88" s="27">
        <f t="shared" si="120"/>
        <v>6.8605210951035783E-3</v>
      </c>
      <c r="E88" s="27">
        <f t="shared" si="120"/>
        <v>5.4995516290364234E-2</v>
      </c>
      <c r="F88" s="27">
        <f t="shared" si="120"/>
        <v>0.14302584549648958</v>
      </c>
      <c r="G88" s="27">
        <f t="shared" si="120"/>
        <v>0.20016629257165502</v>
      </c>
      <c r="H88" s="27">
        <f t="shared" si="120"/>
        <v>0.19497268310387805</v>
      </c>
      <c r="I88" s="27">
        <f t="shared" si="120"/>
        <v>0.15204898053997118</v>
      </c>
      <c r="J88" s="27">
        <f t="shared" si="120"/>
        <v>0.10293446359921987</v>
      </c>
      <c r="K88" s="27">
        <f t="shared" si="120"/>
        <v>6.3546557432595741E-2</v>
      </c>
      <c r="L88" s="27">
        <f t="shared" si="120"/>
        <v>3.6911951836713586E-2</v>
      </c>
      <c r="M88" s="27">
        <f t="shared" si="120"/>
        <v>2.0593508086637291E-2</v>
      </c>
      <c r="N88" s="27">
        <f t="shared" si="120"/>
        <v>1.1190228953809278E-2</v>
      </c>
      <c r="O88" s="27">
        <f t="shared" si="120"/>
        <v>5.9798383110692965E-3</v>
      </c>
      <c r="P88" s="27">
        <f t="shared" si="120"/>
        <v>3.1640459266198961E-3</v>
      </c>
      <c r="Q88" s="27">
        <f t="shared" si="120"/>
        <v>1.6657823499148794E-3</v>
      </c>
      <c r="R88" s="27">
        <f t="shared" si="120"/>
        <v>8.7568712061003584E-4</v>
      </c>
      <c r="S88" s="27">
        <f t="shared" si="120"/>
        <v>4.6084204337493162E-4</v>
      </c>
      <c r="T88" s="27">
        <f t="shared" si="120"/>
        <v>2.4324561525390645E-4</v>
      </c>
      <c r="U88" s="27">
        <f t="shared" si="120"/>
        <v>1.2895137690038805E-4</v>
      </c>
      <c r="V88" s="27">
        <f t="shared" si="120"/>
        <v>6.8727602328122472E-5</v>
      </c>
      <c r="W88" s="27">
        <f t="shared" si="120"/>
        <v>3.6853255314883704E-5</v>
      </c>
      <c r="X88" s="27">
        <f t="shared" si="120"/>
        <v>1.9892257293596671E-5</v>
      </c>
      <c r="Y88" s="27">
        <f t="shared" si="120"/>
        <v>1.0812119969116907E-5</v>
      </c>
      <c r="Z88" s="28">
        <f t="shared" si="120"/>
        <v>1.3354587585334698E-5</v>
      </c>
      <c r="AA88" s="26">
        <f t="shared" si="123"/>
        <v>1</v>
      </c>
      <c r="AB88" s="27">
        <f t="shared" si="121"/>
        <v>0</v>
      </c>
      <c r="AC88" s="27">
        <f t="shared" si="121"/>
        <v>0</v>
      </c>
      <c r="AD88" s="27">
        <f t="shared" si="121"/>
        <v>0</v>
      </c>
      <c r="AE88" s="27">
        <f t="shared" si="121"/>
        <v>0</v>
      </c>
      <c r="AF88" s="27">
        <f t="shared" si="121"/>
        <v>0</v>
      </c>
      <c r="AG88" s="27">
        <f t="shared" si="121"/>
        <v>0</v>
      </c>
      <c r="AH88" s="27">
        <f t="shared" si="121"/>
        <v>0</v>
      </c>
      <c r="AI88" s="27">
        <f t="shared" si="121"/>
        <v>0</v>
      </c>
      <c r="AJ88" s="27">
        <f t="shared" si="121"/>
        <v>0</v>
      </c>
      <c r="AK88" s="27">
        <f t="shared" si="121"/>
        <v>0</v>
      </c>
      <c r="AL88" s="27">
        <f t="shared" si="121"/>
        <v>0</v>
      </c>
      <c r="AM88" s="27">
        <f t="shared" si="121"/>
        <v>0</v>
      </c>
      <c r="AN88" s="27">
        <f t="shared" si="121"/>
        <v>0</v>
      </c>
      <c r="AO88" s="27">
        <f t="shared" si="121"/>
        <v>0</v>
      </c>
      <c r="AP88" s="27">
        <f t="shared" si="121"/>
        <v>0</v>
      </c>
      <c r="AQ88" s="27">
        <f t="shared" si="121"/>
        <v>0</v>
      </c>
      <c r="AR88" s="27">
        <f t="shared" si="121"/>
        <v>0</v>
      </c>
      <c r="AS88" s="27">
        <f t="shared" si="121"/>
        <v>0</v>
      </c>
      <c r="AT88" s="27">
        <f t="shared" si="121"/>
        <v>0</v>
      </c>
      <c r="AU88" s="27">
        <f t="shared" si="121"/>
        <v>0</v>
      </c>
      <c r="AV88" s="27">
        <f t="shared" si="121"/>
        <v>0</v>
      </c>
      <c r="AW88" s="27">
        <f t="shared" si="121"/>
        <v>0</v>
      </c>
      <c r="AX88" s="27">
        <f t="shared" si="121"/>
        <v>0</v>
      </c>
      <c r="AY88" s="28">
        <f t="shared" si="121"/>
        <v>0</v>
      </c>
    </row>
    <row r="89" spans="1:51" ht="15.5" x14ac:dyDescent="0.35">
      <c r="A89" s="43" t="s">
        <v>64</v>
      </c>
      <c r="B89" s="26">
        <f t="shared" si="122"/>
        <v>1.1252515066824072E-9</v>
      </c>
      <c r="C89" s="27">
        <f t="shared" si="120"/>
        <v>8.5417302076676904E-5</v>
      </c>
      <c r="D89" s="27">
        <f t="shared" si="120"/>
        <v>6.8605210951035783E-3</v>
      </c>
      <c r="E89" s="27">
        <f t="shared" si="120"/>
        <v>5.4995516290364241E-2</v>
      </c>
      <c r="F89" s="27">
        <f t="shared" si="120"/>
        <v>0.14302584549648958</v>
      </c>
      <c r="G89" s="27">
        <f t="shared" si="120"/>
        <v>0.20016629257165502</v>
      </c>
      <c r="H89" s="27">
        <f t="shared" si="120"/>
        <v>0.19497268310387805</v>
      </c>
      <c r="I89" s="27">
        <f t="shared" si="120"/>
        <v>0.15204898053997118</v>
      </c>
      <c r="J89" s="27">
        <f t="shared" si="120"/>
        <v>0.10293446359921987</v>
      </c>
      <c r="K89" s="27">
        <f t="shared" si="120"/>
        <v>6.3546557432595741E-2</v>
      </c>
      <c r="L89" s="27">
        <f t="shared" si="120"/>
        <v>3.6911951836713586E-2</v>
      </c>
      <c r="M89" s="27">
        <f t="shared" si="120"/>
        <v>2.0593508086637291E-2</v>
      </c>
      <c r="N89" s="27">
        <f t="shared" si="120"/>
        <v>1.1190228953809278E-2</v>
      </c>
      <c r="O89" s="27">
        <f t="shared" si="120"/>
        <v>5.9798383110692965E-3</v>
      </c>
      <c r="P89" s="27">
        <f t="shared" si="120"/>
        <v>3.1640459266198961E-3</v>
      </c>
      <c r="Q89" s="27">
        <f t="shared" si="120"/>
        <v>1.6657823499148794E-3</v>
      </c>
      <c r="R89" s="27">
        <f t="shared" si="120"/>
        <v>8.7568712061003584E-4</v>
      </c>
      <c r="S89" s="27">
        <f t="shared" si="120"/>
        <v>4.6084204337493162E-4</v>
      </c>
      <c r="T89" s="27">
        <f t="shared" si="120"/>
        <v>2.4324561525390642E-4</v>
      </c>
      <c r="U89" s="27">
        <f t="shared" si="120"/>
        <v>1.2895137690038805E-4</v>
      </c>
      <c r="V89" s="27">
        <f t="shared" si="120"/>
        <v>6.8727602328122472E-5</v>
      </c>
      <c r="W89" s="27">
        <f t="shared" si="120"/>
        <v>3.6853255314883704E-5</v>
      </c>
      <c r="X89" s="27">
        <f t="shared" si="120"/>
        <v>1.9892257293596671E-5</v>
      </c>
      <c r="Y89" s="27">
        <f t="shared" si="120"/>
        <v>1.0812119969116908E-5</v>
      </c>
      <c r="Z89" s="28">
        <f t="shared" si="120"/>
        <v>1.3354587585334698E-5</v>
      </c>
      <c r="AA89" s="26">
        <f t="shared" si="123"/>
        <v>1</v>
      </c>
      <c r="AB89" s="27">
        <f t="shared" si="121"/>
        <v>0</v>
      </c>
      <c r="AC89" s="27">
        <f t="shared" si="121"/>
        <v>0</v>
      </c>
      <c r="AD89" s="27">
        <f t="shared" si="121"/>
        <v>0</v>
      </c>
      <c r="AE89" s="27">
        <f t="shared" si="121"/>
        <v>0</v>
      </c>
      <c r="AF89" s="27">
        <f t="shared" si="121"/>
        <v>0</v>
      </c>
      <c r="AG89" s="27">
        <f t="shared" si="121"/>
        <v>0</v>
      </c>
      <c r="AH89" s="27">
        <f t="shared" si="121"/>
        <v>0</v>
      </c>
      <c r="AI89" s="27">
        <f t="shared" si="121"/>
        <v>0</v>
      </c>
      <c r="AJ89" s="27">
        <f t="shared" si="121"/>
        <v>0</v>
      </c>
      <c r="AK89" s="27">
        <f t="shared" si="121"/>
        <v>0</v>
      </c>
      <c r="AL89" s="27">
        <f t="shared" si="121"/>
        <v>0</v>
      </c>
      <c r="AM89" s="27">
        <f t="shared" si="121"/>
        <v>0</v>
      </c>
      <c r="AN89" s="27">
        <f t="shared" si="121"/>
        <v>0</v>
      </c>
      <c r="AO89" s="27">
        <f t="shared" si="121"/>
        <v>0</v>
      </c>
      <c r="AP89" s="27">
        <f t="shared" si="121"/>
        <v>0</v>
      </c>
      <c r="AQ89" s="27">
        <f t="shared" si="121"/>
        <v>0</v>
      </c>
      <c r="AR89" s="27">
        <f t="shared" si="121"/>
        <v>0</v>
      </c>
      <c r="AS89" s="27">
        <f t="shared" si="121"/>
        <v>0</v>
      </c>
      <c r="AT89" s="27">
        <f t="shared" si="121"/>
        <v>0</v>
      </c>
      <c r="AU89" s="27">
        <f t="shared" si="121"/>
        <v>0</v>
      </c>
      <c r="AV89" s="27">
        <f t="shared" si="121"/>
        <v>0</v>
      </c>
      <c r="AW89" s="27">
        <f t="shared" si="121"/>
        <v>0</v>
      </c>
      <c r="AX89" s="27">
        <f t="shared" si="121"/>
        <v>0</v>
      </c>
      <c r="AY89" s="28">
        <f t="shared" si="121"/>
        <v>0</v>
      </c>
    </row>
    <row r="90" spans="1:51" ht="15.5" x14ac:dyDescent="0.35">
      <c r="A90" s="43" t="s">
        <v>65</v>
      </c>
      <c r="B90" s="26">
        <f t="shared" si="122"/>
        <v>1.1252515066824072E-9</v>
      </c>
      <c r="C90" s="27">
        <f t="shared" si="120"/>
        <v>8.5417302076676917E-5</v>
      </c>
      <c r="D90" s="27">
        <f t="shared" si="120"/>
        <v>6.8605210951035783E-3</v>
      </c>
      <c r="E90" s="27">
        <f t="shared" si="120"/>
        <v>5.4995516290364234E-2</v>
      </c>
      <c r="F90" s="27">
        <f t="shared" si="120"/>
        <v>0.14302584549648958</v>
      </c>
      <c r="G90" s="27">
        <f t="shared" si="120"/>
        <v>0.20016629257165502</v>
      </c>
      <c r="H90" s="27">
        <f t="shared" si="120"/>
        <v>0.19497268310387805</v>
      </c>
      <c r="I90" s="27">
        <f t="shared" si="120"/>
        <v>0.15204898053997118</v>
      </c>
      <c r="J90" s="27">
        <f t="shared" si="120"/>
        <v>0.10293446359921987</v>
      </c>
      <c r="K90" s="27">
        <f t="shared" si="120"/>
        <v>6.3546557432595741E-2</v>
      </c>
      <c r="L90" s="27">
        <f t="shared" si="120"/>
        <v>3.6911951836713586E-2</v>
      </c>
      <c r="M90" s="27">
        <f t="shared" si="120"/>
        <v>2.0593508086637291E-2</v>
      </c>
      <c r="N90" s="27">
        <f t="shared" si="120"/>
        <v>1.1190228953809278E-2</v>
      </c>
      <c r="O90" s="27">
        <f t="shared" si="120"/>
        <v>5.9798383110692965E-3</v>
      </c>
      <c r="P90" s="27">
        <f t="shared" si="120"/>
        <v>3.1640459266198961E-3</v>
      </c>
      <c r="Q90" s="27">
        <f t="shared" si="120"/>
        <v>1.6657823499148794E-3</v>
      </c>
      <c r="R90" s="27">
        <f t="shared" si="120"/>
        <v>8.7568712061003584E-4</v>
      </c>
      <c r="S90" s="27">
        <f t="shared" si="120"/>
        <v>4.6084204337493162E-4</v>
      </c>
      <c r="T90" s="27">
        <f t="shared" si="120"/>
        <v>2.4324561525390642E-4</v>
      </c>
      <c r="U90" s="27">
        <f t="shared" si="120"/>
        <v>1.2895137690038805E-4</v>
      </c>
      <c r="V90" s="27">
        <f t="shared" si="120"/>
        <v>6.8727602328122472E-5</v>
      </c>
      <c r="W90" s="27">
        <f t="shared" si="120"/>
        <v>3.6853255314883704E-5</v>
      </c>
      <c r="X90" s="27">
        <f t="shared" si="120"/>
        <v>1.9892257293596668E-5</v>
      </c>
      <c r="Y90" s="27">
        <f t="shared" si="120"/>
        <v>1.0812119969116907E-5</v>
      </c>
      <c r="Z90" s="28">
        <f t="shared" si="120"/>
        <v>1.3354587585334698E-5</v>
      </c>
      <c r="AA90" s="26">
        <f t="shared" si="123"/>
        <v>1</v>
      </c>
      <c r="AB90" s="27">
        <f t="shared" si="121"/>
        <v>0</v>
      </c>
      <c r="AC90" s="27">
        <f t="shared" si="121"/>
        <v>0</v>
      </c>
      <c r="AD90" s="27">
        <f t="shared" si="121"/>
        <v>0</v>
      </c>
      <c r="AE90" s="27">
        <f t="shared" si="121"/>
        <v>0</v>
      </c>
      <c r="AF90" s="27">
        <f t="shared" si="121"/>
        <v>0</v>
      </c>
      <c r="AG90" s="27">
        <f t="shared" si="121"/>
        <v>0</v>
      </c>
      <c r="AH90" s="27">
        <f t="shared" si="121"/>
        <v>0</v>
      </c>
      <c r="AI90" s="27">
        <f t="shared" si="121"/>
        <v>0</v>
      </c>
      <c r="AJ90" s="27">
        <f t="shared" si="121"/>
        <v>0</v>
      </c>
      <c r="AK90" s="27">
        <f t="shared" si="121"/>
        <v>0</v>
      </c>
      <c r="AL90" s="27">
        <f t="shared" si="121"/>
        <v>0</v>
      </c>
      <c r="AM90" s="27">
        <f t="shared" si="121"/>
        <v>0</v>
      </c>
      <c r="AN90" s="27">
        <f t="shared" si="121"/>
        <v>0</v>
      </c>
      <c r="AO90" s="27">
        <f t="shared" si="121"/>
        <v>0</v>
      </c>
      <c r="AP90" s="27">
        <f t="shared" si="121"/>
        <v>0</v>
      </c>
      <c r="AQ90" s="27">
        <f t="shared" si="121"/>
        <v>0</v>
      </c>
      <c r="AR90" s="27">
        <f t="shared" si="121"/>
        <v>0</v>
      </c>
      <c r="AS90" s="27">
        <f t="shared" si="121"/>
        <v>0</v>
      </c>
      <c r="AT90" s="27">
        <f t="shared" si="121"/>
        <v>0</v>
      </c>
      <c r="AU90" s="27">
        <f t="shared" si="121"/>
        <v>0</v>
      </c>
      <c r="AV90" s="27">
        <f t="shared" si="121"/>
        <v>0</v>
      </c>
      <c r="AW90" s="27">
        <f t="shared" si="121"/>
        <v>0</v>
      </c>
      <c r="AX90" s="27">
        <f t="shared" si="121"/>
        <v>0</v>
      </c>
      <c r="AY90" s="28">
        <f t="shared" si="121"/>
        <v>0</v>
      </c>
    </row>
    <row r="91" spans="1:51" ht="15.5" x14ac:dyDescent="0.35">
      <c r="A91" s="43" t="s">
        <v>66</v>
      </c>
      <c r="B91" s="26">
        <f t="shared" si="122"/>
        <v>1.1252515066824072E-9</v>
      </c>
      <c r="C91" s="27">
        <f t="shared" si="120"/>
        <v>8.5417302076676904E-5</v>
      </c>
      <c r="D91" s="27">
        <f t="shared" si="120"/>
        <v>6.8605210951035783E-3</v>
      </c>
      <c r="E91" s="27">
        <f t="shared" si="120"/>
        <v>5.4995516290364234E-2</v>
      </c>
      <c r="F91" s="27">
        <f t="shared" si="120"/>
        <v>0.14302584549648958</v>
      </c>
      <c r="G91" s="27">
        <f t="shared" si="120"/>
        <v>0.20016629257165502</v>
      </c>
      <c r="H91" s="27">
        <f t="shared" si="120"/>
        <v>0.19497268310387803</v>
      </c>
      <c r="I91" s="27">
        <f t="shared" si="120"/>
        <v>0.15204898053997118</v>
      </c>
      <c r="J91" s="27">
        <f t="shared" si="120"/>
        <v>0.10293446359921987</v>
      </c>
      <c r="K91" s="27">
        <f t="shared" si="120"/>
        <v>6.3546557432595741E-2</v>
      </c>
      <c r="L91" s="27">
        <f t="shared" si="120"/>
        <v>3.6911951836713586E-2</v>
      </c>
      <c r="M91" s="27">
        <f t="shared" si="120"/>
        <v>2.0593508086637291E-2</v>
      </c>
      <c r="N91" s="27">
        <f t="shared" si="120"/>
        <v>1.119022895380928E-2</v>
      </c>
      <c r="O91" s="27">
        <f t="shared" si="120"/>
        <v>5.9798383110692974E-3</v>
      </c>
      <c r="P91" s="27">
        <f t="shared" si="120"/>
        <v>3.1640459266198961E-3</v>
      </c>
      <c r="Q91" s="27">
        <f t="shared" si="120"/>
        <v>1.6657823499148794E-3</v>
      </c>
      <c r="R91" s="27">
        <f t="shared" si="120"/>
        <v>8.7568712061003584E-4</v>
      </c>
      <c r="S91" s="27">
        <f t="shared" si="120"/>
        <v>4.6084204337493167E-4</v>
      </c>
      <c r="T91" s="27">
        <f t="shared" si="120"/>
        <v>2.4324561525390645E-4</v>
      </c>
      <c r="U91" s="27">
        <f t="shared" si="120"/>
        <v>1.2895137690038805E-4</v>
      </c>
      <c r="V91" s="27">
        <f t="shared" si="120"/>
        <v>6.8727602328122472E-5</v>
      </c>
      <c r="W91" s="27">
        <f t="shared" si="120"/>
        <v>3.6853255314883704E-5</v>
      </c>
      <c r="X91" s="27">
        <f t="shared" si="120"/>
        <v>1.9892257293596671E-5</v>
      </c>
      <c r="Y91" s="27">
        <f t="shared" si="120"/>
        <v>1.0812119969116907E-5</v>
      </c>
      <c r="Z91" s="28">
        <f t="shared" si="120"/>
        <v>1.3354587585334697E-5</v>
      </c>
      <c r="AA91" s="26">
        <f t="shared" si="123"/>
        <v>1</v>
      </c>
      <c r="AB91" s="27">
        <f t="shared" si="121"/>
        <v>0</v>
      </c>
      <c r="AC91" s="27">
        <f t="shared" si="121"/>
        <v>0</v>
      </c>
      <c r="AD91" s="27">
        <f t="shared" si="121"/>
        <v>0</v>
      </c>
      <c r="AE91" s="27">
        <f t="shared" si="121"/>
        <v>0</v>
      </c>
      <c r="AF91" s="27">
        <f t="shared" si="121"/>
        <v>0</v>
      </c>
      <c r="AG91" s="27">
        <f t="shared" si="121"/>
        <v>0</v>
      </c>
      <c r="AH91" s="27">
        <f t="shared" si="121"/>
        <v>0</v>
      </c>
      <c r="AI91" s="27">
        <f t="shared" si="121"/>
        <v>0</v>
      </c>
      <c r="AJ91" s="27">
        <f t="shared" si="121"/>
        <v>0</v>
      </c>
      <c r="AK91" s="27">
        <f t="shared" si="121"/>
        <v>0</v>
      </c>
      <c r="AL91" s="27">
        <f t="shared" si="121"/>
        <v>0</v>
      </c>
      <c r="AM91" s="27">
        <f t="shared" si="121"/>
        <v>0</v>
      </c>
      <c r="AN91" s="27">
        <f t="shared" si="121"/>
        <v>0</v>
      </c>
      <c r="AO91" s="27">
        <f t="shared" si="121"/>
        <v>0</v>
      </c>
      <c r="AP91" s="27">
        <f t="shared" si="121"/>
        <v>0</v>
      </c>
      <c r="AQ91" s="27">
        <f t="shared" si="121"/>
        <v>0</v>
      </c>
      <c r="AR91" s="27">
        <f t="shared" si="121"/>
        <v>0</v>
      </c>
      <c r="AS91" s="27">
        <f t="shared" si="121"/>
        <v>0</v>
      </c>
      <c r="AT91" s="27">
        <f t="shared" si="121"/>
        <v>0</v>
      </c>
      <c r="AU91" s="27">
        <f t="shared" si="121"/>
        <v>0</v>
      </c>
      <c r="AV91" s="27">
        <f t="shared" si="121"/>
        <v>0</v>
      </c>
      <c r="AW91" s="27">
        <f t="shared" si="121"/>
        <v>0</v>
      </c>
      <c r="AX91" s="27">
        <f t="shared" si="121"/>
        <v>0</v>
      </c>
      <c r="AY91" s="28">
        <f t="shared" si="121"/>
        <v>0</v>
      </c>
    </row>
    <row r="92" spans="1:51" ht="15.5" x14ac:dyDescent="0.35">
      <c r="A92" s="43" t="s">
        <v>67</v>
      </c>
      <c r="B92" s="26">
        <f t="shared" si="122"/>
        <v>1.1252515066824072E-9</v>
      </c>
      <c r="C92" s="27">
        <f t="shared" si="120"/>
        <v>8.5417302076676904E-5</v>
      </c>
      <c r="D92" s="27">
        <f t="shared" si="120"/>
        <v>6.8605210951035783E-3</v>
      </c>
      <c r="E92" s="27">
        <f t="shared" si="120"/>
        <v>5.4995516290364234E-2</v>
      </c>
      <c r="F92" s="27">
        <f t="shared" si="120"/>
        <v>0.14302584549648958</v>
      </c>
      <c r="G92" s="27">
        <f t="shared" si="120"/>
        <v>0.20016629257165505</v>
      </c>
      <c r="H92" s="27">
        <f t="shared" si="120"/>
        <v>0.19497268310387805</v>
      </c>
      <c r="I92" s="27">
        <f t="shared" si="120"/>
        <v>0.15204898053997118</v>
      </c>
      <c r="J92" s="27">
        <f t="shared" si="120"/>
        <v>0.10293446359921987</v>
      </c>
      <c r="K92" s="27">
        <f t="shared" si="120"/>
        <v>6.3546557432595741E-2</v>
      </c>
      <c r="L92" s="27">
        <f t="shared" si="120"/>
        <v>3.6911951836713586E-2</v>
      </c>
      <c r="M92" s="27">
        <f t="shared" si="120"/>
        <v>2.0593508086637291E-2</v>
      </c>
      <c r="N92" s="27">
        <f t="shared" si="120"/>
        <v>1.1190228953809278E-2</v>
      </c>
      <c r="O92" s="27">
        <f t="shared" si="120"/>
        <v>5.9798383110692965E-3</v>
      </c>
      <c r="P92" s="27">
        <f t="shared" si="120"/>
        <v>3.1640459266198966E-3</v>
      </c>
      <c r="Q92" s="27">
        <f t="shared" si="120"/>
        <v>1.6657823499148794E-3</v>
      </c>
      <c r="R92" s="27">
        <f t="shared" si="120"/>
        <v>8.7568712061003584E-4</v>
      </c>
      <c r="S92" s="27">
        <f t="shared" si="120"/>
        <v>4.6084204337493162E-4</v>
      </c>
      <c r="T92" s="27">
        <f t="shared" si="120"/>
        <v>2.4324561525390642E-4</v>
      </c>
      <c r="U92" s="27">
        <f t="shared" si="120"/>
        <v>1.2895137690038805E-4</v>
      </c>
      <c r="V92" s="27">
        <f t="shared" si="120"/>
        <v>6.8727602328122472E-5</v>
      </c>
      <c r="W92" s="27">
        <f t="shared" si="120"/>
        <v>3.6853255314883704E-5</v>
      </c>
      <c r="X92" s="27">
        <f t="shared" si="120"/>
        <v>1.9892257293596671E-5</v>
      </c>
      <c r="Y92" s="27">
        <f t="shared" si="120"/>
        <v>1.0812119969116907E-5</v>
      </c>
      <c r="Z92" s="28">
        <f t="shared" si="120"/>
        <v>1.3354587585334697E-5</v>
      </c>
      <c r="AA92" s="26">
        <f t="shared" si="123"/>
        <v>1</v>
      </c>
      <c r="AB92" s="27">
        <f t="shared" si="121"/>
        <v>0</v>
      </c>
      <c r="AC92" s="27">
        <f t="shared" si="121"/>
        <v>0</v>
      </c>
      <c r="AD92" s="27">
        <f t="shared" si="121"/>
        <v>0</v>
      </c>
      <c r="AE92" s="27">
        <f t="shared" si="121"/>
        <v>0</v>
      </c>
      <c r="AF92" s="27">
        <f t="shared" si="121"/>
        <v>0</v>
      </c>
      <c r="AG92" s="27">
        <f t="shared" si="121"/>
        <v>0</v>
      </c>
      <c r="AH92" s="27">
        <f t="shared" si="121"/>
        <v>0</v>
      </c>
      <c r="AI92" s="27">
        <f t="shared" si="121"/>
        <v>0</v>
      </c>
      <c r="AJ92" s="27">
        <f t="shared" si="121"/>
        <v>0</v>
      </c>
      <c r="AK92" s="27">
        <f t="shared" si="121"/>
        <v>0</v>
      </c>
      <c r="AL92" s="27">
        <f t="shared" si="121"/>
        <v>0</v>
      </c>
      <c r="AM92" s="27">
        <f t="shared" si="121"/>
        <v>0</v>
      </c>
      <c r="AN92" s="27">
        <f t="shared" si="121"/>
        <v>0</v>
      </c>
      <c r="AO92" s="27">
        <f t="shared" si="121"/>
        <v>0</v>
      </c>
      <c r="AP92" s="27">
        <f t="shared" si="121"/>
        <v>0</v>
      </c>
      <c r="AQ92" s="27">
        <f t="shared" si="121"/>
        <v>0</v>
      </c>
      <c r="AR92" s="27">
        <f t="shared" si="121"/>
        <v>0</v>
      </c>
      <c r="AS92" s="27">
        <f t="shared" si="121"/>
        <v>0</v>
      </c>
      <c r="AT92" s="27">
        <f t="shared" si="121"/>
        <v>0</v>
      </c>
      <c r="AU92" s="27">
        <f t="shared" si="121"/>
        <v>0</v>
      </c>
      <c r="AV92" s="27">
        <f t="shared" si="121"/>
        <v>0</v>
      </c>
      <c r="AW92" s="27">
        <f t="shared" si="121"/>
        <v>0</v>
      </c>
      <c r="AX92" s="27">
        <f t="shared" si="121"/>
        <v>0</v>
      </c>
      <c r="AY92" s="28">
        <f t="shared" si="121"/>
        <v>0</v>
      </c>
    </row>
    <row r="93" spans="1:51" ht="15.5" x14ac:dyDescent="0.35">
      <c r="A93" s="43" t="s">
        <v>68</v>
      </c>
      <c r="B93" s="26">
        <f t="shared" si="122"/>
        <v>1.1252515066824072E-9</v>
      </c>
      <c r="C93" s="27">
        <f t="shared" si="120"/>
        <v>8.5417302076676904E-5</v>
      </c>
      <c r="D93" s="27">
        <f t="shared" si="120"/>
        <v>6.8605210951035783E-3</v>
      </c>
      <c r="E93" s="27">
        <f t="shared" si="120"/>
        <v>5.4995516290364234E-2</v>
      </c>
      <c r="F93" s="27">
        <f t="shared" si="120"/>
        <v>0.14302584549648958</v>
      </c>
      <c r="G93" s="27">
        <f t="shared" si="120"/>
        <v>0.20016629257165502</v>
      </c>
      <c r="H93" s="27">
        <f t="shared" si="120"/>
        <v>0.19497268310387805</v>
      </c>
      <c r="I93" s="27">
        <f t="shared" si="120"/>
        <v>0.15204898053997118</v>
      </c>
      <c r="J93" s="27">
        <f t="shared" si="120"/>
        <v>0.10293446359921989</v>
      </c>
      <c r="K93" s="27">
        <f t="shared" si="120"/>
        <v>6.3546557432595741E-2</v>
      </c>
      <c r="L93" s="27">
        <f t="shared" si="120"/>
        <v>3.6911951836713586E-2</v>
      </c>
      <c r="M93" s="27">
        <f t="shared" si="120"/>
        <v>2.0593508086637291E-2</v>
      </c>
      <c r="N93" s="27">
        <f t="shared" si="120"/>
        <v>1.1190228953809278E-2</v>
      </c>
      <c r="O93" s="27">
        <f t="shared" si="120"/>
        <v>5.9798383110692965E-3</v>
      </c>
      <c r="P93" s="27">
        <f t="shared" si="120"/>
        <v>3.1640459266198961E-3</v>
      </c>
      <c r="Q93" s="27">
        <f t="shared" si="120"/>
        <v>1.6657823499148796E-3</v>
      </c>
      <c r="R93" s="27">
        <f t="shared" si="120"/>
        <v>8.7568712061003584E-4</v>
      </c>
      <c r="S93" s="27">
        <f t="shared" si="120"/>
        <v>4.6084204337493167E-4</v>
      </c>
      <c r="T93" s="27">
        <f t="shared" si="120"/>
        <v>2.4324561525390642E-4</v>
      </c>
      <c r="U93" s="27">
        <f t="shared" si="120"/>
        <v>1.2895137690038805E-4</v>
      </c>
      <c r="V93" s="27">
        <f t="shared" si="120"/>
        <v>6.8727602328122472E-5</v>
      </c>
      <c r="W93" s="27">
        <f t="shared" si="120"/>
        <v>3.6853255314883704E-5</v>
      </c>
      <c r="X93" s="27">
        <f t="shared" si="120"/>
        <v>1.9892257293596671E-5</v>
      </c>
      <c r="Y93" s="27">
        <f t="shared" si="120"/>
        <v>1.0812119969116907E-5</v>
      </c>
      <c r="Z93" s="28">
        <f t="shared" si="120"/>
        <v>1.33545875853347E-5</v>
      </c>
      <c r="AA93" s="26">
        <f t="shared" si="123"/>
        <v>1</v>
      </c>
      <c r="AB93" s="27">
        <f t="shared" si="121"/>
        <v>0</v>
      </c>
      <c r="AC93" s="27">
        <f t="shared" si="121"/>
        <v>0</v>
      </c>
      <c r="AD93" s="27">
        <f t="shared" si="121"/>
        <v>0</v>
      </c>
      <c r="AE93" s="27">
        <f t="shared" si="121"/>
        <v>0</v>
      </c>
      <c r="AF93" s="27">
        <f t="shared" si="121"/>
        <v>0</v>
      </c>
      <c r="AG93" s="27">
        <f t="shared" si="121"/>
        <v>0</v>
      </c>
      <c r="AH93" s="27">
        <f t="shared" si="121"/>
        <v>0</v>
      </c>
      <c r="AI93" s="27">
        <f t="shared" si="121"/>
        <v>0</v>
      </c>
      <c r="AJ93" s="27">
        <f t="shared" si="121"/>
        <v>0</v>
      </c>
      <c r="AK93" s="27">
        <f t="shared" si="121"/>
        <v>0</v>
      </c>
      <c r="AL93" s="27">
        <f t="shared" si="121"/>
        <v>0</v>
      </c>
      <c r="AM93" s="27">
        <f t="shared" si="121"/>
        <v>0</v>
      </c>
      <c r="AN93" s="27">
        <f t="shared" si="121"/>
        <v>0</v>
      </c>
      <c r="AO93" s="27">
        <f t="shared" si="121"/>
        <v>0</v>
      </c>
      <c r="AP93" s="27">
        <f t="shared" si="121"/>
        <v>0</v>
      </c>
      <c r="AQ93" s="27">
        <f t="shared" si="121"/>
        <v>0</v>
      </c>
      <c r="AR93" s="27">
        <f t="shared" si="121"/>
        <v>0</v>
      </c>
      <c r="AS93" s="27">
        <f t="shared" si="121"/>
        <v>0</v>
      </c>
      <c r="AT93" s="27">
        <f t="shared" si="121"/>
        <v>0</v>
      </c>
      <c r="AU93" s="27">
        <f t="shared" si="121"/>
        <v>0</v>
      </c>
      <c r="AV93" s="27">
        <f t="shared" si="121"/>
        <v>0</v>
      </c>
      <c r="AW93" s="27">
        <f t="shared" si="121"/>
        <v>0</v>
      </c>
      <c r="AX93" s="27">
        <f t="shared" si="121"/>
        <v>0</v>
      </c>
      <c r="AY93" s="28">
        <f t="shared" si="121"/>
        <v>0</v>
      </c>
    </row>
    <row r="94" spans="1:51" ht="15.5" x14ac:dyDescent="0.35">
      <c r="A94" s="43" t="s">
        <v>69</v>
      </c>
      <c r="B94" s="26">
        <f t="shared" si="122"/>
        <v>1.1252515066824072E-9</v>
      </c>
      <c r="C94" s="27">
        <f t="shared" si="120"/>
        <v>8.5417302076676904E-5</v>
      </c>
      <c r="D94" s="27">
        <f t="shared" si="120"/>
        <v>6.8605210951035783E-3</v>
      </c>
      <c r="E94" s="27">
        <f t="shared" si="120"/>
        <v>5.4995516290364234E-2</v>
      </c>
      <c r="F94" s="27">
        <f t="shared" si="120"/>
        <v>0.14302584549648958</v>
      </c>
      <c r="G94" s="27">
        <f t="shared" si="120"/>
        <v>0.20016629257165502</v>
      </c>
      <c r="H94" s="27">
        <f t="shared" si="120"/>
        <v>0.19497268310387805</v>
      </c>
      <c r="I94" s="27">
        <f t="shared" si="120"/>
        <v>0.15204898053997118</v>
      </c>
      <c r="J94" s="27">
        <f t="shared" si="120"/>
        <v>0.10293446359921987</v>
      </c>
      <c r="K94" s="27">
        <f t="shared" si="120"/>
        <v>6.3546557432595741E-2</v>
      </c>
      <c r="L94" s="27">
        <f t="shared" si="120"/>
        <v>3.6911951836713586E-2</v>
      </c>
      <c r="M94" s="27">
        <f t="shared" si="120"/>
        <v>2.0593508086637291E-2</v>
      </c>
      <c r="N94" s="27">
        <f t="shared" si="120"/>
        <v>1.1190228953809278E-2</v>
      </c>
      <c r="O94" s="27">
        <f t="shared" si="120"/>
        <v>5.9798383110692965E-3</v>
      </c>
      <c r="P94" s="27">
        <f t="shared" si="120"/>
        <v>3.1640459266198961E-3</v>
      </c>
      <c r="Q94" s="27">
        <f t="shared" si="120"/>
        <v>1.6657823499148794E-3</v>
      </c>
      <c r="R94" s="27">
        <f t="shared" si="120"/>
        <v>8.7568712061003584E-4</v>
      </c>
      <c r="S94" s="27">
        <f t="shared" si="120"/>
        <v>4.6084204337493162E-4</v>
      </c>
      <c r="T94" s="27">
        <f t="shared" si="120"/>
        <v>2.4324561525390642E-4</v>
      </c>
      <c r="U94" s="27">
        <f t="shared" si="120"/>
        <v>1.2895137690038805E-4</v>
      </c>
      <c r="V94" s="27">
        <f t="shared" si="120"/>
        <v>6.8727602328122472E-5</v>
      </c>
      <c r="W94" s="27">
        <f t="shared" si="120"/>
        <v>3.6853255314883704E-5</v>
      </c>
      <c r="X94" s="27">
        <f t="shared" si="120"/>
        <v>1.9892257293596675E-5</v>
      </c>
      <c r="Y94" s="27">
        <f t="shared" si="120"/>
        <v>1.0812119969116907E-5</v>
      </c>
      <c r="Z94" s="28">
        <f t="shared" si="120"/>
        <v>1.3354587585334698E-5</v>
      </c>
      <c r="AA94" s="26">
        <f t="shared" si="123"/>
        <v>1</v>
      </c>
      <c r="AB94" s="27">
        <f t="shared" si="121"/>
        <v>0</v>
      </c>
      <c r="AC94" s="27">
        <f t="shared" si="121"/>
        <v>0</v>
      </c>
      <c r="AD94" s="27">
        <f t="shared" si="121"/>
        <v>0</v>
      </c>
      <c r="AE94" s="27">
        <f t="shared" si="121"/>
        <v>0</v>
      </c>
      <c r="AF94" s="27">
        <f t="shared" si="121"/>
        <v>0</v>
      </c>
      <c r="AG94" s="27">
        <f t="shared" si="121"/>
        <v>0</v>
      </c>
      <c r="AH94" s="27">
        <f t="shared" si="121"/>
        <v>0</v>
      </c>
      <c r="AI94" s="27">
        <f t="shared" si="121"/>
        <v>0</v>
      </c>
      <c r="AJ94" s="27">
        <f t="shared" si="121"/>
        <v>0</v>
      </c>
      <c r="AK94" s="27">
        <f t="shared" si="121"/>
        <v>0</v>
      </c>
      <c r="AL94" s="27">
        <f t="shared" si="121"/>
        <v>0</v>
      </c>
      <c r="AM94" s="27">
        <f t="shared" si="121"/>
        <v>0</v>
      </c>
      <c r="AN94" s="27">
        <f t="shared" si="121"/>
        <v>0</v>
      </c>
      <c r="AO94" s="27">
        <f t="shared" si="121"/>
        <v>0</v>
      </c>
      <c r="AP94" s="27">
        <f t="shared" si="121"/>
        <v>0</v>
      </c>
      <c r="AQ94" s="27">
        <f t="shared" si="121"/>
        <v>0</v>
      </c>
      <c r="AR94" s="27">
        <f t="shared" si="121"/>
        <v>0</v>
      </c>
      <c r="AS94" s="27">
        <f t="shared" si="121"/>
        <v>0</v>
      </c>
      <c r="AT94" s="27">
        <f t="shared" si="121"/>
        <v>0</v>
      </c>
      <c r="AU94" s="27">
        <f t="shared" si="121"/>
        <v>0</v>
      </c>
      <c r="AV94" s="27">
        <f t="shared" si="121"/>
        <v>0</v>
      </c>
      <c r="AW94" s="27">
        <f t="shared" si="121"/>
        <v>0</v>
      </c>
      <c r="AX94" s="27">
        <f t="shared" si="121"/>
        <v>0</v>
      </c>
      <c r="AY94" s="28">
        <f t="shared" si="121"/>
        <v>0</v>
      </c>
    </row>
    <row r="95" spans="1:51" ht="15.5" x14ac:dyDescent="0.35">
      <c r="A95" s="43" t="s">
        <v>70</v>
      </c>
      <c r="B95" s="26">
        <f t="shared" si="122"/>
        <v>1.1252515066824072E-9</v>
      </c>
      <c r="C95" s="27">
        <f t="shared" si="120"/>
        <v>8.5417302076676917E-5</v>
      </c>
      <c r="D95" s="27">
        <f t="shared" si="120"/>
        <v>6.8605210951035792E-3</v>
      </c>
      <c r="E95" s="27">
        <f t="shared" si="120"/>
        <v>5.4995516290364234E-2</v>
      </c>
      <c r="F95" s="27">
        <f t="shared" si="120"/>
        <v>0.14302584549648958</v>
      </c>
      <c r="G95" s="27">
        <f t="shared" si="120"/>
        <v>0.200166292571655</v>
      </c>
      <c r="H95" s="27">
        <f t="shared" si="120"/>
        <v>0.19497268310387805</v>
      </c>
      <c r="I95" s="27">
        <f t="shared" si="120"/>
        <v>0.15204898053997118</v>
      </c>
      <c r="J95" s="27">
        <f t="shared" si="120"/>
        <v>0.10293446359921986</v>
      </c>
      <c r="K95" s="27">
        <f t="shared" si="120"/>
        <v>6.3546557432595741E-2</v>
      </c>
      <c r="L95" s="27">
        <f t="shared" si="120"/>
        <v>3.6911951836713586E-2</v>
      </c>
      <c r="M95" s="27">
        <f t="shared" si="120"/>
        <v>2.0593508086637291E-2</v>
      </c>
      <c r="N95" s="27">
        <f t="shared" si="120"/>
        <v>1.119022895380928E-2</v>
      </c>
      <c r="O95" s="27">
        <f t="shared" si="120"/>
        <v>5.9798383110692965E-3</v>
      </c>
      <c r="P95" s="27">
        <f t="shared" si="120"/>
        <v>3.1640459266198961E-3</v>
      </c>
      <c r="Q95" s="27">
        <f t="shared" si="120"/>
        <v>1.6657823499148796E-3</v>
      </c>
      <c r="R95" s="27">
        <f t="shared" ref="R95:Z98" si="124">AA62/$B62</f>
        <v>8.7568712061003584E-4</v>
      </c>
      <c r="S95" s="27">
        <f t="shared" si="124"/>
        <v>4.6084204337493162E-4</v>
      </c>
      <c r="T95" s="27">
        <f t="shared" si="124"/>
        <v>2.4324561525390642E-4</v>
      </c>
      <c r="U95" s="27">
        <f t="shared" si="124"/>
        <v>1.2895137690038805E-4</v>
      </c>
      <c r="V95" s="27">
        <f t="shared" si="124"/>
        <v>6.8727602328122472E-5</v>
      </c>
      <c r="W95" s="27">
        <f t="shared" si="124"/>
        <v>3.6853255314883704E-5</v>
      </c>
      <c r="X95" s="27">
        <f t="shared" si="124"/>
        <v>1.9892257293596671E-5</v>
      </c>
      <c r="Y95" s="27">
        <f t="shared" si="124"/>
        <v>1.0812119969116907E-5</v>
      </c>
      <c r="Z95" s="28">
        <f t="shared" si="124"/>
        <v>1.3354587585334698E-5</v>
      </c>
      <c r="AA95" s="26">
        <f t="shared" si="123"/>
        <v>1</v>
      </c>
      <c r="AB95" s="27">
        <f t="shared" si="121"/>
        <v>0</v>
      </c>
      <c r="AC95" s="27">
        <f t="shared" si="121"/>
        <v>0</v>
      </c>
      <c r="AD95" s="27">
        <f t="shared" si="121"/>
        <v>0</v>
      </c>
      <c r="AE95" s="27">
        <f t="shared" si="121"/>
        <v>0</v>
      </c>
      <c r="AF95" s="27">
        <f t="shared" si="121"/>
        <v>0</v>
      </c>
      <c r="AG95" s="27">
        <f t="shared" si="121"/>
        <v>0</v>
      </c>
      <c r="AH95" s="27">
        <f t="shared" si="121"/>
        <v>0</v>
      </c>
      <c r="AI95" s="27">
        <f t="shared" si="121"/>
        <v>0</v>
      </c>
      <c r="AJ95" s="27">
        <f t="shared" si="121"/>
        <v>0</v>
      </c>
      <c r="AK95" s="27">
        <f t="shared" si="121"/>
        <v>0</v>
      </c>
      <c r="AL95" s="27">
        <f t="shared" si="121"/>
        <v>0</v>
      </c>
      <c r="AM95" s="27">
        <f t="shared" si="121"/>
        <v>0</v>
      </c>
      <c r="AN95" s="27">
        <f t="shared" si="121"/>
        <v>0</v>
      </c>
      <c r="AO95" s="27">
        <f t="shared" si="121"/>
        <v>0</v>
      </c>
      <c r="AP95" s="27">
        <f t="shared" si="121"/>
        <v>0</v>
      </c>
      <c r="AQ95" s="27">
        <f t="shared" ref="AQ95:AY98" si="125">AZ62/$B62</f>
        <v>0</v>
      </c>
      <c r="AR95" s="27">
        <f t="shared" si="125"/>
        <v>0</v>
      </c>
      <c r="AS95" s="27">
        <f t="shared" si="125"/>
        <v>0</v>
      </c>
      <c r="AT95" s="27">
        <f t="shared" si="125"/>
        <v>0</v>
      </c>
      <c r="AU95" s="27">
        <f t="shared" si="125"/>
        <v>0</v>
      </c>
      <c r="AV95" s="27">
        <f t="shared" si="125"/>
        <v>0</v>
      </c>
      <c r="AW95" s="27">
        <f t="shared" si="125"/>
        <v>0</v>
      </c>
      <c r="AX95" s="27">
        <f t="shared" si="125"/>
        <v>0</v>
      </c>
      <c r="AY95" s="28">
        <f t="shared" si="125"/>
        <v>0</v>
      </c>
    </row>
    <row r="96" spans="1:51" ht="15.5" x14ac:dyDescent="0.35">
      <c r="A96" s="43" t="s">
        <v>71</v>
      </c>
      <c r="B96" s="26">
        <f t="shared" si="122"/>
        <v>1.1252515066824072E-9</v>
      </c>
      <c r="C96" s="27">
        <f t="shared" ref="C96:Q98" si="126">L63/$B63</f>
        <v>8.5417302076676904E-5</v>
      </c>
      <c r="D96" s="27">
        <f t="shared" si="126"/>
        <v>6.8605210951035783E-3</v>
      </c>
      <c r="E96" s="27">
        <f t="shared" si="126"/>
        <v>5.4995516290364234E-2</v>
      </c>
      <c r="F96" s="27">
        <f t="shared" si="126"/>
        <v>0.14302584549648958</v>
      </c>
      <c r="G96" s="27">
        <f t="shared" si="126"/>
        <v>0.20016629257165502</v>
      </c>
      <c r="H96" s="27">
        <f t="shared" si="126"/>
        <v>0.19497268310387805</v>
      </c>
      <c r="I96" s="27">
        <f t="shared" si="126"/>
        <v>0.15204898053997118</v>
      </c>
      <c r="J96" s="27">
        <f t="shared" si="126"/>
        <v>0.10293446359921987</v>
      </c>
      <c r="K96" s="27">
        <f t="shared" si="126"/>
        <v>6.3546557432595741E-2</v>
      </c>
      <c r="L96" s="27">
        <f t="shared" si="126"/>
        <v>3.6911951836713586E-2</v>
      </c>
      <c r="M96" s="27">
        <f t="shared" si="126"/>
        <v>2.0593508086637291E-2</v>
      </c>
      <c r="N96" s="27">
        <f t="shared" si="126"/>
        <v>1.1190228953809278E-2</v>
      </c>
      <c r="O96" s="27">
        <f t="shared" si="126"/>
        <v>5.9798383110692965E-3</v>
      </c>
      <c r="P96" s="27">
        <f t="shared" si="126"/>
        <v>3.1640459266198961E-3</v>
      </c>
      <c r="Q96" s="27">
        <f t="shared" si="126"/>
        <v>1.6657823499148794E-3</v>
      </c>
      <c r="R96" s="27">
        <f t="shared" si="124"/>
        <v>8.7568712061003584E-4</v>
      </c>
      <c r="S96" s="27">
        <f t="shared" si="124"/>
        <v>4.6084204337493157E-4</v>
      </c>
      <c r="T96" s="27">
        <f t="shared" si="124"/>
        <v>2.4324561525390642E-4</v>
      </c>
      <c r="U96" s="27">
        <f t="shared" si="124"/>
        <v>1.2895137690038805E-4</v>
      </c>
      <c r="V96" s="27">
        <f t="shared" si="124"/>
        <v>6.8727602328122472E-5</v>
      </c>
      <c r="W96" s="27">
        <f t="shared" si="124"/>
        <v>3.6853255314883704E-5</v>
      </c>
      <c r="X96" s="27">
        <f t="shared" si="124"/>
        <v>1.9892257293596671E-5</v>
      </c>
      <c r="Y96" s="27">
        <f t="shared" si="124"/>
        <v>1.0812119969116907E-5</v>
      </c>
      <c r="Z96" s="28">
        <f t="shared" si="124"/>
        <v>1.3354587585334698E-5</v>
      </c>
      <c r="AA96" s="26">
        <f t="shared" si="123"/>
        <v>1</v>
      </c>
      <c r="AB96" s="27">
        <f t="shared" ref="AB96:AP98" si="127">AK63/$B63</f>
        <v>0</v>
      </c>
      <c r="AC96" s="27">
        <f t="shared" si="127"/>
        <v>0</v>
      </c>
      <c r="AD96" s="27">
        <f t="shared" si="127"/>
        <v>0</v>
      </c>
      <c r="AE96" s="27">
        <f t="shared" si="127"/>
        <v>0</v>
      </c>
      <c r="AF96" s="27">
        <f t="shared" si="127"/>
        <v>0</v>
      </c>
      <c r="AG96" s="27">
        <f t="shared" si="127"/>
        <v>0</v>
      </c>
      <c r="AH96" s="27">
        <f t="shared" si="127"/>
        <v>0</v>
      </c>
      <c r="AI96" s="27">
        <f t="shared" si="127"/>
        <v>0</v>
      </c>
      <c r="AJ96" s="27">
        <f t="shared" si="127"/>
        <v>0</v>
      </c>
      <c r="AK96" s="27">
        <f t="shared" si="127"/>
        <v>0</v>
      </c>
      <c r="AL96" s="27">
        <f t="shared" si="127"/>
        <v>0</v>
      </c>
      <c r="AM96" s="27">
        <f t="shared" si="127"/>
        <v>0</v>
      </c>
      <c r="AN96" s="27">
        <f t="shared" si="127"/>
        <v>0</v>
      </c>
      <c r="AO96" s="27">
        <f t="shared" si="127"/>
        <v>0</v>
      </c>
      <c r="AP96" s="27">
        <f t="shared" si="127"/>
        <v>0</v>
      </c>
      <c r="AQ96" s="27">
        <f t="shared" si="125"/>
        <v>0</v>
      </c>
      <c r="AR96" s="27">
        <f t="shared" si="125"/>
        <v>0</v>
      </c>
      <c r="AS96" s="27">
        <f t="shared" si="125"/>
        <v>0</v>
      </c>
      <c r="AT96" s="27">
        <f t="shared" si="125"/>
        <v>0</v>
      </c>
      <c r="AU96" s="27">
        <f t="shared" si="125"/>
        <v>0</v>
      </c>
      <c r="AV96" s="27">
        <f t="shared" si="125"/>
        <v>0</v>
      </c>
      <c r="AW96" s="27">
        <f t="shared" si="125"/>
        <v>0</v>
      </c>
      <c r="AX96" s="27">
        <f t="shared" si="125"/>
        <v>0</v>
      </c>
      <c r="AY96" s="28">
        <f t="shared" si="125"/>
        <v>0</v>
      </c>
    </row>
    <row r="97" spans="1:51" ht="15.5" x14ac:dyDescent="0.35">
      <c r="A97" s="43" t="s">
        <v>72</v>
      </c>
      <c r="B97" s="26">
        <f t="shared" si="122"/>
        <v>1.1252515066824072E-9</v>
      </c>
      <c r="C97" s="27">
        <f t="shared" si="126"/>
        <v>8.5417302076676904E-5</v>
      </c>
      <c r="D97" s="27">
        <f t="shared" si="126"/>
        <v>6.8605210951035774E-3</v>
      </c>
      <c r="E97" s="27">
        <f t="shared" si="126"/>
        <v>5.4995516290364227E-2</v>
      </c>
      <c r="F97" s="27">
        <f t="shared" si="126"/>
        <v>0.14302584549648958</v>
      </c>
      <c r="G97" s="27">
        <f t="shared" si="126"/>
        <v>0.20016629257165502</v>
      </c>
      <c r="H97" s="27">
        <f t="shared" si="126"/>
        <v>0.19497268310387805</v>
      </c>
      <c r="I97" s="27">
        <f t="shared" si="126"/>
        <v>0.15204898053997118</v>
      </c>
      <c r="J97" s="27">
        <f t="shared" si="126"/>
        <v>0.10293446359921987</v>
      </c>
      <c r="K97" s="27">
        <f t="shared" si="126"/>
        <v>6.3546557432595741E-2</v>
      </c>
      <c r="L97" s="27">
        <f t="shared" si="126"/>
        <v>3.6911951836713586E-2</v>
      </c>
      <c r="M97" s="27">
        <f t="shared" si="126"/>
        <v>2.0593508086637291E-2</v>
      </c>
      <c r="N97" s="27">
        <f t="shared" si="126"/>
        <v>1.1190228953809278E-2</v>
      </c>
      <c r="O97" s="27">
        <f t="shared" si="126"/>
        <v>5.9798383110692965E-3</v>
      </c>
      <c r="P97" s="27">
        <f t="shared" si="126"/>
        <v>3.1640459266198961E-3</v>
      </c>
      <c r="Q97" s="27">
        <f t="shared" si="126"/>
        <v>1.6657823499148794E-3</v>
      </c>
      <c r="R97" s="27">
        <f t="shared" si="124"/>
        <v>8.7568712061003584E-4</v>
      </c>
      <c r="S97" s="27">
        <f t="shared" si="124"/>
        <v>4.6084204337493162E-4</v>
      </c>
      <c r="T97" s="27">
        <f t="shared" si="124"/>
        <v>2.4324561525390642E-4</v>
      </c>
      <c r="U97" s="27">
        <f t="shared" si="124"/>
        <v>1.2895137690038805E-4</v>
      </c>
      <c r="V97" s="27">
        <f t="shared" si="124"/>
        <v>6.8727602328122472E-5</v>
      </c>
      <c r="W97" s="27">
        <f t="shared" si="124"/>
        <v>3.6853255314883704E-5</v>
      </c>
      <c r="X97" s="27">
        <f t="shared" si="124"/>
        <v>1.9892257293596671E-5</v>
      </c>
      <c r="Y97" s="27">
        <f t="shared" si="124"/>
        <v>1.0812119969116907E-5</v>
      </c>
      <c r="Z97" s="28">
        <f t="shared" si="124"/>
        <v>1.3354587585334698E-5</v>
      </c>
      <c r="AA97" s="26">
        <f t="shared" si="123"/>
        <v>1</v>
      </c>
      <c r="AB97" s="27">
        <f t="shared" si="127"/>
        <v>0</v>
      </c>
      <c r="AC97" s="27">
        <f t="shared" si="127"/>
        <v>0</v>
      </c>
      <c r="AD97" s="27">
        <f t="shared" si="127"/>
        <v>0</v>
      </c>
      <c r="AE97" s="27">
        <f t="shared" si="127"/>
        <v>0</v>
      </c>
      <c r="AF97" s="27">
        <f t="shared" si="127"/>
        <v>0</v>
      </c>
      <c r="AG97" s="27">
        <f t="shared" si="127"/>
        <v>0</v>
      </c>
      <c r="AH97" s="27">
        <f t="shared" si="127"/>
        <v>0</v>
      </c>
      <c r="AI97" s="27">
        <f t="shared" si="127"/>
        <v>0</v>
      </c>
      <c r="AJ97" s="27">
        <f t="shared" si="127"/>
        <v>0</v>
      </c>
      <c r="AK97" s="27">
        <f t="shared" si="127"/>
        <v>0</v>
      </c>
      <c r="AL97" s="27">
        <f t="shared" si="127"/>
        <v>0</v>
      </c>
      <c r="AM97" s="27">
        <f t="shared" si="127"/>
        <v>0</v>
      </c>
      <c r="AN97" s="27">
        <f t="shared" si="127"/>
        <v>0</v>
      </c>
      <c r="AO97" s="27">
        <f t="shared" si="127"/>
        <v>0</v>
      </c>
      <c r="AP97" s="27">
        <f t="shared" si="127"/>
        <v>0</v>
      </c>
      <c r="AQ97" s="27">
        <f t="shared" si="125"/>
        <v>0</v>
      </c>
      <c r="AR97" s="27">
        <f t="shared" si="125"/>
        <v>0</v>
      </c>
      <c r="AS97" s="27">
        <f t="shared" si="125"/>
        <v>0</v>
      </c>
      <c r="AT97" s="27">
        <f t="shared" si="125"/>
        <v>0</v>
      </c>
      <c r="AU97" s="27">
        <f t="shared" si="125"/>
        <v>0</v>
      </c>
      <c r="AV97" s="27">
        <f t="shared" si="125"/>
        <v>0</v>
      </c>
      <c r="AW97" s="27">
        <f t="shared" si="125"/>
        <v>0</v>
      </c>
      <c r="AX97" s="27">
        <f t="shared" si="125"/>
        <v>0</v>
      </c>
      <c r="AY97" s="28">
        <f t="shared" si="125"/>
        <v>0</v>
      </c>
    </row>
    <row r="98" spans="1:51" ht="15.5" x14ac:dyDescent="0.35">
      <c r="A98" s="43" t="s">
        <v>78</v>
      </c>
      <c r="B98" s="29">
        <f t="shared" si="122"/>
        <v>1.1252515066824072E-9</v>
      </c>
      <c r="C98" s="30">
        <f t="shared" si="126"/>
        <v>8.5417302076676904E-5</v>
      </c>
      <c r="D98" s="30">
        <f t="shared" si="126"/>
        <v>6.8605210951035783E-3</v>
      </c>
      <c r="E98" s="30">
        <f t="shared" si="126"/>
        <v>5.4995516290364234E-2</v>
      </c>
      <c r="F98" s="30">
        <f t="shared" si="126"/>
        <v>0.14302584549648958</v>
      </c>
      <c r="G98" s="30">
        <f t="shared" si="126"/>
        <v>0.20016629257165502</v>
      </c>
      <c r="H98" s="30">
        <f t="shared" si="126"/>
        <v>0.19497268310387805</v>
      </c>
      <c r="I98" s="30">
        <f t="shared" si="126"/>
        <v>0.15204898053997118</v>
      </c>
      <c r="J98" s="30">
        <f t="shared" si="126"/>
        <v>0.10293446359921987</v>
      </c>
      <c r="K98" s="30">
        <f t="shared" si="126"/>
        <v>6.3546557432595741E-2</v>
      </c>
      <c r="L98" s="30">
        <f t="shared" si="126"/>
        <v>3.6911951836713586E-2</v>
      </c>
      <c r="M98" s="30">
        <f t="shared" si="126"/>
        <v>2.0593508086637291E-2</v>
      </c>
      <c r="N98" s="30">
        <f t="shared" si="126"/>
        <v>1.1190228953809278E-2</v>
      </c>
      <c r="O98" s="30">
        <f t="shared" si="126"/>
        <v>5.9798383110692965E-3</v>
      </c>
      <c r="P98" s="30">
        <f t="shared" si="126"/>
        <v>3.1640459266198961E-3</v>
      </c>
      <c r="Q98" s="30">
        <f t="shared" si="126"/>
        <v>1.6657823499148794E-3</v>
      </c>
      <c r="R98" s="30">
        <f t="shared" si="124"/>
        <v>8.7568712061003584E-4</v>
      </c>
      <c r="S98" s="30">
        <f t="shared" si="124"/>
        <v>4.6084204337493162E-4</v>
      </c>
      <c r="T98" s="30">
        <f t="shared" si="124"/>
        <v>2.4324561525390642E-4</v>
      </c>
      <c r="U98" s="30">
        <f t="shared" si="124"/>
        <v>1.2895137690038805E-4</v>
      </c>
      <c r="V98" s="30">
        <f t="shared" si="124"/>
        <v>6.8727602328122472E-5</v>
      </c>
      <c r="W98" s="30">
        <f t="shared" si="124"/>
        <v>3.6853255314883704E-5</v>
      </c>
      <c r="X98" s="30">
        <f t="shared" si="124"/>
        <v>1.9892257293596671E-5</v>
      </c>
      <c r="Y98" s="30">
        <f t="shared" si="124"/>
        <v>1.0812119969116907E-5</v>
      </c>
      <c r="Z98" s="31">
        <f t="shared" si="124"/>
        <v>1.3354587585334698E-5</v>
      </c>
      <c r="AA98" s="29">
        <f t="shared" si="123"/>
        <v>1</v>
      </c>
      <c r="AB98" s="30">
        <f t="shared" si="127"/>
        <v>0</v>
      </c>
      <c r="AC98" s="30">
        <f t="shared" si="127"/>
        <v>0</v>
      </c>
      <c r="AD98" s="30">
        <f t="shared" si="127"/>
        <v>0</v>
      </c>
      <c r="AE98" s="30">
        <f t="shared" si="127"/>
        <v>0</v>
      </c>
      <c r="AF98" s="30">
        <f t="shared" si="127"/>
        <v>0</v>
      </c>
      <c r="AG98" s="30">
        <f t="shared" si="127"/>
        <v>0</v>
      </c>
      <c r="AH98" s="30">
        <f t="shared" si="127"/>
        <v>0</v>
      </c>
      <c r="AI98" s="30">
        <f t="shared" si="127"/>
        <v>0</v>
      </c>
      <c r="AJ98" s="30">
        <f t="shared" si="127"/>
        <v>0</v>
      </c>
      <c r="AK98" s="30">
        <f t="shared" si="127"/>
        <v>0</v>
      </c>
      <c r="AL98" s="30">
        <f t="shared" si="127"/>
        <v>0</v>
      </c>
      <c r="AM98" s="30">
        <f t="shared" si="127"/>
        <v>0</v>
      </c>
      <c r="AN98" s="30">
        <f t="shared" si="127"/>
        <v>0</v>
      </c>
      <c r="AO98" s="30">
        <f t="shared" si="127"/>
        <v>0</v>
      </c>
      <c r="AP98" s="30">
        <f t="shared" si="127"/>
        <v>0</v>
      </c>
      <c r="AQ98" s="30">
        <f t="shared" si="125"/>
        <v>0</v>
      </c>
      <c r="AR98" s="30">
        <f t="shared" si="125"/>
        <v>0</v>
      </c>
      <c r="AS98" s="30">
        <f t="shared" si="125"/>
        <v>0</v>
      </c>
      <c r="AT98" s="30">
        <f t="shared" si="125"/>
        <v>0</v>
      </c>
      <c r="AU98" s="30">
        <f t="shared" si="125"/>
        <v>0</v>
      </c>
      <c r="AV98" s="30">
        <f t="shared" si="125"/>
        <v>0</v>
      </c>
      <c r="AW98" s="30">
        <f t="shared" si="125"/>
        <v>0</v>
      </c>
      <c r="AX98" s="30">
        <f t="shared" si="125"/>
        <v>0</v>
      </c>
      <c r="AY98" s="31">
        <f t="shared" si="125"/>
        <v>0</v>
      </c>
    </row>
    <row r="101" spans="1:51" ht="15.5" x14ac:dyDescent="0.35">
      <c r="A101" s="52"/>
    </row>
  </sheetData>
  <sheetProtection algorithmName="SHA-512" hashValue="tHCwc60uQmUcgr51F6zY9oo3TkyIop73RPesuMRsmiTqZ/rArho/roRbjIOkkf02t8maNtnS8Frb7VCGyN8AMw==" saltValue="VV8Uljw+eSiD4zMHM3Ukpw==" spinCount="100000" sheet="1" formatCells="0" formatColumns="0" formatRows="0" insertColumns="0" insertRows="0" insertHyperlinks="0" deleteColumns="0" deleteRows="0" sort="0" autoFilter="0" pivotTables="0"/>
  <mergeCells count="8">
    <mergeCell ref="I34:J34"/>
    <mergeCell ref="AA68:AD68"/>
    <mergeCell ref="B68:F68"/>
    <mergeCell ref="A1:E1"/>
    <mergeCell ref="B35:B36"/>
    <mergeCell ref="C35:D35"/>
    <mergeCell ref="E35:F35"/>
    <mergeCell ref="G34:H34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AA73"/>
  <sheetViews>
    <sheetView tabSelected="1" workbookViewId="0">
      <selection activeCell="G97" sqref="G97"/>
    </sheetView>
  </sheetViews>
  <sheetFormatPr defaultRowHeight="10.5" x14ac:dyDescent="0.25"/>
  <cols>
    <col min="1" max="1" width="9.1796875" style="105"/>
    <col min="2" max="2" width="9.1796875" style="103"/>
    <col min="3" max="16384" width="8.7265625" style="104"/>
  </cols>
  <sheetData>
    <row r="1" spans="1:27" x14ac:dyDescent="0.25">
      <c r="A1" s="102" t="s">
        <v>24</v>
      </c>
    </row>
    <row r="2" spans="1:27" x14ac:dyDescent="0.25">
      <c r="B2" s="106"/>
      <c r="C2" s="238" t="s">
        <v>150</v>
      </c>
      <c r="D2" s="238"/>
      <c r="E2" s="238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8"/>
      <c r="T2" s="238"/>
      <c r="U2" s="238"/>
      <c r="V2" s="238"/>
      <c r="W2" s="238"/>
      <c r="X2" s="238"/>
      <c r="Y2" s="238"/>
      <c r="Z2" s="238"/>
      <c r="AA2" s="238"/>
    </row>
    <row r="3" spans="1:27" s="105" customFormat="1" ht="52.5" x14ac:dyDescent="0.25">
      <c r="A3" s="102"/>
      <c r="B3" s="107" t="s">
        <v>128</v>
      </c>
      <c r="C3" s="241">
        <v>0</v>
      </c>
      <c r="D3" s="241">
        <v>0.1</v>
      </c>
      <c r="E3" s="241">
        <v>0.2</v>
      </c>
      <c r="F3" s="241">
        <v>0.3</v>
      </c>
      <c r="G3" s="241">
        <v>0.4</v>
      </c>
      <c r="H3" s="241">
        <v>0.5</v>
      </c>
      <c r="I3" s="241">
        <v>0.6</v>
      </c>
      <c r="J3" s="241">
        <v>0.7</v>
      </c>
      <c r="K3" s="241">
        <v>0.8</v>
      </c>
      <c r="L3" s="241">
        <v>0.9</v>
      </c>
      <c r="M3" s="241">
        <v>1</v>
      </c>
      <c r="N3" s="241">
        <v>1.1000000000000001</v>
      </c>
      <c r="O3" s="241">
        <v>1.2</v>
      </c>
      <c r="P3" s="241">
        <v>1.3</v>
      </c>
      <c r="Q3" s="241">
        <v>1.4</v>
      </c>
      <c r="R3" s="241">
        <v>1.5</v>
      </c>
      <c r="S3" s="241">
        <v>1.6</v>
      </c>
      <c r="T3" s="241">
        <v>1.7</v>
      </c>
      <c r="U3" s="241">
        <v>1.8</v>
      </c>
      <c r="V3" s="241">
        <v>1.9</v>
      </c>
      <c r="W3" s="241">
        <v>2</v>
      </c>
      <c r="X3" s="241">
        <v>2.1</v>
      </c>
      <c r="Y3" s="241">
        <v>2.2000000000000002</v>
      </c>
      <c r="Z3" s="241">
        <v>2.2999999999999998</v>
      </c>
      <c r="AA3" s="241">
        <v>2.4</v>
      </c>
    </row>
    <row r="4" spans="1:27" x14ac:dyDescent="0.25">
      <c r="A4" s="102" t="s">
        <v>45</v>
      </c>
      <c r="B4" s="108">
        <f ca="1">'Stochastic Inputs'!E28</f>
        <v>0.999999999985</v>
      </c>
      <c r="C4" s="109">
        <f ca="1">$B4^(C$3/2)</f>
        <v>1</v>
      </c>
      <c r="D4" s="109">
        <f ca="1">$B4^(D$3/2)</f>
        <v>0.99999999999925004</v>
      </c>
      <c r="E4" s="109">
        <f t="shared" ref="E4:W18" ca="1" si="0">$B4^(E$3/2)</f>
        <v>0.99999999999849998</v>
      </c>
      <c r="F4" s="109">
        <f t="shared" ca="1" si="0"/>
        <v>0.99999999999775002</v>
      </c>
      <c r="G4" s="109">
        <f t="shared" ca="1" si="0"/>
        <v>0.99999999999699996</v>
      </c>
      <c r="H4" s="109">
        <f t="shared" ca="1" si="0"/>
        <v>0.99999999999625</v>
      </c>
      <c r="I4" s="109">
        <f t="shared" ca="1" si="0"/>
        <v>0.99999999999550004</v>
      </c>
      <c r="J4" s="109">
        <f t="shared" ca="1" si="0"/>
        <v>0.99999999999474998</v>
      </c>
      <c r="K4" s="109">
        <f t="shared" ca="1" si="0"/>
        <v>0.99999999999400002</v>
      </c>
      <c r="L4" s="109">
        <f t="shared" ca="1" si="0"/>
        <v>0.99999999999324996</v>
      </c>
      <c r="M4" s="109">
        <f t="shared" ca="1" si="0"/>
        <v>0.9999999999925</v>
      </c>
      <c r="N4" s="109">
        <f t="shared" ca="1" si="0"/>
        <v>0.99999999999175004</v>
      </c>
      <c r="O4" s="109">
        <f t="shared" ca="1" si="0"/>
        <v>0.99999999999099998</v>
      </c>
      <c r="P4" s="109">
        <f t="shared" ca="1" si="0"/>
        <v>0.99999999999025002</v>
      </c>
      <c r="Q4" s="109">
        <f t="shared" ca="1" si="0"/>
        <v>0.99999999998949995</v>
      </c>
      <c r="R4" s="109">
        <f t="shared" ca="1" si="0"/>
        <v>0.99999999998875</v>
      </c>
      <c r="S4" s="109">
        <f t="shared" ca="1" si="0"/>
        <v>0.99999999998800004</v>
      </c>
      <c r="T4" s="109">
        <f t="shared" ca="1" si="0"/>
        <v>0.99999999998724998</v>
      </c>
      <c r="U4" s="109">
        <f t="shared" ca="1" si="0"/>
        <v>0.99999999998650002</v>
      </c>
      <c r="V4" s="109">
        <f t="shared" ca="1" si="0"/>
        <v>0.99999999998574995</v>
      </c>
      <c r="W4" s="109">
        <f t="shared" ca="1" si="0"/>
        <v>0.999999999985</v>
      </c>
      <c r="X4" s="109">
        <f ca="1">$B4^(X$3/2)</f>
        <v>0.99999999998425004</v>
      </c>
      <c r="Y4" s="109">
        <f ca="1">$B4^(Y$3/2)</f>
        <v>0.99999999998349998</v>
      </c>
      <c r="Z4" s="109">
        <f t="shared" ref="Z4:AA18" ca="1" si="1">$B4^(Z$3/2)</f>
        <v>0.99999999998275002</v>
      </c>
      <c r="AA4" s="109">
        <f t="shared" ca="1" si="1"/>
        <v>0.99999999998199995</v>
      </c>
    </row>
    <row r="5" spans="1:27" x14ac:dyDescent="0.25">
      <c r="A5" s="102" t="s">
        <v>46</v>
      </c>
      <c r="B5" s="108">
        <f ca="1">'Stochastic Inputs'!E29</f>
        <v>0.999999999985</v>
      </c>
      <c r="C5" s="109">
        <f t="shared" ref="C5:R18" ca="1" si="2">$B5^(C$3/2)</f>
        <v>1</v>
      </c>
      <c r="D5" s="109">
        <f t="shared" ca="1" si="2"/>
        <v>0.99999999999925004</v>
      </c>
      <c r="E5" s="109">
        <f t="shared" ca="1" si="2"/>
        <v>0.99999999999849998</v>
      </c>
      <c r="F5" s="109">
        <f t="shared" ca="1" si="2"/>
        <v>0.99999999999775002</v>
      </c>
      <c r="G5" s="109">
        <f t="shared" ca="1" si="2"/>
        <v>0.99999999999699996</v>
      </c>
      <c r="H5" s="109">
        <f t="shared" ca="1" si="2"/>
        <v>0.99999999999625</v>
      </c>
      <c r="I5" s="109">
        <f t="shared" ca="1" si="2"/>
        <v>0.99999999999550004</v>
      </c>
      <c r="J5" s="109">
        <f t="shared" ca="1" si="2"/>
        <v>0.99999999999474998</v>
      </c>
      <c r="K5" s="109">
        <f t="shared" ca="1" si="2"/>
        <v>0.99999999999400002</v>
      </c>
      <c r="L5" s="109">
        <f t="shared" ca="1" si="2"/>
        <v>0.99999999999324996</v>
      </c>
      <c r="M5" s="109">
        <f t="shared" ca="1" si="2"/>
        <v>0.9999999999925</v>
      </c>
      <c r="N5" s="109">
        <f t="shared" ca="1" si="2"/>
        <v>0.99999999999175004</v>
      </c>
      <c r="O5" s="109">
        <f t="shared" ca="1" si="2"/>
        <v>0.99999999999099998</v>
      </c>
      <c r="P5" s="109">
        <f t="shared" ca="1" si="2"/>
        <v>0.99999999999025002</v>
      </c>
      <c r="Q5" s="109">
        <f t="shared" ca="1" si="2"/>
        <v>0.99999999998949995</v>
      </c>
      <c r="R5" s="109">
        <f t="shared" ca="1" si="2"/>
        <v>0.99999999998875</v>
      </c>
      <c r="S5" s="109">
        <f t="shared" ca="1" si="0"/>
        <v>0.99999999998800004</v>
      </c>
      <c r="T5" s="109">
        <f t="shared" ca="1" si="0"/>
        <v>0.99999999998724998</v>
      </c>
      <c r="U5" s="109">
        <f t="shared" ca="1" si="0"/>
        <v>0.99999999998650002</v>
      </c>
      <c r="V5" s="109">
        <f t="shared" ca="1" si="0"/>
        <v>0.99999999998574995</v>
      </c>
      <c r="W5" s="109">
        <f t="shared" ca="1" si="0"/>
        <v>0.999999999985</v>
      </c>
      <c r="X5" s="109">
        <f t="shared" ref="X5:AA18" ca="1" si="3">$B5^(X$3/2)</f>
        <v>0.99999999998425004</v>
      </c>
      <c r="Y5" s="109">
        <f t="shared" ca="1" si="3"/>
        <v>0.99999999998349998</v>
      </c>
      <c r="Z5" s="109">
        <f t="shared" ca="1" si="3"/>
        <v>0.99999999998275002</v>
      </c>
      <c r="AA5" s="109">
        <f t="shared" ca="1" si="3"/>
        <v>0.99999999998199995</v>
      </c>
    </row>
    <row r="6" spans="1:27" x14ac:dyDescent="0.25">
      <c r="A6" s="102" t="s">
        <v>47</v>
      </c>
      <c r="B6" s="108">
        <f ca="1">'Stochastic Inputs'!E30</f>
        <v>1.4216666666666666</v>
      </c>
      <c r="C6" s="109">
        <f t="shared" ca="1" si="2"/>
        <v>1</v>
      </c>
      <c r="D6" s="109">
        <f t="shared" ca="1" si="2"/>
        <v>1.017747136272132</v>
      </c>
      <c r="E6" s="109">
        <f t="shared" ca="1" si="0"/>
        <v>1.0358092333901259</v>
      </c>
      <c r="F6" s="109">
        <f t="shared" ca="1" si="0"/>
        <v>1.054191881007033</v>
      </c>
      <c r="G6" s="109">
        <f t="shared" ca="1" si="0"/>
        <v>1.0729007679762401</v>
      </c>
      <c r="H6" s="109">
        <f t="shared" ca="1" si="0"/>
        <v>1.0919416841119896</v>
      </c>
      <c r="I6" s="109">
        <f t="shared" ca="1" si="0"/>
        <v>1.1113205219811466</v>
      </c>
      <c r="J6" s="109">
        <f t="shared" ca="1" si="0"/>
        <v>1.1310432787267628</v>
      </c>
      <c r="K6" s="109">
        <f t="shared" ca="1" si="0"/>
        <v>1.1511160579240058</v>
      </c>
      <c r="L6" s="109">
        <f t="shared" ca="1" si="0"/>
        <v>1.1715450714690228</v>
      </c>
      <c r="M6" s="109">
        <f t="shared" ca="1" si="0"/>
        <v>1.1923366415013281</v>
      </c>
      <c r="N6" s="109">
        <f t="shared" ca="1" si="0"/>
        <v>1.2134972023603086</v>
      </c>
      <c r="O6" s="109">
        <f t="shared" ca="1" si="0"/>
        <v>1.2350333025764479</v>
      </c>
      <c r="P6" s="109">
        <f t="shared" ca="1" si="0"/>
        <v>1.2569516068978934</v>
      </c>
      <c r="Q6" s="109">
        <f t="shared" ca="1" si="0"/>
        <v>1.2792588983529858</v>
      </c>
      <c r="R6" s="109">
        <f t="shared" ca="1" si="0"/>
        <v>1.3019620803493939</v>
      </c>
      <c r="S6" s="109">
        <f t="shared" ca="1" si="0"/>
        <v>1.3250681788105032</v>
      </c>
      <c r="T6" s="109">
        <f t="shared" ca="1" si="0"/>
        <v>1.348584344349719</v>
      </c>
      <c r="U6" s="109">
        <f t="shared" ca="1" si="0"/>
        <v>1.3725178544833574</v>
      </c>
      <c r="V6" s="109">
        <f t="shared" ca="1" si="0"/>
        <v>1.3968761158828078</v>
      </c>
      <c r="W6" s="109">
        <f t="shared" ca="1" si="0"/>
        <v>1.4216666666666666</v>
      </c>
      <c r="X6" s="109">
        <f t="shared" ca="1" si="3"/>
        <v>1.4468971787335478</v>
      </c>
      <c r="Y6" s="109">
        <f t="shared" ca="1" si="3"/>
        <v>1.4725754601362955</v>
      </c>
      <c r="Z6" s="109">
        <f t="shared" ca="1" si="1"/>
        <v>1.498709457498332</v>
      </c>
      <c r="AA6" s="109">
        <f t="shared" ca="1" si="1"/>
        <v>1.525307258472888</v>
      </c>
    </row>
    <row r="7" spans="1:27" x14ac:dyDescent="0.25">
      <c r="A7" s="102" t="s">
        <v>48</v>
      </c>
      <c r="B7" s="108">
        <f ca="1">'Stochastic Inputs'!E31</f>
        <v>1.4216666666666666</v>
      </c>
      <c r="C7" s="109">
        <f t="shared" ca="1" si="2"/>
        <v>1</v>
      </c>
      <c r="D7" s="109">
        <f t="shared" ca="1" si="2"/>
        <v>1.017747136272132</v>
      </c>
      <c r="E7" s="109">
        <f t="shared" ca="1" si="0"/>
        <v>1.0358092333901259</v>
      </c>
      <c r="F7" s="109">
        <f t="shared" ca="1" si="0"/>
        <v>1.054191881007033</v>
      </c>
      <c r="G7" s="109">
        <f t="shared" ca="1" si="0"/>
        <v>1.0729007679762401</v>
      </c>
      <c r="H7" s="109">
        <f t="shared" ca="1" si="0"/>
        <v>1.0919416841119896</v>
      </c>
      <c r="I7" s="109">
        <f t="shared" ca="1" si="0"/>
        <v>1.1113205219811466</v>
      </c>
      <c r="J7" s="109">
        <f t="shared" ca="1" si="0"/>
        <v>1.1310432787267628</v>
      </c>
      <c r="K7" s="109">
        <f t="shared" ca="1" si="0"/>
        <v>1.1511160579240058</v>
      </c>
      <c r="L7" s="109">
        <f t="shared" ca="1" si="0"/>
        <v>1.1715450714690228</v>
      </c>
      <c r="M7" s="109">
        <f t="shared" ca="1" si="0"/>
        <v>1.1923366415013281</v>
      </c>
      <c r="N7" s="109">
        <f t="shared" ca="1" si="0"/>
        <v>1.2134972023603086</v>
      </c>
      <c r="O7" s="109">
        <f t="shared" ca="1" si="0"/>
        <v>1.2350333025764479</v>
      </c>
      <c r="P7" s="109">
        <f t="shared" ca="1" si="0"/>
        <v>1.2569516068978934</v>
      </c>
      <c r="Q7" s="109">
        <f t="shared" ca="1" si="0"/>
        <v>1.2792588983529858</v>
      </c>
      <c r="R7" s="109">
        <f t="shared" ca="1" si="0"/>
        <v>1.3019620803493939</v>
      </c>
      <c r="S7" s="109">
        <f t="shared" ca="1" si="0"/>
        <v>1.3250681788105032</v>
      </c>
      <c r="T7" s="109">
        <f t="shared" ca="1" si="0"/>
        <v>1.348584344349719</v>
      </c>
      <c r="U7" s="109">
        <f t="shared" ca="1" si="0"/>
        <v>1.3725178544833574</v>
      </c>
      <c r="V7" s="109">
        <f t="shared" ca="1" si="0"/>
        <v>1.3968761158828078</v>
      </c>
      <c r="W7" s="109">
        <f t="shared" ca="1" si="0"/>
        <v>1.4216666666666666</v>
      </c>
      <c r="X7" s="109">
        <f t="shared" ca="1" si="3"/>
        <v>1.4468971787335478</v>
      </c>
      <c r="Y7" s="109">
        <f t="shared" ca="1" si="3"/>
        <v>1.4725754601362955</v>
      </c>
      <c r="Z7" s="109">
        <f t="shared" ca="1" si="1"/>
        <v>1.498709457498332</v>
      </c>
      <c r="AA7" s="109">
        <f t="shared" ca="1" si="1"/>
        <v>1.525307258472888</v>
      </c>
    </row>
    <row r="8" spans="1:27" x14ac:dyDescent="0.25">
      <c r="A8" s="102" t="s">
        <v>49</v>
      </c>
      <c r="B8" s="108">
        <f ca="1">'Stochastic Inputs'!E32</f>
        <v>1.4016666666666666</v>
      </c>
      <c r="C8" s="109">
        <f t="shared" ca="1" si="2"/>
        <v>1</v>
      </c>
      <c r="D8" s="109">
        <f t="shared" ca="1" si="2"/>
        <v>1.0170264252286354</v>
      </c>
      <c r="E8" s="109">
        <f t="shared" ca="1" si="0"/>
        <v>1.0343427496133371</v>
      </c>
      <c r="F8" s="109">
        <f t="shared" ca="1" si="0"/>
        <v>1.0519539091004098</v>
      </c>
      <c r="G8" s="109">
        <f t="shared" ca="1" si="0"/>
        <v>1.0698649236776787</v>
      </c>
      <c r="H8" s="109">
        <f t="shared" ca="1" si="0"/>
        <v>1.0880808988054163</v>
      </c>
      <c r="I8" s="109">
        <f t="shared" ca="1" si="0"/>
        <v>1.1066070268716333</v>
      </c>
      <c r="J8" s="109">
        <f t="shared" ca="1" si="0"/>
        <v>1.1254485886721455</v>
      </c>
      <c r="K8" s="109">
        <f t="shared" ca="1" si="0"/>
        <v>1.1446109549158452</v>
      </c>
      <c r="L8" s="109">
        <f t="shared" ca="1" si="0"/>
        <v>1.1640995877555969</v>
      </c>
      <c r="M8" s="109">
        <f t="shared" ca="1" si="0"/>
        <v>1.1839200423452028</v>
      </c>
      <c r="N8" s="109">
        <f t="shared" ca="1" si="0"/>
        <v>1.2040779684228762</v>
      </c>
      <c r="O8" s="109">
        <f t="shared" ca="1" si="0"/>
        <v>1.2245791119216756</v>
      </c>
      <c r="P8" s="109">
        <f t="shared" ca="1" si="0"/>
        <v>1.2454293166073587</v>
      </c>
      <c r="Q8" s="109">
        <f t="shared" ca="1" si="0"/>
        <v>1.2666345257441243</v>
      </c>
      <c r="R8" s="109">
        <f t="shared" ca="1" si="0"/>
        <v>1.2882007837887148</v>
      </c>
      <c r="S8" s="109">
        <f t="shared" ca="1" si="0"/>
        <v>1.3101342381133629</v>
      </c>
      <c r="T8" s="109">
        <f t="shared" ca="1" si="0"/>
        <v>1.3324411407580752</v>
      </c>
      <c r="U8" s="109">
        <f t="shared" ca="1" si="0"/>
        <v>1.3551278502127504</v>
      </c>
      <c r="V8" s="109">
        <f t="shared" ca="1" si="0"/>
        <v>1.3782008332296392</v>
      </c>
      <c r="W8" s="109">
        <f t="shared" ca="1" si="0"/>
        <v>1.4016666666666666</v>
      </c>
      <c r="X8" s="109">
        <f t="shared" ca="1" si="3"/>
        <v>1.4255320393621373</v>
      </c>
      <c r="Y8" s="109">
        <f t="shared" ca="1" si="3"/>
        <v>1.4498037540413609</v>
      </c>
      <c r="Z8" s="109">
        <f t="shared" ca="1" si="1"/>
        <v>1.4744887292557409</v>
      </c>
      <c r="AA8" s="109">
        <f t="shared" ca="1" si="1"/>
        <v>1.4995940013548794</v>
      </c>
    </row>
    <row r="9" spans="1:27" x14ac:dyDescent="0.25">
      <c r="A9" s="102" t="s">
        <v>50</v>
      </c>
      <c r="B9" s="108">
        <f ca="1">'Stochastic Inputs'!E33</f>
        <v>1.4016666666666666</v>
      </c>
      <c r="C9" s="109">
        <f t="shared" ca="1" si="2"/>
        <v>1</v>
      </c>
      <c r="D9" s="109">
        <f t="shared" ca="1" si="2"/>
        <v>1.0170264252286354</v>
      </c>
      <c r="E9" s="109">
        <f t="shared" ca="1" si="0"/>
        <v>1.0343427496133371</v>
      </c>
      <c r="F9" s="109">
        <f t="shared" ca="1" si="0"/>
        <v>1.0519539091004098</v>
      </c>
      <c r="G9" s="109">
        <f t="shared" ca="1" si="0"/>
        <v>1.0698649236776787</v>
      </c>
      <c r="H9" s="109">
        <f t="shared" ca="1" si="0"/>
        <v>1.0880808988054163</v>
      </c>
      <c r="I9" s="109">
        <f t="shared" ca="1" si="0"/>
        <v>1.1066070268716333</v>
      </c>
      <c r="J9" s="109">
        <f t="shared" ca="1" si="0"/>
        <v>1.1254485886721455</v>
      </c>
      <c r="K9" s="109">
        <f t="shared" ca="1" si="0"/>
        <v>1.1446109549158452</v>
      </c>
      <c r="L9" s="109">
        <f t="shared" ca="1" si="0"/>
        <v>1.1640995877555969</v>
      </c>
      <c r="M9" s="109">
        <f t="shared" ca="1" si="0"/>
        <v>1.1839200423452028</v>
      </c>
      <c r="N9" s="109">
        <f t="shared" ca="1" si="0"/>
        <v>1.2040779684228762</v>
      </c>
      <c r="O9" s="109">
        <f t="shared" ca="1" si="0"/>
        <v>1.2245791119216756</v>
      </c>
      <c r="P9" s="109">
        <f t="shared" ca="1" si="0"/>
        <v>1.2454293166073587</v>
      </c>
      <c r="Q9" s="109">
        <f t="shared" ca="1" si="0"/>
        <v>1.2666345257441243</v>
      </c>
      <c r="R9" s="109">
        <f t="shared" ca="1" si="0"/>
        <v>1.2882007837887148</v>
      </c>
      <c r="S9" s="109">
        <f t="shared" ca="1" si="0"/>
        <v>1.3101342381133629</v>
      </c>
      <c r="T9" s="109">
        <f t="shared" ca="1" si="0"/>
        <v>1.3324411407580752</v>
      </c>
      <c r="U9" s="109">
        <f t="shared" ca="1" si="0"/>
        <v>1.3551278502127504</v>
      </c>
      <c r="V9" s="109">
        <f t="shared" ca="1" si="0"/>
        <v>1.3782008332296392</v>
      </c>
      <c r="W9" s="109">
        <f t="shared" ca="1" si="0"/>
        <v>1.4016666666666666</v>
      </c>
      <c r="X9" s="109">
        <f t="shared" ca="1" si="3"/>
        <v>1.4255320393621373</v>
      </c>
      <c r="Y9" s="109">
        <f t="shared" ca="1" si="3"/>
        <v>1.4498037540413609</v>
      </c>
      <c r="Z9" s="109">
        <f t="shared" ca="1" si="1"/>
        <v>1.4744887292557409</v>
      </c>
      <c r="AA9" s="109">
        <f t="shared" ca="1" si="1"/>
        <v>1.4995940013548794</v>
      </c>
    </row>
    <row r="10" spans="1:27" x14ac:dyDescent="0.25">
      <c r="A10" s="102" t="s">
        <v>51</v>
      </c>
      <c r="B10" s="108">
        <f ca="1">'Stochastic Inputs'!E34</f>
        <v>1.3316666666666668</v>
      </c>
      <c r="C10" s="109">
        <f t="shared" ca="1" si="2"/>
        <v>1</v>
      </c>
      <c r="D10" s="109">
        <f t="shared" ca="1" si="2"/>
        <v>1.0144246094666958</v>
      </c>
      <c r="E10" s="109">
        <f t="shared" ca="1" si="0"/>
        <v>1.0290572882916582</v>
      </c>
      <c r="F10" s="109">
        <f t="shared" ca="1" si="0"/>
        <v>1.0439010377941222</v>
      </c>
      <c r="G10" s="109">
        <f t="shared" ca="1" si="0"/>
        <v>1.0589589025861808</v>
      </c>
      <c r="H10" s="109">
        <f t="shared" ca="1" si="0"/>
        <v>1.074233971197267</v>
      </c>
      <c r="I10" s="109">
        <f t="shared" ca="1" si="0"/>
        <v>1.0897293767076452</v>
      </c>
      <c r="J10" s="109">
        <f t="shared" ca="1" si="0"/>
        <v>1.1054482973910387</v>
      </c>
      <c r="K10" s="109">
        <f t="shared" ca="1" si="0"/>
        <v>1.1213939573665281</v>
      </c>
      <c r="L10" s="109">
        <f t="shared" ca="1" si="0"/>
        <v>1.1375696272598528</v>
      </c>
      <c r="M10" s="109">
        <f t="shared" ca="1" si="0"/>
        <v>1.1539786248742507</v>
      </c>
      <c r="N10" s="109">
        <f t="shared" ca="1" si="0"/>
        <v>1.1706243158709764</v>
      </c>
      <c r="O10" s="109">
        <f t="shared" ca="1" si="0"/>
        <v>1.1875101144596332</v>
      </c>
      <c r="P10" s="109">
        <f t="shared" ca="1" si="0"/>
        <v>1.2046394840984644</v>
      </c>
      <c r="Q10" s="109">
        <f t="shared" ca="1" si="0"/>
        <v>1.2220159382047464</v>
      </c>
      <c r="R10" s="109">
        <f t="shared" ca="1" si="0"/>
        <v>1.2396430408754278</v>
      </c>
      <c r="S10" s="109">
        <f t="shared" ca="1" si="0"/>
        <v>1.2575244076181629</v>
      </c>
      <c r="T10" s="109">
        <f t="shared" ca="1" si="0"/>
        <v>1.2756637060928928</v>
      </c>
      <c r="U10" s="109">
        <f t="shared" ca="1" si="0"/>
        <v>1.2940646568641205</v>
      </c>
      <c r="V10" s="109">
        <f t="shared" ca="1" si="0"/>
        <v>1.312731034164039</v>
      </c>
      <c r="W10" s="109">
        <f t="shared" ca="1" si="0"/>
        <v>1.3316666666666668</v>
      </c>
      <c r="X10" s="109">
        <f t="shared" ca="1" si="3"/>
        <v>1.35087543827315</v>
      </c>
      <c r="Y10" s="109">
        <f t="shared" ca="1" si="3"/>
        <v>1.3703612889083916</v>
      </c>
      <c r="Z10" s="109">
        <f t="shared" ca="1" si="1"/>
        <v>1.3901282153291727</v>
      </c>
      <c r="AA10" s="109">
        <f t="shared" ca="1" si="1"/>
        <v>1.4101802719439309</v>
      </c>
    </row>
    <row r="11" spans="1:27" x14ac:dyDescent="0.25">
      <c r="A11" s="102" t="s">
        <v>52</v>
      </c>
      <c r="B11" s="108">
        <f ca="1">'Stochastic Inputs'!E35</f>
        <v>1.3316666666666668</v>
      </c>
      <c r="C11" s="109">
        <f t="shared" ca="1" si="2"/>
        <v>1</v>
      </c>
      <c r="D11" s="109">
        <f t="shared" ca="1" si="2"/>
        <v>1.0144246094666958</v>
      </c>
      <c r="E11" s="109">
        <f t="shared" ca="1" si="0"/>
        <v>1.0290572882916582</v>
      </c>
      <c r="F11" s="109">
        <f t="shared" ca="1" si="0"/>
        <v>1.0439010377941222</v>
      </c>
      <c r="G11" s="109">
        <f t="shared" ca="1" si="0"/>
        <v>1.0589589025861808</v>
      </c>
      <c r="H11" s="109">
        <f t="shared" ca="1" si="0"/>
        <v>1.074233971197267</v>
      </c>
      <c r="I11" s="109">
        <f t="shared" ca="1" si="0"/>
        <v>1.0897293767076452</v>
      </c>
      <c r="J11" s="109">
        <f t="shared" ca="1" si="0"/>
        <v>1.1054482973910387</v>
      </c>
      <c r="K11" s="109">
        <f t="shared" ca="1" si="0"/>
        <v>1.1213939573665281</v>
      </c>
      <c r="L11" s="109">
        <f t="shared" ca="1" si="0"/>
        <v>1.1375696272598528</v>
      </c>
      <c r="M11" s="109">
        <f t="shared" ca="1" si="0"/>
        <v>1.1539786248742507</v>
      </c>
      <c r="N11" s="109">
        <f t="shared" ca="1" si="0"/>
        <v>1.1706243158709764</v>
      </c>
      <c r="O11" s="109">
        <f t="shared" ca="1" si="0"/>
        <v>1.1875101144596332</v>
      </c>
      <c r="P11" s="109">
        <f t="shared" ca="1" si="0"/>
        <v>1.2046394840984644</v>
      </c>
      <c r="Q11" s="109">
        <f t="shared" ca="1" si="0"/>
        <v>1.2220159382047464</v>
      </c>
      <c r="R11" s="109">
        <f t="shared" ca="1" si="0"/>
        <v>1.2396430408754278</v>
      </c>
      <c r="S11" s="109">
        <f t="shared" ca="1" si="0"/>
        <v>1.2575244076181629</v>
      </c>
      <c r="T11" s="109">
        <f t="shared" ca="1" si="0"/>
        <v>1.2756637060928928</v>
      </c>
      <c r="U11" s="109">
        <f t="shared" ca="1" si="0"/>
        <v>1.2940646568641205</v>
      </c>
      <c r="V11" s="109">
        <f t="shared" ca="1" si="0"/>
        <v>1.312731034164039</v>
      </c>
      <c r="W11" s="109">
        <f t="shared" ca="1" si="0"/>
        <v>1.3316666666666668</v>
      </c>
      <c r="X11" s="109">
        <f t="shared" ca="1" si="3"/>
        <v>1.35087543827315</v>
      </c>
      <c r="Y11" s="109">
        <f t="shared" ca="1" si="3"/>
        <v>1.3703612889083916</v>
      </c>
      <c r="Z11" s="109">
        <f t="shared" ca="1" si="1"/>
        <v>1.3901282153291727</v>
      </c>
      <c r="AA11" s="109">
        <f t="shared" ca="1" si="1"/>
        <v>1.4101802719439309</v>
      </c>
    </row>
    <row r="12" spans="1:27" x14ac:dyDescent="0.25">
      <c r="A12" s="102" t="s">
        <v>53</v>
      </c>
      <c r="B12" s="108">
        <f ca="1">'Stochastic Inputs'!E36</f>
        <v>1.27</v>
      </c>
      <c r="C12" s="109">
        <f t="shared" ca="1" si="2"/>
        <v>1</v>
      </c>
      <c r="D12" s="109">
        <f t="shared" ca="1" si="2"/>
        <v>1.0120225416991979</v>
      </c>
      <c r="E12" s="109">
        <f t="shared" ca="1" si="0"/>
        <v>1.0241896249073048</v>
      </c>
      <c r="F12" s="109">
        <f t="shared" ca="1" si="0"/>
        <v>1.0365029873806388</v>
      </c>
      <c r="G12" s="109">
        <f t="shared" ca="1" si="0"/>
        <v>1.0489643877677659</v>
      </c>
      <c r="H12" s="109">
        <f t="shared" ca="1" si="0"/>
        <v>1.0615756058606776</v>
      </c>
      <c r="I12" s="109">
        <f t="shared" ca="1" si="0"/>
        <v>1.0743384428489888</v>
      </c>
      <c r="J12" s="109">
        <f t="shared" ca="1" si="0"/>
        <v>1.0872547215771922</v>
      </c>
      <c r="K12" s="109">
        <f t="shared" ca="1" si="0"/>
        <v>1.1003262868050039</v>
      </c>
      <c r="L12" s="109">
        <f t="shared" ca="1" si="0"/>
        <v>1.1135550054708407</v>
      </c>
      <c r="M12" s="109">
        <f t="shared" ca="1" si="0"/>
        <v>1.1269427669584644</v>
      </c>
      <c r="N12" s="109">
        <f t="shared" ca="1" si="0"/>
        <v>1.1404914833668323</v>
      </c>
      <c r="O12" s="109">
        <f t="shared" ca="1" si="0"/>
        <v>1.1542030897831901</v>
      </c>
      <c r="P12" s="109">
        <f t="shared" ca="1" si="0"/>
        <v>1.1680795445594516</v>
      </c>
      <c r="Q12" s="109">
        <f t="shared" ca="1" si="0"/>
        <v>1.1821228295918977</v>
      </c>
      <c r="R12" s="109">
        <f t="shared" ca="1" si="0"/>
        <v>1.1963349506042402</v>
      </c>
      <c r="S12" s="109">
        <f t="shared" ca="1" si="0"/>
        <v>1.2107179374340877</v>
      </c>
      <c r="T12" s="109">
        <f t="shared" ca="1" si="0"/>
        <v>1.2252738443228559</v>
      </c>
      <c r="U12" s="109">
        <f t="shared" ca="1" si="0"/>
        <v>1.240004750209164</v>
      </c>
      <c r="V12" s="109">
        <f t="shared" ca="1" si="0"/>
        <v>1.2549127590257574</v>
      </c>
      <c r="W12" s="109">
        <f t="shared" ca="1" si="0"/>
        <v>1.27</v>
      </c>
      <c r="X12" s="109">
        <f t="shared" ca="1" si="3"/>
        <v>1.2852686279579815</v>
      </c>
      <c r="Y12" s="109">
        <f t="shared" ca="1" si="3"/>
        <v>1.3007208236322774</v>
      </c>
      <c r="Z12" s="109">
        <f t="shared" ca="1" si="1"/>
        <v>1.3163587939734114</v>
      </c>
      <c r="AA12" s="109">
        <f t="shared" ca="1" si="1"/>
        <v>1.3321847724650626</v>
      </c>
    </row>
    <row r="13" spans="1:27" x14ac:dyDescent="0.25">
      <c r="A13" s="102" t="s">
        <v>54</v>
      </c>
      <c r="B13" s="108">
        <f ca="1">'Stochastic Inputs'!E37</f>
        <v>1.27</v>
      </c>
      <c r="C13" s="109">
        <f t="shared" ca="1" si="2"/>
        <v>1</v>
      </c>
      <c r="D13" s="109">
        <f t="shared" ca="1" si="2"/>
        <v>1.0120225416991979</v>
      </c>
      <c r="E13" s="109">
        <f t="shared" ca="1" si="0"/>
        <v>1.0241896249073048</v>
      </c>
      <c r="F13" s="109">
        <f t="shared" ca="1" si="0"/>
        <v>1.0365029873806388</v>
      </c>
      <c r="G13" s="109">
        <f t="shared" ca="1" si="0"/>
        <v>1.0489643877677659</v>
      </c>
      <c r="H13" s="109">
        <f t="shared" ca="1" si="0"/>
        <v>1.0615756058606776</v>
      </c>
      <c r="I13" s="109">
        <f t="shared" ca="1" si="0"/>
        <v>1.0743384428489888</v>
      </c>
      <c r="J13" s="109">
        <f t="shared" ca="1" si="0"/>
        <v>1.0872547215771922</v>
      </c>
      <c r="K13" s="109">
        <f t="shared" ca="1" si="0"/>
        <v>1.1003262868050039</v>
      </c>
      <c r="L13" s="109">
        <f t="shared" ca="1" si="0"/>
        <v>1.1135550054708407</v>
      </c>
      <c r="M13" s="109">
        <f t="shared" ca="1" si="0"/>
        <v>1.1269427669584644</v>
      </c>
      <c r="N13" s="109">
        <f t="shared" ca="1" si="0"/>
        <v>1.1404914833668323</v>
      </c>
      <c r="O13" s="109">
        <f t="shared" ca="1" si="0"/>
        <v>1.1542030897831901</v>
      </c>
      <c r="P13" s="109">
        <f t="shared" ca="1" si="0"/>
        <v>1.1680795445594516</v>
      </c>
      <c r="Q13" s="109">
        <f t="shared" ca="1" si="0"/>
        <v>1.1821228295918977</v>
      </c>
      <c r="R13" s="109">
        <f t="shared" ca="1" si="0"/>
        <v>1.1963349506042402</v>
      </c>
      <c r="S13" s="109">
        <f t="shared" ca="1" si="0"/>
        <v>1.2107179374340877</v>
      </c>
      <c r="T13" s="109">
        <f t="shared" ca="1" si="0"/>
        <v>1.2252738443228559</v>
      </c>
      <c r="U13" s="109">
        <f t="shared" ca="1" si="0"/>
        <v>1.240004750209164</v>
      </c>
      <c r="V13" s="109">
        <f t="shared" ca="1" si="0"/>
        <v>1.2549127590257574</v>
      </c>
      <c r="W13" s="109">
        <f t="shared" ca="1" si="0"/>
        <v>1.27</v>
      </c>
      <c r="X13" s="109">
        <f t="shared" ca="1" si="3"/>
        <v>1.2852686279579815</v>
      </c>
      <c r="Y13" s="109">
        <f t="shared" ca="1" si="3"/>
        <v>1.3007208236322774</v>
      </c>
      <c r="Z13" s="109">
        <f t="shared" ca="1" si="1"/>
        <v>1.3163587939734114</v>
      </c>
      <c r="AA13" s="109">
        <f t="shared" ca="1" si="1"/>
        <v>1.3321847724650626</v>
      </c>
    </row>
    <row r="14" spans="1:27" x14ac:dyDescent="0.25">
      <c r="A14" s="102" t="s">
        <v>55</v>
      </c>
      <c r="B14" s="108">
        <f ca="1">'Stochastic Inputs'!E38</f>
        <v>1.22</v>
      </c>
      <c r="C14" s="109">
        <f t="shared" ca="1" si="2"/>
        <v>1</v>
      </c>
      <c r="D14" s="109">
        <f t="shared" ca="1" si="2"/>
        <v>1.00999213423556</v>
      </c>
      <c r="E14" s="109">
        <f t="shared" ca="1" si="0"/>
        <v>1.0200841112177017</v>
      </c>
      <c r="F14" s="109">
        <f t="shared" ca="1" si="0"/>
        <v>1.0302769285885509</v>
      </c>
      <c r="G14" s="109">
        <f t="shared" ca="1" si="0"/>
        <v>1.0405715939588083</v>
      </c>
      <c r="H14" s="109">
        <f t="shared" ca="1" si="0"/>
        <v>1.0509691250073554</v>
      </c>
      <c r="I14" s="109">
        <f t="shared" ca="1" si="0"/>
        <v>1.0614705495818579</v>
      </c>
      <c r="J14" s="109">
        <f t="shared" ca="1" si="0"/>
        <v>1.0720769058003736</v>
      </c>
      <c r="K14" s="109">
        <f t="shared" ca="1" si="0"/>
        <v>1.0827892421539749</v>
      </c>
      <c r="L14" s="109">
        <f t="shared" ca="1" si="0"/>
        <v>1.0936086176103976</v>
      </c>
      <c r="M14" s="109">
        <f t="shared" ca="1" si="0"/>
        <v>1.1045361017187261</v>
      </c>
      <c r="N14" s="109">
        <f t="shared" ca="1" si="0"/>
        <v>1.1155727747151218</v>
      </c>
      <c r="O14" s="109">
        <f t="shared" ca="1" si="0"/>
        <v>1.1267197276296115</v>
      </c>
      <c r="P14" s="109">
        <f t="shared" ca="1" si="0"/>
        <v>1.1379780623939404</v>
      </c>
      <c r="Q14" s="109">
        <f t="shared" ca="1" si="0"/>
        <v>1.149348891950503</v>
      </c>
      <c r="R14" s="109">
        <f t="shared" ca="1" si="0"/>
        <v>1.1608333403623647</v>
      </c>
      <c r="S14" s="109">
        <f t="shared" ca="1" si="0"/>
        <v>1.1724325429243792</v>
      </c>
      <c r="T14" s="109">
        <f t="shared" ca="1" si="0"/>
        <v>1.1841476462754186</v>
      </c>
      <c r="U14" s="109">
        <f t="shared" ca="1" si="0"/>
        <v>1.195979808511725</v>
      </c>
      <c r="V14" s="109">
        <f t="shared" ca="1" si="0"/>
        <v>1.2079301993013936</v>
      </c>
      <c r="W14" s="109">
        <f t="shared" ca="1" si="0"/>
        <v>1.22</v>
      </c>
      <c r="X14" s="109">
        <f t="shared" ca="1" si="3"/>
        <v>1.2321904037673832</v>
      </c>
      <c r="Y14" s="109">
        <f t="shared" ca="1" si="3"/>
        <v>1.2445026156855961</v>
      </c>
      <c r="Z14" s="109">
        <f t="shared" ca="1" si="1"/>
        <v>1.2569378528780319</v>
      </c>
      <c r="AA14" s="109">
        <f t="shared" ca="1" si="1"/>
        <v>1.2694973446297459</v>
      </c>
    </row>
    <row r="15" spans="1:27" x14ac:dyDescent="0.25">
      <c r="A15" s="102" t="s">
        <v>56</v>
      </c>
      <c r="B15" s="108">
        <f ca="1">'Stochastic Inputs'!E39</f>
        <v>1.22</v>
      </c>
      <c r="C15" s="109">
        <f t="shared" ca="1" si="2"/>
        <v>1</v>
      </c>
      <c r="D15" s="109">
        <f t="shared" ca="1" si="2"/>
        <v>1.00999213423556</v>
      </c>
      <c r="E15" s="109">
        <f t="shared" ca="1" si="0"/>
        <v>1.0200841112177017</v>
      </c>
      <c r="F15" s="109">
        <f t="shared" ca="1" si="0"/>
        <v>1.0302769285885509</v>
      </c>
      <c r="G15" s="109">
        <f t="shared" ca="1" si="0"/>
        <v>1.0405715939588083</v>
      </c>
      <c r="H15" s="109">
        <f t="shared" ca="1" si="0"/>
        <v>1.0509691250073554</v>
      </c>
      <c r="I15" s="109">
        <f t="shared" ca="1" si="0"/>
        <v>1.0614705495818579</v>
      </c>
      <c r="J15" s="109">
        <f t="shared" ca="1" si="0"/>
        <v>1.0720769058003736</v>
      </c>
      <c r="K15" s="109">
        <f t="shared" ca="1" si="0"/>
        <v>1.0827892421539749</v>
      </c>
      <c r="L15" s="109">
        <f t="shared" ca="1" si="0"/>
        <v>1.0936086176103976</v>
      </c>
      <c r="M15" s="109">
        <f t="shared" ca="1" si="0"/>
        <v>1.1045361017187261</v>
      </c>
      <c r="N15" s="109">
        <f t="shared" ca="1" si="0"/>
        <v>1.1155727747151218</v>
      </c>
      <c r="O15" s="109">
        <f t="shared" ca="1" si="0"/>
        <v>1.1267197276296115</v>
      </c>
      <c r="P15" s="109">
        <f t="shared" ca="1" si="0"/>
        <v>1.1379780623939404</v>
      </c>
      <c r="Q15" s="109">
        <f t="shared" ca="1" si="0"/>
        <v>1.149348891950503</v>
      </c>
      <c r="R15" s="109">
        <f t="shared" ca="1" si="0"/>
        <v>1.1608333403623647</v>
      </c>
      <c r="S15" s="109">
        <f t="shared" ca="1" si="0"/>
        <v>1.1724325429243792</v>
      </c>
      <c r="T15" s="109">
        <f t="shared" ca="1" si="0"/>
        <v>1.1841476462754186</v>
      </c>
      <c r="U15" s="109">
        <f t="shared" ca="1" si="0"/>
        <v>1.195979808511725</v>
      </c>
      <c r="V15" s="109">
        <f t="shared" ca="1" si="0"/>
        <v>1.2079301993013936</v>
      </c>
      <c r="W15" s="109">
        <f t="shared" ca="1" si="0"/>
        <v>1.22</v>
      </c>
      <c r="X15" s="109">
        <f t="shared" ca="1" si="3"/>
        <v>1.2321904037673832</v>
      </c>
      <c r="Y15" s="109">
        <f t="shared" ca="1" si="3"/>
        <v>1.2445026156855961</v>
      </c>
      <c r="Z15" s="109">
        <f t="shared" ca="1" si="1"/>
        <v>1.2569378528780319</v>
      </c>
      <c r="AA15" s="109">
        <f t="shared" ca="1" si="1"/>
        <v>1.2694973446297459</v>
      </c>
    </row>
    <row r="16" spans="1:27" x14ac:dyDescent="0.25">
      <c r="A16" s="102" t="s">
        <v>57</v>
      </c>
      <c r="B16" s="108">
        <f ca="1">'Stochastic Inputs'!E40</f>
        <v>1.1599999999999999</v>
      </c>
      <c r="C16" s="109">
        <f t="shared" ca="1" si="2"/>
        <v>1</v>
      </c>
      <c r="D16" s="109">
        <f t="shared" ca="1" si="2"/>
        <v>1.0074486041188226</v>
      </c>
      <c r="E16" s="109">
        <f t="shared" ca="1" si="0"/>
        <v>1.0149526899409642</v>
      </c>
      <c r="F16" s="109">
        <f t="shared" ca="1" si="0"/>
        <v>1.0225126707276686</v>
      </c>
      <c r="G16" s="109">
        <f t="shared" ca="1" si="0"/>
        <v>1.0301289628183989</v>
      </c>
      <c r="H16" s="109">
        <f t="shared" ca="1" si="0"/>
        <v>1.0378019856537666</v>
      </c>
      <c r="I16" s="109">
        <f t="shared" ca="1" si="0"/>
        <v>1.0455321617986295</v>
      </c>
      <c r="J16" s="109">
        <f t="shared" ca="1" si="0"/>
        <v>1.0533199169653644</v>
      </c>
      <c r="K16" s="109">
        <f t="shared" ca="1" si="0"/>
        <v>1.0611656800373104</v>
      </c>
      <c r="L16" s="109">
        <f t="shared" ca="1" si="0"/>
        <v>1.0690698830923895</v>
      </c>
      <c r="M16" s="109">
        <f t="shared" ca="1" si="0"/>
        <v>1.0770329614269007</v>
      </c>
      <c r="N16" s="109">
        <f t="shared" ca="1" si="0"/>
        <v>1.0850553535794929</v>
      </c>
      <c r="O16" s="109">
        <f t="shared" ca="1" si="0"/>
        <v>1.0931375013553157</v>
      </c>
      <c r="P16" s="109">
        <f t="shared" ca="1" si="0"/>
        <v>1.1012798498503504</v>
      </c>
      <c r="Q16" s="109">
        <f t="shared" ca="1" si="0"/>
        <v>1.109482847475922</v>
      </c>
      <c r="R16" s="109">
        <f t="shared" ca="1" si="0"/>
        <v>1.1177469459833942</v>
      </c>
      <c r="S16" s="109">
        <f t="shared" ca="1" si="0"/>
        <v>1.1260726004890476</v>
      </c>
      <c r="T16" s="109">
        <f t="shared" ca="1" si="0"/>
        <v>1.1344602694991435</v>
      </c>
      <c r="U16" s="109">
        <f t="shared" ca="1" si="0"/>
        <v>1.1429104149351754</v>
      </c>
      <c r="V16" s="109">
        <f t="shared" ca="1" si="0"/>
        <v>1.1514235021593069</v>
      </c>
      <c r="W16" s="109">
        <f t="shared" ca="1" si="0"/>
        <v>1.1599999999999999</v>
      </c>
      <c r="X16" s="109">
        <f t="shared" ca="1" si="3"/>
        <v>1.1686403807778343</v>
      </c>
      <c r="Y16" s="109">
        <f t="shared" ca="1" si="3"/>
        <v>1.1773451203315184</v>
      </c>
      <c r="Z16" s="109">
        <f t="shared" ca="1" si="1"/>
        <v>1.1861146980440955</v>
      </c>
      <c r="AA16" s="109">
        <f t="shared" ca="1" si="1"/>
        <v>1.1949495968693429</v>
      </c>
    </row>
    <row r="17" spans="1:27" x14ac:dyDescent="0.25">
      <c r="A17" s="102" t="s">
        <v>58</v>
      </c>
      <c r="B17" s="108">
        <f ca="1">'Stochastic Inputs'!E41</f>
        <v>1.1599999999999999</v>
      </c>
      <c r="C17" s="109">
        <f t="shared" ca="1" si="2"/>
        <v>1</v>
      </c>
      <c r="D17" s="109">
        <f t="shared" ca="1" si="2"/>
        <v>1.0074486041188226</v>
      </c>
      <c r="E17" s="109">
        <f t="shared" ca="1" si="0"/>
        <v>1.0149526899409642</v>
      </c>
      <c r="F17" s="109">
        <f t="shared" ca="1" si="0"/>
        <v>1.0225126707276686</v>
      </c>
      <c r="G17" s="109">
        <f t="shared" ca="1" si="0"/>
        <v>1.0301289628183989</v>
      </c>
      <c r="H17" s="109">
        <f t="shared" ca="1" si="0"/>
        <v>1.0378019856537666</v>
      </c>
      <c r="I17" s="109">
        <f t="shared" ca="1" si="0"/>
        <v>1.0455321617986295</v>
      </c>
      <c r="J17" s="109">
        <f t="shared" ca="1" si="0"/>
        <v>1.0533199169653644</v>
      </c>
      <c r="K17" s="109">
        <f t="shared" ca="1" si="0"/>
        <v>1.0611656800373104</v>
      </c>
      <c r="L17" s="109">
        <f t="shared" ca="1" si="0"/>
        <v>1.0690698830923895</v>
      </c>
      <c r="M17" s="109">
        <f t="shared" ca="1" si="0"/>
        <v>1.0770329614269007</v>
      </c>
      <c r="N17" s="109">
        <f t="shared" ca="1" si="0"/>
        <v>1.0850553535794929</v>
      </c>
      <c r="O17" s="109">
        <f t="shared" ca="1" si="0"/>
        <v>1.0931375013553157</v>
      </c>
      <c r="P17" s="109">
        <f t="shared" ca="1" si="0"/>
        <v>1.1012798498503504</v>
      </c>
      <c r="Q17" s="109">
        <f t="shared" ca="1" si="0"/>
        <v>1.109482847475922</v>
      </c>
      <c r="R17" s="109">
        <f t="shared" ca="1" si="0"/>
        <v>1.1177469459833942</v>
      </c>
      <c r="S17" s="109">
        <f t="shared" ca="1" si="0"/>
        <v>1.1260726004890476</v>
      </c>
      <c r="T17" s="109">
        <f t="shared" ca="1" si="0"/>
        <v>1.1344602694991435</v>
      </c>
      <c r="U17" s="109">
        <f t="shared" ca="1" si="0"/>
        <v>1.1429104149351754</v>
      </c>
      <c r="V17" s="109">
        <f t="shared" ca="1" si="0"/>
        <v>1.1514235021593069</v>
      </c>
      <c r="W17" s="109">
        <f t="shared" ca="1" si="0"/>
        <v>1.1599999999999999</v>
      </c>
      <c r="X17" s="109">
        <f t="shared" ca="1" si="3"/>
        <v>1.1686403807778343</v>
      </c>
      <c r="Y17" s="109">
        <f t="shared" ca="1" si="3"/>
        <v>1.1773451203315184</v>
      </c>
      <c r="Z17" s="109">
        <f t="shared" ca="1" si="1"/>
        <v>1.1861146980440955</v>
      </c>
      <c r="AA17" s="109">
        <f t="shared" ca="1" si="1"/>
        <v>1.1949495968693429</v>
      </c>
    </row>
    <row r="18" spans="1:27" x14ac:dyDescent="0.25">
      <c r="A18" s="102" t="s">
        <v>59</v>
      </c>
      <c r="B18" s="108">
        <f ca="1">'Stochastic Inputs'!E42</f>
        <v>1.1599999999999999</v>
      </c>
      <c r="C18" s="109">
        <f t="shared" ca="1" si="2"/>
        <v>1</v>
      </c>
      <c r="D18" s="109">
        <f t="shared" ca="1" si="2"/>
        <v>1.0074486041188226</v>
      </c>
      <c r="E18" s="109">
        <f t="shared" ca="1" si="0"/>
        <v>1.0149526899409642</v>
      </c>
      <c r="F18" s="109">
        <f t="shared" ca="1" si="0"/>
        <v>1.0225126707276686</v>
      </c>
      <c r="G18" s="109">
        <f t="shared" ca="1" si="0"/>
        <v>1.0301289628183989</v>
      </c>
      <c r="H18" s="109">
        <f t="shared" ref="H18:W18" ca="1" si="4">$B18^(H$3/2)</f>
        <v>1.0378019856537666</v>
      </c>
      <c r="I18" s="109">
        <f t="shared" ca="1" si="4"/>
        <v>1.0455321617986295</v>
      </c>
      <c r="J18" s="109">
        <f t="shared" ca="1" si="4"/>
        <v>1.0533199169653644</v>
      </c>
      <c r="K18" s="109">
        <f t="shared" ca="1" si="4"/>
        <v>1.0611656800373104</v>
      </c>
      <c r="L18" s="109">
        <f t="shared" ca="1" si="4"/>
        <v>1.0690698830923895</v>
      </c>
      <c r="M18" s="109">
        <f t="shared" ca="1" si="4"/>
        <v>1.0770329614269007</v>
      </c>
      <c r="N18" s="109">
        <f t="shared" ca="1" si="4"/>
        <v>1.0850553535794929</v>
      </c>
      <c r="O18" s="109">
        <f t="shared" ca="1" si="4"/>
        <v>1.0931375013553157</v>
      </c>
      <c r="P18" s="109">
        <f t="shared" ca="1" si="4"/>
        <v>1.1012798498503504</v>
      </c>
      <c r="Q18" s="109">
        <f t="shared" ca="1" si="4"/>
        <v>1.109482847475922</v>
      </c>
      <c r="R18" s="109">
        <f t="shared" ca="1" si="4"/>
        <v>1.1177469459833942</v>
      </c>
      <c r="S18" s="109">
        <f t="shared" ca="1" si="4"/>
        <v>1.1260726004890476</v>
      </c>
      <c r="T18" s="109">
        <f t="shared" ca="1" si="4"/>
        <v>1.1344602694991435</v>
      </c>
      <c r="U18" s="109">
        <f t="shared" ca="1" si="4"/>
        <v>1.1429104149351754</v>
      </c>
      <c r="V18" s="109">
        <f t="shared" ca="1" si="4"/>
        <v>1.1514235021593069</v>
      </c>
      <c r="W18" s="109">
        <f t="shared" ca="1" si="4"/>
        <v>1.1599999999999999</v>
      </c>
      <c r="X18" s="109">
        <f t="shared" ca="1" si="3"/>
        <v>1.1686403807778343</v>
      </c>
      <c r="Y18" s="109">
        <f t="shared" ca="1" si="3"/>
        <v>1.1773451203315184</v>
      </c>
      <c r="Z18" s="109">
        <f t="shared" ca="1" si="1"/>
        <v>1.1861146980440955</v>
      </c>
      <c r="AA18" s="109">
        <f t="shared" ca="1" si="1"/>
        <v>1.1949495968693429</v>
      </c>
    </row>
    <row r="19" spans="1:27" x14ac:dyDescent="0.25">
      <c r="A19" s="102"/>
      <c r="B19" s="106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</row>
    <row r="20" spans="1:27" x14ac:dyDescent="0.25">
      <c r="A20" s="102"/>
      <c r="B20" s="241">
        <v>0</v>
      </c>
      <c r="C20" s="241">
        <v>0.1</v>
      </c>
      <c r="D20" s="241">
        <v>0.2</v>
      </c>
      <c r="E20" s="241">
        <v>0.3</v>
      </c>
      <c r="F20" s="241">
        <v>0.4</v>
      </c>
      <c r="G20" s="241">
        <v>0.5</v>
      </c>
      <c r="H20" s="241">
        <v>0.6</v>
      </c>
      <c r="I20" s="241">
        <v>0.7</v>
      </c>
      <c r="J20" s="241">
        <v>0.8</v>
      </c>
      <c r="K20" s="241">
        <v>0.9</v>
      </c>
      <c r="L20" s="241">
        <v>1</v>
      </c>
      <c r="M20" s="241">
        <v>1.1000000000000001</v>
      </c>
      <c r="N20" s="241">
        <v>1.2</v>
      </c>
      <c r="O20" s="241">
        <v>1.3</v>
      </c>
      <c r="P20" s="241">
        <v>1.4</v>
      </c>
      <c r="Q20" s="241">
        <v>1.5</v>
      </c>
      <c r="R20" s="241">
        <v>1.6</v>
      </c>
      <c r="S20" s="241">
        <v>1.7</v>
      </c>
      <c r="T20" s="241">
        <v>1.8</v>
      </c>
      <c r="U20" s="241">
        <v>1.9</v>
      </c>
      <c r="V20" s="241">
        <v>2</v>
      </c>
      <c r="W20" s="241">
        <v>2.1</v>
      </c>
      <c r="X20" s="241">
        <v>2.2000000000000002</v>
      </c>
      <c r="Y20" s="241">
        <v>2.2999999999999998</v>
      </c>
      <c r="Z20" s="241">
        <v>2.4</v>
      </c>
      <c r="AA20" s="111"/>
    </row>
    <row r="21" spans="1:27" x14ac:dyDescent="0.25">
      <c r="A21" s="102" t="s">
        <v>60</v>
      </c>
      <c r="B21" s="108">
        <f ca="1">'Stochastic Inputs'!E43</f>
        <v>0.999999999985</v>
      </c>
      <c r="C21" s="109">
        <f ca="1">$B21^(C$3/2)</f>
        <v>1</v>
      </c>
      <c r="D21" s="109">
        <f ca="1">$B21^(D$3/2)</f>
        <v>0.99999999999925004</v>
      </c>
      <c r="E21" s="109">
        <f t="shared" ref="E21:W35" ca="1" si="5">$B21^(E$3/2)</f>
        <v>0.99999999999849998</v>
      </c>
      <c r="F21" s="109">
        <f t="shared" ca="1" si="5"/>
        <v>0.99999999999775002</v>
      </c>
      <c r="G21" s="109">
        <f t="shared" ca="1" si="5"/>
        <v>0.99999999999699996</v>
      </c>
      <c r="H21" s="109">
        <f t="shared" ca="1" si="5"/>
        <v>0.99999999999625</v>
      </c>
      <c r="I21" s="109">
        <f t="shared" ca="1" si="5"/>
        <v>0.99999999999550004</v>
      </c>
      <c r="J21" s="109">
        <f t="shared" ca="1" si="5"/>
        <v>0.99999999999474998</v>
      </c>
      <c r="K21" s="109">
        <f t="shared" ca="1" si="5"/>
        <v>0.99999999999400002</v>
      </c>
      <c r="L21" s="109">
        <f t="shared" ca="1" si="5"/>
        <v>0.99999999999324996</v>
      </c>
      <c r="M21" s="109">
        <f t="shared" ca="1" si="5"/>
        <v>0.9999999999925</v>
      </c>
      <c r="N21" s="109">
        <f t="shared" ca="1" si="5"/>
        <v>0.99999999999175004</v>
      </c>
      <c r="O21" s="109">
        <f t="shared" ca="1" si="5"/>
        <v>0.99999999999099998</v>
      </c>
      <c r="P21" s="109">
        <f t="shared" ca="1" si="5"/>
        <v>0.99999999999025002</v>
      </c>
      <c r="Q21" s="109">
        <f t="shared" ca="1" si="5"/>
        <v>0.99999999998949995</v>
      </c>
      <c r="R21" s="109">
        <f t="shared" ca="1" si="5"/>
        <v>0.99999999998875</v>
      </c>
      <c r="S21" s="109">
        <f t="shared" ca="1" si="5"/>
        <v>0.99999999998800004</v>
      </c>
      <c r="T21" s="109">
        <f t="shared" ca="1" si="5"/>
        <v>0.99999999998724998</v>
      </c>
      <c r="U21" s="109">
        <f t="shared" ca="1" si="5"/>
        <v>0.99999999998650002</v>
      </c>
      <c r="V21" s="109">
        <f t="shared" ca="1" si="5"/>
        <v>0.99999999998574995</v>
      </c>
      <c r="W21" s="109">
        <f t="shared" ca="1" si="5"/>
        <v>0.999999999985</v>
      </c>
      <c r="X21" s="109">
        <f ca="1">$B21^(X$3/2)</f>
        <v>0.99999999998425004</v>
      </c>
      <c r="Y21" s="109">
        <f ca="1">$B21^(Y$3/2)</f>
        <v>0.99999999998349998</v>
      </c>
      <c r="Z21" s="109">
        <f t="shared" ref="Z21:AA35" ca="1" si="6">$B21^(Z$3/2)</f>
        <v>0.99999999998275002</v>
      </c>
      <c r="AA21" s="109">
        <f t="shared" ca="1" si="6"/>
        <v>0.99999999998199995</v>
      </c>
    </row>
    <row r="22" spans="1:27" x14ac:dyDescent="0.25">
      <c r="A22" s="102" t="s">
        <v>61</v>
      </c>
      <c r="B22" s="108">
        <f ca="1">'Stochastic Inputs'!E44</f>
        <v>0.999999999985</v>
      </c>
      <c r="C22" s="109">
        <f t="shared" ref="C22:R35" ca="1" si="7">$B22^(C$3/2)</f>
        <v>1</v>
      </c>
      <c r="D22" s="109">
        <f t="shared" ca="1" si="7"/>
        <v>0.99999999999925004</v>
      </c>
      <c r="E22" s="109">
        <f t="shared" ca="1" si="7"/>
        <v>0.99999999999849998</v>
      </c>
      <c r="F22" s="109">
        <f t="shared" ca="1" si="7"/>
        <v>0.99999999999775002</v>
      </c>
      <c r="G22" s="109">
        <f t="shared" ca="1" si="7"/>
        <v>0.99999999999699996</v>
      </c>
      <c r="H22" s="109">
        <f t="shared" ca="1" si="7"/>
        <v>0.99999999999625</v>
      </c>
      <c r="I22" s="109">
        <f t="shared" ca="1" si="7"/>
        <v>0.99999999999550004</v>
      </c>
      <c r="J22" s="109">
        <f t="shared" ca="1" si="7"/>
        <v>0.99999999999474998</v>
      </c>
      <c r="K22" s="109">
        <f t="shared" ca="1" si="7"/>
        <v>0.99999999999400002</v>
      </c>
      <c r="L22" s="109">
        <f t="shared" ca="1" si="7"/>
        <v>0.99999999999324996</v>
      </c>
      <c r="M22" s="109">
        <f t="shared" ca="1" si="7"/>
        <v>0.9999999999925</v>
      </c>
      <c r="N22" s="109">
        <f t="shared" ca="1" si="7"/>
        <v>0.99999999999175004</v>
      </c>
      <c r="O22" s="109">
        <f t="shared" ca="1" si="7"/>
        <v>0.99999999999099998</v>
      </c>
      <c r="P22" s="109">
        <f t="shared" ca="1" si="7"/>
        <v>0.99999999999025002</v>
      </c>
      <c r="Q22" s="109">
        <f t="shared" ca="1" si="7"/>
        <v>0.99999999998949995</v>
      </c>
      <c r="R22" s="109">
        <f t="shared" ca="1" si="7"/>
        <v>0.99999999998875</v>
      </c>
      <c r="S22" s="109">
        <f t="shared" ca="1" si="5"/>
        <v>0.99999999998800004</v>
      </c>
      <c r="T22" s="109">
        <f t="shared" ca="1" si="5"/>
        <v>0.99999999998724998</v>
      </c>
      <c r="U22" s="109">
        <f t="shared" ca="1" si="5"/>
        <v>0.99999999998650002</v>
      </c>
      <c r="V22" s="109">
        <f t="shared" ca="1" si="5"/>
        <v>0.99999999998574995</v>
      </c>
      <c r="W22" s="109">
        <f t="shared" ca="1" si="5"/>
        <v>0.999999999985</v>
      </c>
      <c r="X22" s="109">
        <f t="shared" ref="X22:AA35" ca="1" si="8">$B22^(X$3/2)</f>
        <v>0.99999999998425004</v>
      </c>
      <c r="Y22" s="109">
        <f t="shared" ca="1" si="8"/>
        <v>0.99999999998349998</v>
      </c>
      <c r="Z22" s="109">
        <f t="shared" ca="1" si="8"/>
        <v>0.99999999998275002</v>
      </c>
      <c r="AA22" s="109">
        <f t="shared" ca="1" si="8"/>
        <v>0.99999999998199995</v>
      </c>
    </row>
    <row r="23" spans="1:27" x14ac:dyDescent="0.25">
      <c r="A23" s="102" t="s">
        <v>62</v>
      </c>
      <c r="B23" s="108">
        <f ca="1">'Stochastic Inputs'!E45</f>
        <v>1.4216666666666666</v>
      </c>
      <c r="C23" s="109">
        <f t="shared" ca="1" si="7"/>
        <v>1</v>
      </c>
      <c r="D23" s="109">
        <f t="shared" ca="1" si="7"/>
        <v>1.017747136272132</v>
      </c>
      <c r="E23" s="109">
        <f t="shared" ca="1" si="5"/>
        <v>1.0358092333901259</v>
      </c>
      <c r="F23" s="109">
        <f t="shared" ca="1" si="5"/>
        <v>1.054191881007033</v>
      </c>
      <c r="G23" s="109">
        <f t="shared" ca="1" si="5"/>
        <v>1.0729007679762401</v>
      </c>
      <c r="H23" s="109">
        <f t="shared" ca="1" si="5"/>
        <v>1.0919416841119896</v>
      </c>
      <c r="I23" s="109">
        <f t="shared" ca="1" si="5"/>
        <v>1.1113205219811466</v>
      </c>
      <c r="J23" s="109">
        <f t="shared" ca="1" si="5"/>
        <v>1.1310432787267628</v>
      </c>
      <c r="K23" s="109">
        <f t="shared" ca="1" si="5"/>
        <v>1.1511160579240058</v>
      </c>
      <c r="L23" s="109">
        <f t="shared" ca="1" si="5"/>
        <v>1.1715450714690228</v>
      </c>
      <c r="M23" s="109">
        <f t="shared" ca="1" si="5"/>
        <v>1.1923366415013281</v>
      </c>
      <c r="N23" s="109">
        <f t="shared" ca="1" si="5"/>
        <v>1.2134972023603086</v>
      </c>
      <c r="O23" s="109">
        <f t="shared" ca="1" si="5"/>
        <v>1.2350333025764479</v>
      </c>
      <c r="P23" s="109">
        <f t="shared" ca="1" si="5"/>
        <v>1.2569516068978934</v>
      </c>
      <c r="Q23" s="109">
        <f t="shared" ca="1" si="5"/>
        <v>1.2792588983529858</v>
      </c>
      <c r="R23" s="109">
        <f t="shared" ca="1" si="5"/>
        <v>1.3019620803493939</v>
      </c>
      <c r="S23" s="109">
        <f t="shared" ca="1" si="5"/>
        <v>1.3250681788105032</v>
      </c>
      <c r="T23" s="109">
        <f t="shared" ca="1" si="5"/>
        <v>1.348584344349719</v>
      </c>
      <c r="U23" s="109">
        <f t="shared" ca="1" si="5"/>
        <v>1.3725178544833574</v>
      </c>
      <c r="V23" s="109">
        <f t="shared" ca="1" si="5"/>
        <v>1.3968761158828078</v>
      </c>
      <c r="W23" s="109">
        <f t="shared" ca="1" si="5"/>
        <v>1.4216666666666666</v>
      </c>
      <c r="X23" s="109">
        <f t="shared" ca="1" si="8"/>
        <v>1.4468971787335478</v>
      </c>
      <c r="Y23" s="109">
        <f t="shared" ca="1" si="8"/>
        <v>1.4725754601362955</v>
      </c>
      <c r="Z23" s="109">
        <f t="shared" ca="1" si="6"/>
        <v>1.498709457498332</v>
      </c>
      <c r="AA23" s="109">
        <f t="shared" ca="1" si="6"/>
        <v>1.525307258472888</v>
      </c>
    </row>
    <row r="24" spans="1:27" x14ac:dyDescent="0.25">
      <c r="A24" s="102" t="s">
        <v>63</v>
      </c>
      <c r="B24" s="108">
        <f ca="1">'Stochastic Inputs'!E46</f>
        <v>1.4216666666666666</v>
      </c>
      <c r="C24" s="109">
        <f t="shared" ca="1" si="7"/>
        <v>1</v>
      </c>
      <c r="D24" s="109">
        <f t="shared" ca="1" si="7"/>
        <v>1.017747136272132</v>
      </c>
      <c r="E24" s="109">
        <f t="shared" ca="1" si="5"/>
        <v>1.0358092333901259</v>
      </c>
      <c r="F24" s="109">
        <f t="shared" ca="1" si="5"/>
        <v>1.054191881007033</v>
      </c>
      <c r="G24" s="109">
        <f t="shared" ca="1" si="5"/>
        <v>1.0729007679762401</v>
      </c>
      <c r="H24" s="109">
        <f t="shared" ca="1" si="5"/>
        <v>1.0919416841119896</v>
      </c>
      <c r="I24" s="109">
        <f t="shared" ca="1" si="5"/>
        <v>1.1113205219811466</v>
      </c>
      <c r="J24" s="109">
        <f t="shared" ca="1" si="5"/>
        <v>1.1310432787267628</v>
      </c>
      <c r="K24" s="109">
        <f t="shared" ca="1" si="5"/>
        <v>1.1511160579240058</v>
      </c>
      <c r="L24" s="109">
        <f t="shared" ca="1" si="5"/>
        <v>1.1715450714690228</v>
      </c>
      <c r="M24" s="109">
        <f t="shared" ca="1" si="5"/>
        <v>1.1923366415013281</v>
      </c>
      <c r="N24" s="109">
        <f t="shared" ca="1" si="5"/>
        <v>1.2134972023603086</v>
      </c>
      <c r="O24" s="109">
        <f t="shared" ca="1" si="5"/>
        <v>1.2350333025764479</v>
      </c>
      <c r="P24" s="109">
        <f t="shared" ca="1" si="5"/>
        <v>1.2569516068978934</v>
      </c>
      <c r="Q24" s="109">
        <f t="shared" ca="1" si="5"/>
        <v>1.2792588983529858</v>
      </c>
      <c r="R24" s="109">
        <f t="shared" ca="1" si="5"/>
        <v>1.3019620803493939</v>
      </c>
      <c r="S24" s="109">
        <f t="shared" ca="1" si="5"/>
        <v>1.3250681788105032</v>
      </c>
      <c r="T24" s="109">
        <f t="shared" ca="1" si="5"/>
        <v>1.348584344349719</v>
      </c>
      <c r="U24" s="109">
        <f t="shared" ca="1" si="5"/>
        <v>1.3725178544833574</v>
      </c>
      <c r="V24" s="109">
        <f t="shared" ca="1" si="5"/>
        <v>1.3968761158828078</v>
      </c>
      <c r="W24" s="109">
        <f t="shared" ca="1" si="5"/>
        <v>1.4216666666666666</v>
      </c>
      <c r="X24" s="109">
        <f t="shared" ca="1" si="8"/>
        <v>1.4468971787335478</v>
      </c>
      <c r="Y24" s="109">
        <f t="shared" ca="1" si="8"/>
        <v>1.4725754601362955</v>
      </c>
      <c r="Z24" s="109">
        <f t="shared" ca="1" si="6"/>
        <v>1.498709457498332</v>
      </c>
      <c r="AA24" s="109">
        <f t="shared" ca="1" si="6"/>
        <v>1.525307258472888</v>
      </c>
    </row>
    <row r="25" spans="1:27" x14ac:dyDescent="0.25">
      <c r="A25" s="102" t="s">
        <v>64</v>
      </c>
      <c r="B25" s="108">
        <f ca="1">'Stochastic Inputs'!E47</f>
        <v>1.4016666666666666</v>
      </c>
      <c r="C25" s="109">
        <f t="shared" ca="1" si="7"/>
        <v>1</v>
      </c>
      <c r="D25" s="109">
        <f t="shared" ca="1" si="7"/>
        <v>1.0170264252286354</v>
      </c>
      <c r="E25" s="109">
        <f t="shared" ca="1" si="5"/>
        <v>1.0343427496133371</v>
      </c>
      <c r="F25" s="109">
        <f t="shared" ca="1" si="5"/>
        <v>1.0519539091004098</v>
      </c>
      <c r="G25" s="109">
        <f t="shared" ca="1" si="5"/>
        <v>1.0698649236776787</v>
      </c>
      <c r="H25" s="109">
        <f t="shared" ca="1" si="5"/>
        <v>1.0880808988054163</v>
      </c>
      <c r="I25" s="109">
        <f t="shared" ca="1" si="5"/>
        <v>1.1066070268716333</v>
      </c>
      <c r="J25" s="109">
        <f t="shared" ca="1" si="5"/>
        <v>1.1254485886721455</v>
      </c>
      <c r="K25" s="109">
        <f t="shared" ca="1" si="5"/>
        <v>1.1446109549158452</v>
      </c>
      <c r="L25" s="109">
        <f t="shared" ca="1" si="5"/>
        <v>1.1640995877555969</v>
      </c>
      <c r="M25" s="109">
        <f t="shared" ca="1" si="5"/>
        <v>1.1839200423452028</v>
      </c>
      <c r="N25" s="109">
        <f t="shared" ca="1" si="5"/>
        <v>1.2040779684228762</v>
      </c>
      <c r="O25" s="109">
        <f t="shared" ca="1" si="5"/>
        <v>1.2245791119216756</v>
      </c>
      <c r="P25" s="109">
        <f t="shared" ca="1" si="5"/>
        <v>1.2454293166073587</v>
      </c>
      <c r="Q25" s="109">
        <f t="shared" ca="1" si="5"/>
        <v>1.2666345257441243</v>
      </c>
      <c r="R25" s="109">
        <f t="shared" ca="1" si="5"/>
        <v>1.2882007837887148</v>
      </c>
      <c r="S25" s="109">
        <f t="shared" ca="1" si="5"/>
        <v>1.3101342381133629</v>
      </c>
      <c r="T25" s="109">
        <f t="shared" ca="1" si="5"/>
        <v>1.3324411407580752</v>
      </c>
      <c r="U25" s="109">
        <f t="shared" ca="1" si="5"/>
        <v>1.3551278502127504</v>
      </c>
      <c r="V25" s="109">
        <f t="shared" ca="1" si="5"/>
        <v>1.3782008332296392</v>
      </c>
      <c r="W25" s="109">
        <f t="shared" ca="1" si="5"/>
        <v>1.4016666666666666</v>
      </c>
      <c r="X25" s="109">
        <f t="shared" ca="1" si="8"/>
        <v>1.4255320393621373</v>
      </c>
      <c r="Y25" s="109">
        <f t="shared" ca="1" si="8"/>
        <v>1.4498037540413609</v>
      </c>
      <c r="Z25" s="109">
        <f t="shared" ca="1" si="6"/>
        <v>1.4744887292557409</v>
      </c>
      <c r="AA25" s="109">
        <f t="shared" ca="1" si="6"/>
        <v>1.4995940013548794</v>
      </c>
    </row>
    <row r="26" spans="1:27" x14ac:dyDescent="0.25">
      <c r="A26" s="102" t="s">
        <v>65</v>
      </c>
      <c r="B26" s="108">
        <f ca="1">'Stochastic Inputs'!E48</f>
        <v>1.4016666666666666</v>
      </c>
      <c r="C26" s="109">
        <f t="shared" ca="1" si="7"/>
        <v>1</v>
      </c>
      <c r="D26" s="109">
        <f t="shared" ca="1" si="7"/>
        <v>1.0170264252286354</v>
      </c>
      <c r="E26" s="109">
        <f t="shared" ca="1" si="5"/>
        <v>1.0343427496133371</v>
      </c>
      <c r="F26" s="109">
        <f t="shared" ca="1" si="5"/>
        <v>1.0519539091004098</v>
      </c>
      <c r="G26" s="109">
        <f t="shared" ca="1" si="5"/>
        <v>1.0698649236776787</v>
      </c>
      <c r="H26" s="109">
        <f t="shared" ca="1" si="5"/>
        <v>1.0880808988054163</v>
      </c>
      <c r="I26" s="109">
        <f t="shared" ca="1" si="5"/>
        <v>1.1066070268716333</v>
      </c>
      <c r="J26" s="109">
        <f t="shared" ca="1" si="5"/>
        <v>1.1254485886721455</v>
      </c>
      <c r="K26" s="109">
        <f t="shared" ca="1" si="5"/>
        <v>1.1446109549158452</v>
      </c>
      <c r="L26" s="109">
        <f t="shared" ca="1" si="5"/>
        <v>1.1640995877555969</v>
      </c>
      <c r="M26" s="109">
        <f t="shared" ca="1" si="5"/>
        <v>1.1839200423452028</v>
      </c>
      <c r="N26" s="109">
        <f t="shared" ca="1" si="5"/>
        <v>1.2040779684228762</v>
      </c>
      <c r="O26" s="109">
        <f t="shared" ca="1" si="5"/>
        <v>1.2245791119216756</v>
      </c>
      <c r="P26" s="109">
        <f t="shared" ca="1" si="5"/>
        <v>1.2454293166073587</v>
      </c>
      <c r="Q26" s="109">
        <f t="shared" ca="1" si="5"/>
        <v>1.2666345257441243</v>
      </c>
      <c r="R26" s="109">
        <f t="shared" ca="1" si="5"/>
        <v>1.2882007837887148</v>
      </c>
      <c r="S26" s="109">
        <f t="shared" ca="1" si="5"/>
        <v>1.3101342381133629</v>
      </c>
      <c r="T26" s="109">
        <f t="shared" ca="1" si="5"/>
        <v>1.3324411407580752</v>
      </c>
      <c r="U26" s="109">
        <f t="shared" ca="1" si="5"/>
        <v>1.3551278502127504</v>
      </c>
      <c r="V26" s="109">
        <f t="shared" ca="1" si="5"/>
        <v>1.3782008332296392</v>
      </c>
      <c r="W26" s="109">
        <f t="shared" ca="1" si="5"/>
        <v>1.4016666666666666</v>
      </c>
      <c r="X26" s="109">
        <f t="shared" ca="1" si="8"/>
        <v>1.4255320393621373</v>
      </c>
      <c r="Y26" s="109">
        <f t="shared" ca="1" si="8"/>
        <v>1.4498037540413609</v>
      </c>
      <c r="Z26" s="109">
        <f t="shared" ca="1" si="6"/>
        <v>1.4744887292557409</v>
      </c>
      <c r="AA26" s="109">
        <f t="shared" ca="1" si="6"/>
        <v>1.4995940013548794</v>
      </c>
    </row>
    <row r="27" spans="1:27" x14ac:dyDescent="0.25">
      <c r="A27" s="102" t="s">
        <v>66</v>
      </c>
      <c r="B27" s="108">
        <f ca="1">'Stochastic Inputs'!E49</f>
        <v>1.3316666666666668</v>
      </c>
      <c r="C27" s="109">
        <f t="shared" ca="1" si="7"/>
        <v>1</v>
      </c>
      <c r="D27" s="109">
        <f t="shared" ca="1" si="7"/>
        <v>1.0144246094666958</v>
      </c>
      <c r="E27" s="109">
        <f t="shared" ca="1" si="5"/>
        <v>1.0290572882916582</v>
      </c>
      <c r="F27" s="109">
        <f t="shared" ca="1" si="5"/>
        <v>1.0439010377941222</v>
      </c>
      <c r="G27" s="109">
        <f t="shared" ca="1" si="5"/>
        <v>1.0589589025861808</v>
      </c>
      <c r="H27" s="109">
        <f t="shared" ca="1" si="5"/>
        <v>1.074233971197267</v>
      </c>
      <c r="I27" s="109">
        <f t="shared" ca="1" si="5"/>
        <v>1.0897293767076452</v>
      </c>
      <c r="J27" s="109">
        <f t="shared" ca="1" si="5"/>
        <v>1.1054482973910387</v>
      </c>
      <c r="K27" s="109">
        <f t="shared" ca="1" si="5"/>
        <v>1.1213939573665281</v>
      </c>
      <c r="L27" s="109">
        <f t="shared" ca="1" si="5"/>
        <v>1.1375696272598528</v>
      </c>
      <c r="M27" s="109">
        <f t="shared" ca="1" si="5"/>
        <v>1.1539786248742507</v>
      </c>
      <c r="N27" s="109">
        <f t="shared" ca="1" si="5"/>
        <v>1.1706243158709764</v>
      </c>
      <c r="O27" s="109">
        <f t="shared" ca="1" si="5"/>
        <v>1.1875101144596332</v>
      </c>
      <c r="P27" s="109">
        <f t="shared" ca="1" si="5"/>
        <v>1.2046394840984644</v>
      </c>
      <c r="Q27" s="109">
        <f t="shared" ca="1" si="5"/>
        <v>1.2220159382047464</v>
      </c>
      <c r="R27" s="109">
        <f t="shared" ca="1" si="5"/>
        <v>1.2396430408754278</v>
      </c>
      <c r="S27" s="109">
        <f t="shared" ca="1" si="5"/>
        <v>1.2575244076181629</v>
      </c>
      <c r="T27" s="109">
        <f t="shared" ca="1" si="5"/>
        <v>1.2756637060928928</v>
      </c>
      <c r="U27" s="109">
        <f t="shared" ca="1" si="5"/>
        <v>1.2940646568641205</v>
      </c>
      <c r="V27" s="109">
        <f t="shared" ca="1" si="5"/>
        <v>1.312731034164039</v>
      </c>
      <c r="W27" s="109">
        <f t="shared" ca="1" si="5"/>
        <v>1.3316666666666668</v>
      </c>
      <c r="X27" s="109">
        <f t="shared" ca="1" si="8"/>
        <v>1.35087543827315</v>
      </c>
      <c r="Y27" s="109">
        <f t="shared" ca="1" si="8"/>
        <v>1.3703612889083916</v>
      </c>
      <c r="Z27" s="109">
        <f t="shared" ca="1" si="6"/>
        <v>1.3901282153291727</v>
      </c>
      <c r="AA27" s="109">
        <f t="shared" ca="1" si="6"/>
        <v>1.4101802719439309</v>
      </c>
    </row>
    <row r="28" spans="1:27" x14ac:dyDescent="0.25">
      <c r="A28" s="102" t="s">
        <v>67</v>
      </c>
      <c r="B28" s="108">
        <f ca="1">'Stochastic Inputs'!E50</f>
        <v>1.3316666666666668</v>
      </c>
      <c r="C28" s="109">
        <f t="shared" ca="1" si="7"/>
        <v>1</v>
      </c>
      <c r="D28" s="109">
        <f t="shared" ca="1" si="7"/>
        <v>1.0144246094666958</v>
      </c>
      <c r="E28" s="109">
        <f t="shared" ca="1" si="5"/>
        <v>1.0290572882916582</v>
      </c>
      <c r="F28" s="109">
        <f t="shared" ca="1" si="5"/>
        <v>1.0439010377941222</v>
      </c>
      <c r="G28" s="109">
        <f t="shared" ca="1" si="5"/>
        <v>1.0589589025861808</v>
      </c>
      <c r="H28" s="109">
        <f t="shared" ca="1" si="5"/>
        <v>1.074233971197267</v>
      </c>
      <c r="I28" s="109">
        <f t="shared" ca="1" si="5"/>
        <v>1.0897293767076452</v>
      </c>
      <c r="J28" s="109">
        <f t="shared" ca="1" si="5"/>
        <v>1.1054482973910387</v>
      </c>
      <c r="K28" s="109">
        <f t="shared" ca="1" si="5"/>
        <v>1.1213939573665281</v>
      </c>
      <c r="L28" s="109">
        <f t="shared" ca="1" si="5"/>
        <v>1.1375696272598528</v>
      </c>
      <c r="M28" s="109">
        <f t="shared" ca="1" si="5"/>
        <v>1.1539786248742507</v>
      </c>
      <c r="N28" s="109">
        <f t="shared" ca="1" si="5"/>
        <v>1.1706243158709764</v>
      </c>
      <c r="O28" s="109">
        <f t="shared" ca="1" si="5"/>
        <v>1.1875101144596332</v>
      </c>
      <c r="P28" s="109">
        <f t="shared" ca="1" si="5"/>
        <v>1.2046394840984644</v>
      </c>
      <c r="Q28" s="109">
        <f t="shared" ca="1" si="5"/>
        <v>1.2220159382047464</v>
      </c>
      <c r="R28" s="109">
        <f t="shared" ca="1" si="5"/>
        <v>1.2396430408754278</v>
      </c>
      <c r="S28" s="109">
        <f t="shared" ca="1" si="5"/>
        <v>1.2575244076181629</v>
      </c>
      <c r="T28" s="109">
        <f t="shared" ca="1" si="5"/>
        <v>1.2756637060928928</v>
      </c>
      <c r="U28" s="109">
        <f t="shared" ca="1" si="5"/>
        <v>1.2940646568641205</v>
      </c>
      <c r="V28" s="109">
        <f t="shared" ca="1" si="5"/>
        <v>1.312731034164039</v>
      </c>
      <c r="W28" s="109">
        <f t="shared" ca="1" si="5"/>
        <v>1.3316666666666668</v>
      </c>
      <c r="X28" s="109">
        <f t="shared" ca="1" si="8"/>
        <v>1.35087543827315</v>
      </c>
      <c r="Y28" s="109">
        <f t="shared" ca="1" si="8"/>
        <v>1.3703612889083916</v>
      </c>
      <c r="Z28" s="109">
        <f t="shared" ca="1" si="6"/>
        <v>1.3901282153291727</v>
      </c>
      <c r="AA28" s="109">
        <f t="shared" ca="1" si="6"/>
        <v>1.4101802719439309</v>
      </c>
    </row>
    <row r="29" spans="1:27" x14ac:dyDescent="0.25">
      <c r="A29" s="102" t="s">
        <v>68</v>
      </c>
      <c r="B29" s="108">
        <f ca="1">'Stochastic Inputs'!E51</f>
        <v>1.27</v>
      </c>
      <c r="C29" s="109">
        <f t="shared" ca="1" si="7"/>
        <v>1</v>
      </c>
      <c r="D29" s="109">
        <f t="shared" ca="1" si="7"/>
        <v>1.0120225416991979</v>
      </c>
      <c r="E29" s="109">
        <f t="shared" ca="1" si="5"/>
        <v>1.0241896249073048</v>
      </c>
      <c r="F29" s="109">
        <f t="shared" ca="1" si="5"/>
        <v>1.0365029873806388</v>
      </c>
      <c r="G29" s="109">
        <f t="shared" ca="1" si="5"/>
        <v>1.0489643877677659</v>
      </c>
      <c r="H29" s="109">
        <f t="shared" ca="1" si="5"/>
        <v>1.0615756058606776</v>
      </c>
      <c r="I29" s="109">
        <f t="shared" ca="1" si="5"/>
        <v>1.0743384428489888</v>
      </c>
      <c r="J29" s="109">
        <f t="shared" ca="1" si="5"/>
        <v>1.0872547215771922</v>
      </c>
      <c r="K29" s="109">
        <f t="shared" ca="1" si="5"/>
        <v>1.1003262868050039</v>
      </c>
      <c r="L29" s="109">
        <f t="shared" ca="1" si="5"/>
        <v>1.1135550054708407</v>
      </c>
      <c r="M29" s="109">
        <f t="shared" ca="1" si="5"/>
        <v>1.1269427669584644</v>
      </c>
      <c r="N29" s="109">
        <f t="shared" ca="1" si="5"/>
        <v>1.1404914833668323</v>
      </c>
      <c r="O29" s="109">
        <f t="shared" ca="1" si="5"/>
        <v>1.1542030897831901</v>
      </c>
      <c r="P29" s="109">
        <f t="shared" ca="1" si="5"/>
        <v>1.1680795445594516</v>
      </c>
      <c r="Q29" s="109">
        <f t="shared" ca="1" si="5"/>
        <v>1.1821228295918977</v>
      </c>
      <c r="R29" s="109">
        <f t="shared" ca="1" si="5"/>
        <v>1.1963349506042402</v>
      </c>
      <c r="S29" s="109">
        <f t="shared" ca="1" si="5"/>
        <v>1.2107179374340877</v>
      </c>
      <c r="T29" s="109">
        <f t="shared" ca="1" si="5"/>
        <v>1.2252738443228559</v>
      </c>
      <c r="U29" s="109">
        <f t="shared" ca="1" si="5"/>
        <v>1.240004750209164</v>
      </c>
      <c r="V29" s="109">
        <f t="shared" ca="1" si="5"/>
        <v>1.2549127590257574</v>
      </c>
      <c r="W29" s="109">
        <f t="shared" ca="1" si="5"/>
        <v>1.27</v>
      </c>
      <c r="X29" s="109">
        <f t="shared" ca="1" si="8"/>
        <v>1.2852686279579815</v>
      </c>
      <c r="Y29" s="109">
        <f t="shared" ca="1" si="8"/>
        <v>1.3007208236322774</v>
      </c>
      <c r="Z29" s="109">
        <f t="shared" ca="1" si="6"/>
        <v>1.3163587939734114</v>
      </c>
      <c r="AA29" s="109">
        <f t="shared" ca="1" si="6"/>
        <v>1.3321847724650626</v>
      </c>
    </row>
    <row r="30" spans="1:27" x14ac:dyDescent="0.25">
      <c r="A30" s="102" t="s">
        <v>69</v>
      </c>
      <c r="B30" s="108">
        <f ca="1">'Stochastic Inputs'!E52</f>
        <v>1.27</v>
      </c>
      <c r="C30" s="109">
        <f t="shared" ca="1" si="7"/>
        <v>1</v>
      </c>
      <c r="D30" s="109">
        <f t="shared" ca="1" si="7"/>
        <v>1.0120225416991979</v>
      </c>
      <c r="E30" s="109">
        <f t="shared" ca="1" si="5"/>
        <v>1.0241896249073048</v>
      </c>
      <c r="F30" s="109">
        <f t="shared" ca="1" si="5"/>
        <v>1.0365029873806388</v>
      </c>
      <c r="G30" s="109">
        <f t="shared" ca="1" si="5"/>
        <v>1.0489643877677659</v>
      </c>
      <c r="H30" s="109">
        <f t="shared" ca="1" si="5"/>
        <v>1.0615756058606776</v>
      </c>
      <c r="I30" s="109">
        <f t="shared" ca="1" si="5"/>
        <v>1.0743384428489888</v>
      </c>
      <c r="J30" s="109">
        <f t="shared" ca="1" si="5"/>
        <v>1.0872547215771922</v>
      </c>
      <c r="K30" s="109">
        <f t="shared" ca="1" si="5"/>
        <v>1.1003262868050039</v>
      </c>
      <c r="L30" s="109">
        <f t="shared" ca="1" si="5"/>
        <v>1.1135550054708407</v>
      </c>
      <c r="M30" s="109">
        <f t="shared" ca="1" si="5"/>
        <v>1.1269427669584644</v>
      </c>
      <c r="N30" s="109">
        <f t="shared" ca="1" si="5"/>
        <v>1.1404914833668323</v>
      </c>
      <c r="O30" s="109">
        <f t="shared" ca="1" si="5"/>
        <v>1.1542030897831901</v>
      </c>
      <c r="P30" s="109">
        <f t="shared" ca="1" si="5"/>
        <v>1.1680795445594516</v>
      </c>
      <c r="Q30" s="109">
        <f t="shared" ca="1" si="5"/>
        <v>1.1821228295918977</v>
      </c>
      <c r="R30" s="109">
        <f t="shared" ca="1" si="5"/>
        <v>1.1963349506042402</v>
      </c>
      <c r="S30" s="109">
        <f t="shared" ca="1" si="5"/>
        <v>1.2107179374340877</v>
      </c>
      <c r="T30" s="109">
        <f t="shared" ca="1" si="5"/>
        <v>1.2252738443228559</v>
      </c>
      <c r="U30" s="109">
        <f t="shared" ca="1" si="5"/>
        <v>1.240004750209164</v>
      </c>
      <c r="V30" s="109">
        <f t="shared" ca="1" si="5"/>
        <v>1.2549127590257574</v>
      </c>
      <c r="W30" s="109">
        <f t="shared" ca="1" si="5"/>
        <v>1.27</v>
      </c>
      <c r="X30" s="109">
        <f t="shared" ca="1" si="8"/>
        <v>1.2852686279579815</v>
      </c>
      <c r="Y30" s="109">
        <f t="shared" ca="1" si="8"/>
        <v>1.3007208236322774</v>
      </c>
      <c r="Z30" s="109">
        <f t="shared" ca="1" si="6"/>
        <v>1.3163587939734114</v>
      </c>
      <c r="AA30" s="109">
        <f t="shared" ca="1" si="6"/>
        <v>1.3321847724650626</v>
      </c>
    </row>
    <row r="31" spans="1:27" x14ac:dyDescent="0.25">
      <c r="A31" s="102" t="s">
        <v>70</v>
      </c>
      <c r="B31" s="108">
        <f ca="1">'Stochastic Inputs'!E53</f>
        <v>1.22</v>
      </c>
      <c r="C31" s="109">
        <f t="shared" ca="1" si="7"/>
        <v>1</v>
      </c>
      <c r="D31" s="109">
        <f t="shared" ca="1" si="7"/>
        <v>1.00999213423556</v>
      </c>
      <c r="E31" s="109">
        <f t="shared" ca="1" si="5"/>
        <v>1.0200841112177017</v>
      </c>
      <c r="F31" s="109">
        <f t="shared" ca="1" si="5"/>
        <v>1.0302769285885509</v>
      </c>
      <c r="G31" s="109">
        <f t="shared" ca="1" si="5"/>
        <v>1.0405715939588083</v>
      </c>
      <c r="H31" s="109">
        <f t="shared" ca="1" si="5"/>
        <v>1.0509691250073554</v>
      </c>
      <c r="I31" s="109">
        <f t="shared" ca="1" si="5"/>
        <v>1.0614705495818579</v>
      </c>
      <c r="J31" s="109">
        <f t="shared" ca="1" si="5"/>
        <v>1.0720769058003736</v>
      </c>
      <c r="K31" s="109">
        <f t="shared" ca="1" si="5"/>
        <v>1.0827892421539749</v>
      </c>
      <c r="L31" s="109">
        <f t="shared" ca="1" si="5"/>
        <v>1.0936086176103976</v>
      </c>
      <c r="M31" s="109">
        <f t="shared" ca="1" si="5"/>
        <v>1.1045361017187261</v>
      </c>
      <c r="N31" s="109">
        <f t="shared" ca="1" si="5"/>
        <v>1.1155727747151218</v>
      </c>
      <c r="O31" s="109">
        <f t="shared" ca="1" si="5"/>
        <v>1.1267197276296115</v>
      </c>
      <c r="P31" s="109">
        <f t="shared" ca="1" si="5"/>
        <v>1.1379780623939404</v>
      </c>
      <c r="Q31" s="109">
        <f t="shared" ca="1" si="5"/>
        <v>1.149348891950503</v>
      </c>
      <c r="R31" s="109">
        <f t="shared" ca="1" si="5"/>
        <v>1.1608333403623647</v>
      </c>
      <c r="S31" s="109">
        <f t="shared" ca="1" si="5"/>
        <v>1.1724325429243792</v>
      </c>
      <c r="T31" s="109">
        <f t="shared" ca="1" si="5"/>
        <v>1.1841476462754186</v>
      </c>
      <c r="U31" s="109">
        <f t="shared" ca="1" si="5"/>
        <v>1.195979808511725</v>
      </c>
      <c r="V31" s="109">
        <f t="shared" ca="1" si="5"/>
        <v>1.2079301993013936</v>
      </c>
      <c r="W31" s="109">
        <f t="shared" ca="1" si="5"/>
        <v>1.22</v>
      </c>
      <c r="X31" s="109">
        <f t="shared" ca="1" si="8"/>
        <v>1.2321904037673832</v>
      </c>
      <c r="Y31" s="109">
        <f t="shared" ca="1" si="8"/>
        <v>1.2445026156855961</v>
      </c>
      <c r="Z31" s="109">
        <f t="shared" ca="1" si="6"/>
        <v>1.2569378528780319</v>
      </c>
      <c r="AA31" s="109">
        <f t="shared" ca="1" si="6"/>
        <v>1.2694973446297459</v>
      </c>
    </row>
    <row r="32" spans="1:27" x14ac:dyDescent="0.25">
      <c r="A32" s="102" t="s">
        <v>71</v>
      </c>
      <c r="B32" s="108">
        <f ca="1">'Stochastic Inputs'!E54</f>
        <v>1.22</v>
      </c>
      <c r="C32" s="109">
        <f t="shared" ca="1" si="7"/>
        <v>1</v>
      </c>
      <c r="D32" s="109">
        <f t="shared" ca="1" si="7"/>
        <v>1.00999213423556</v>
      </c>
      <c r="E32" s="109">
        <f t="shared" ca="1" si="5"/>
        <v>1.0200841112177017</v>
      </c>
      <c r="F32" s="109">
        <f t="shared" ca="1" si="5"/>
        <v>1.0302769285885509</v>
      </c>
      <c r="G32" s="109">
        <f t="shared" ca="1" si="5"/>
        <v>1.0405715939588083</v>
      </c>
      <c r="H32" s="109">
        <f t="shared" ca="1" si="5"/>
        <v>1.0509691250073554</v>
      </c>
      <c r="I32" s="109">
        <f t="shared" ca="1" si="5"/>
        <v>1.0614705495818579</v>
      </c>
      <c r="J32" s="109">
        <f t="shared" ca="1" si="5"/>
        <v>1.0720769058003736</v>
      </c>
      <c r="K32" s="109">
        <f t="shared" ca="1" si="5"/>
        <v>1.0827892421539749</v>
      </c>
      <c r="L32" s="109">
        <f t="shared" ca="1" si="5"/>
        <v>1.0936086176103976</v>
      </c>
      <c r="M32" s="109">
        <f t="shared" ca="1" si="5"/>
        <v>1.1045361017187261</v>
      </c>
      <c r="N32" s="109">
        <f t="shared" ca="1" si="5"/>
        <v>1.1155727747151218</v>
      </c>
      <c r="O32" s="109">
        <f t="shared" ca="1" si="5"/>
        <v>1.1267197276296115</v>
      </c>
      <c r="P32" s="109">
        <f t="shared" ca="1" si="5"/>
        <v>1.1379780623939404</v>
      </c>
      <c r="Q32" s="109">
        <f t="shared" ca="1" si="5"/>
        <v>1.149348891950503</v>
      </c>
      <c r="R32" s="109">
        <f t="shared" ca="1" si="5"/>
        <v>1.1608333403623647</v>
      </c>
      <c r="S32" s="109">
        <f t="shared" ca="1" si="5"/>
        <v>1.1724325429243792</v>
      </c>
      <c r="T32" s="109">
        <f t="shared" ca="1" si="5"/>
        <v>1.1841476462754186</v>
      </c>
      <c r="U32" s="109">
        <f t="shared" ca="1" si="5"/>
        <v>1.195979808511725</v>
      </c>
      <c r="V32" s="109">
        <f t="shared" ca="1" si="5"/>
        <v>1.2079301993013936</v>
      </c>
      <c r="W32" s="109">
        <f t="shared" ca="1" si="5"/>
        <v>1.22</v>
      </c>
      <c r="X32" s="109">
        <f t="shared" ca="1" si="8"/>
        <v>1.2321904037673832</v>
      </c>
      <c r="Y32" s="109">
        <f t="shared" ca="1" si="8"/>
        <v>1.2445026156855961</v>
      </c>
      <c r="Z32" s="109">
        <f t="shared" ca="1" si="6"/>
        <v>1.2569378528780319</v>
      </c>
      <c r="AA32" s="109">
        <f t="shared" ca="1" si="6"/>
        <v>1.2694973446297459</v>
      </c>
    </row>
    <row r="33" spans="1:27" x14ac:dyDescent="0.25">
      <c r="A33" s="102" t="s">
        <v>72</v>
      </c>
      <c r="B33" s="108">
        <f ca="1">'Stochastic Inputs'!E55</f>
        <v>1.1599999999999999</v>
      </c>
      <c r="C33" s="109">
        <f t="shared" ca="1" si="7"/>
        <v>1</v>
      </c>
      <c r="D33" s="109">
        <f t="shared" ca="1" si="7"/>
        <v>1.0074486041188226</v>
      </c>
      <c r="E33" s="109">
        <f t="shared" ca="1" si="5"/>
        <v>1.0149526899409642</v>
      </c>
      <c r="F33" s="109">
        <f t="shared" ca="1" si="5"/>
        <v>1.0225126707276686</v>
      </c>
      <c r="G33" s="109">
        <f t="shared" ca="1" si="5"/>
        <v>1.0301289628183989</v>
      </c>
      <c r="H33" s="109">
        <f t="shared" ca="1" si="5"/>
        <v>1.0378019856537666</v>
      </c>
      <c r="I33" s="109">
        <f t="shared" ca="1" si="5"/>
        <v>1.0455321617986295</v>
      </c>
      <c r="J33" s="109">
        <f t="shared" ca="1" si="5"/>
        <v>1.0533199169653644</v>
      </c>
      <c r="K33" s="109">
        <f t="shared" ca="1" si="5"/>
        <v>1.0611656800373104</v>
      </c>
      <c r="L33" s="109">
        <f t="shared" ca="1" si="5"/>
        <v>1.0690698830923895</v>
      </c>
      <c r="M33" s="109">
        <f t="shared" ca="1" si="5"/>
        <v>1.0770329614269007</v>
      </c>
      <c r="N33" s="109">
        <f t="shared" ca="1" si="5"/>
        <v>1.0850553535794929</v>
      </c>
      <c r="O33" s="109">
        <f t="shared" ca="1" si="5"/>
        <v>1.0931375013553157</v>
      </c>
      <c r="P33" s="109">
        <f t="shared" ca="1" si="5"/>
        <v>1.1012798498503504</v>
      </c>
      <c r="Q33" s="109">
        <f t="shared" ca="1" si="5"/>
        <v>1.109482847475922</v>
      </c>
      <c r="R33" s="109">
        <f t="shared" ca="1" si="5"/>
        <v>1.1177469459833942</v>
      </c>
      <c r="S33" s="109">
        <f t="shared" ca="1" si="5"/>
        <v>1.1260726004890476</v>
      </c>
      <c r="T33" s="109">
        <f t="shared" ca="1" si="5"/>
        <v>1.1344602694991435</v>
      </c>
      <c r="U33" s="109">
        <f t="shared" ca="1" si="5"/>
        <v>1.1429104149351754</v>
      </c>
      <c r="V33" s="109">
        <f t="shared" ca="1" si="5"/>
        <v>1.1514235021593069</v>
      </c>
      <c r="W33" s="109">
        <f t="shared" ca="1" si="5"/>
        <v>1.1599999999999999</v>
      </c>
      <c r="X33" s="109">
        <f t="shared" ca="1" si="8"/>
        <v>1.1686403807778343</v>
      </c>
      <c r="Y33" s="109">
        <f t="shared" ca="1" si="8"/>
        <v>1.1773451203315184</v>
      </c>
      <c r="Z33" s="109">
        <f t="shared" ca="1" si="6"/>
        <v>1.1861146980440955</v>
      </c>
      <c r="AA33" s="109">
        <f t="shared" ca="1" si="6"/>
        <v>1.1949495968693429</v>
      </c>
    </row>
    <row r="34" spans="1:27" x14ac:dyDescent="0.25">
      <c r="A34" s="102" t="s">
        <v>73</v>
      </c>
      <c r="B34" s="108">
        <f ca="1">'Stochastic Inputs'!E56</f>
        <v>1.1599999999999999</v>
      </c>
      <c r="C34" s="109">
        <f t="shared" ca="1" si="7"/>
        <v>1</v>
      </c>
      <c r="D34" s="109">
        <f t="shared" ca="1" si="7"/>
        <v>1.0074486041188226</v>
      </c>
      <c r="E34" s="109">
        <f t="shared" ca="1" si="5"/>
        <v>1.0149526899409642</v>
      </c>
      <c r="F34" s="109">
        <f t="shared" ca="1" si="5"/>
        <v>1.0225126707276686</v>
      </c>
      <c r="G34" s="109">
        <f t="shared" ca="1" si="5"/>
        <v>1.0301289628183989</v>
      </c>
      <c r="H34" s="109">
        <f t="shared" ca="1" si="5"/>
        <v>1.0378019856537666</v>
      </c>
      <c r="I34" s="109">
        <f t="shared" ca="1" si="5"/>
        <v>1.0455321617986295</v>
      </c>
      <c r="J34" s="109">
        <f t="shared" ca="1" si="5"/>
        <v>1.0533199169653644</v>
      </c>
      <c r="K34" s="109">
        <f t="shared" ca="1" si="5"/>
        <v>1.0611656800373104</v>
      </c>
      <c r="L34" s="109">
        <f t="shared" ca="1" si="5"/>
        <v>1.0690698830923895</v>
      </c>
      <c r="M34" s="109">
        <f t="shared" ca="1" si="5"/>
        <v>1.0770329614269007</v>
      </c>
      <c r="N34" s="109">
        <f t="shared" ca="1" si="5"/>
        <v>1.0850553535794929</v>
      </c>
      <c r="O34" s="109">
        <f t="shared" ca="1" si="5"/>
        <v>1.0931375013553157</v>
      </c>
      <c r="P34" s="109">
        <f t="shared" ca="1" si="5"/>
        <v>1.1012798498503504</v>
      </c>
      <c r="Q34" s="109">
        <f t="shared" ca="1" si="5"/>
        <v>1.109482847475922</v>
      </c>
      <c r="R34" s="109">
        <f t="shared" ca="1" si="5"/>
        <v>1.1177469459833942</v>
      </c>
      <c r="S34" s="109">
        <f t="shared" ca="1" si="5"/>
        <v>1.1260726004890476</v>
      </c>
      <c r="T34" s="109">
        <f t="shared" ca="1" si="5"/>
        <v>1.1344602694991435</v>
      </c>
      <c r="U34" s="109">
        <f t="shared" ca="1" si="5"/>
        <v>1.1429104149351754</v>
      </c>
      <c r="V34" s="109">
        <f t="shared" ca="1" si="5"/>
        <v>1.1514235021593069</v>
      </c>
      <c r="W34" s="109">
        <f t="shared" ca="1" si="5"/>
        <v>1.1599999999999999</v>
      </c>
      <c r="X34" s="109">
        <f t="shared" ca="1" si="8"/>
        <v>1.1686403807778343</v>
      </c>
      <c r="Y34" s="109">
        <f t="shared" ca="1" si="8"/>
        <v>1.1773451203315184</v>
      </c>
      <c r="Z34" s="109">
        <f t="shared" ca="1" si="6"/>
        <v>1.1861146980440955</v>
      </c>
      <c r="AA34" s="109">
        <f t="shared" ca="1" si="6"/>
        <v>1.1949495968693429</v>
      </c>
    </row>
    <row r="35" spans="1:27" x14ac:dyDescent="0.25">
      <c r="A35" s="102" t="s">
        <v>74</v>
      </c>
      <c r="B35" s="108">
        <f ca="1">'Stochastic Inputs'!E57</f>
        <v>1.1599999999999999</v>
      </c>
      <c r="C35" s="109">
        <f t="shared" ca="1" si="7"/>
        <v>1</v>
      </c>
      <c r="D35" s="109">
        <f t="shared" ca="1" si="7"/>
        <v>1.0074486041188226</v>
      </c>
      <c r="E35" s="109">
        <f t="shared" ca="1" si="5"/>
        <v>1.0149526899409642</v>
      </c>
      <c r="F35" s="109">
        <f t="shared" ca="1" si="5"/>
        <v>1.0225126707276686</v>
      </c>
      <c r="G35" s="109">
        <f t="shared" ca="1" si="5"/>
        <v>1.0301289628183989</v>
      </c>
      <c r="H35" s="109">
        <f t="shared" ref="H35:W35" ca="1" si="9">$B35^(H$3/2)</f>
        <v>1.0378019856537666</v>
      </c>
      <c r="I35" s="109">
        <f t="shared" ca="1" si="9"/>
        <v>1.0455321617986295</v>
      </c>
      <c r="J35" s="109">
        <f t="shared" ca="1" si="9"/>
        <v>1.0533199169653644</v>
      </c>
      <c r="K35" s="109">
        <f t="shared" ca="1" si="9"/>
        <v>1.0611656800373104</v>
      </c>
      <c r="L35" s="109">
        <f t="shared" ca="1" si="9"/>
        <v>1.0690698830923895</v>
      </c>
      <c r="M35" s="109">
        <f t="shared" ca="1" si="9"/>
        <v>1.0770329614269007</v>
      </c>
      <c r="N35" s="109">
        <f t="shared" ca="1" si="9"/>
        <v>1.0850553535794929</v>
      </c>
      <c r="O35" s="109">
        <f t="shared" ca="1" si="9"/>
        <v>1.0931375013553157</v>
      </c>
      <c r="P35" s="109">
        <f t="shared" ca="1" si="9"/>
        <v>1.1012798498503504</v>
      </c>
      <c r="Q35" s="109">
        <f t="shared" ca="1" si="9"/>
        <v>1.109482847475922</v>
      </c>
      <c r="R35" s="109">
        <f t="shared" ca="1" si="9"/>
        <v>1.1177469459833942</v>
      </c>
      <c r="S35" s="109">
        <f t="shared" ca="1" si="9"/>
        <v>1.1260726004890476</v>
      </c>
      <c r="T35" s="109">
        <f t="shared" ca="1" si="9"/>
        <v>1.1344602694991435</v>
      </c>
      <c r="U35" s="109">
        <f t="shared" ca="1" si="9"/>
        <v>1.1429104149351754</v>
      </c>
      <c r="V35" s="109">
        <f t="shared" ca="1" si="9"/>
        <v>1.1514235021593069</v>
      </c>
      <c r="W35" s="109">
        <f t="shared" ca="1" si="9"/>
        <v>1.1599999999999999</v>
      </c>
      <c r="X35" s="109">
        <f t="shared" ca="1" si="8"/>
        <v>1.1686403807778343</v>
      </c>
      <c r="Y35" s="109">
        <f t="shared" ca="1" si="8"/>
        <v>1.1773451203315184</v>
      </c>
      <c r="Z35" s="109">
        <f t="shared" ca="1" si="6"/>
        <v>1.1861146980440955</v>
      </c>
      <c r="AA35" s="109">
        <f t="shared" ca="1" si="6"/>
        <v>1.1949495968693429</v>
      </c>
    </row>
    <row r="36" spans="1:27" ht="11" thickBot="1" x14ac:dyDescent="0.3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</row>
    <row r="37" spans="1:27" x14ac:dyDescent="0.25">
      <c r="A37" s="115"/>
      <c r="B37" s="106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</row>
    <row r="38" spans="1:27" x14ac:dyDescent="0.25">
      <c r="A38" s="115"/>
      <c r="B38" s="106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</row>
    <row r="39" spans="1:27" x14ac:dyDescent="0.25">
      <c r="A39" s="115" t="s">
        <v>82</v>
      </c>
      <c r="B39" s="106"/>
      <c r="C39" s="110"/>
      <c r="D39" s="110"/>
      <c r="E39" s="110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39"/>
      <c r="S39" s="239"/>
      <c r="T39" s="239"/>
      <c r="U39" s="239"/>
      <c r="V39" s="239"/>
      <c r="W39" s="239"/>
      <c r="X39" s="110"/>
      <c r="Y39" s="110"/>
      <c r="Z39" s="110"/>
      <c r="AA39" s="110"/>
    </row>
    <row r="40" spans="1:27" s="105" customFormat="1" ht="52.5" x14ac:dyDescent="0.25">
      <c r="A40" s="102"/>
      <c r="B40" s="107" t="s">
        <v>151</v>
      </c>
      <c r="C40" s="241">
        <v>0</v>
      </c>
      <c r="D40" s="241">
        <v>0.1</v>
      </c>
      <c r="E40" s="241">
        <v>0.2</v>
      </c>
      <c r="F40" s="241">
        <v>0.3</v>
      </c>
      <c r="G40" s="241">
        <v>0.4</v>
      </c>
      <c r="H40" s="241">
        <v>0.5</v>
      </c>
      <c r="I40" s="241">
        <v>0.6</v>
      </c>
      <c r="J40" s="241">
        <v>0.7</v>
      </c>
      <c r="K40" s="241">
        <v>0.8</v>
      </c>
      <c r="L40" s="241">
        <v>0.9</v>
      </c>
      <c r="M40" s="241">
        <v>1</v>
      </c>
      <c r="N40" s="241">
        <v>1.1000000000000001</v>
      </c>
      <c r="O40" s="241">
        <v>1.2</v>
      </c>
      <c r="P40" s="241">
        <v>1.3</v>
      </c>
      <c r="Q40" s="241">
        <v>1.4</v>
      </c>
      <c r="R40" s="241">
        <v>1.5</v>
      </c>
      <c r="S40" s="241">
        <v>1.6</v>
      </c>
      <c r="T40" s="241">
        <v>1.7</v>
      </c>
      <c r="U40" s="241">
        <v>1.8</v>
      </c>
      <c r="V40" s="241">
        <v>1.9</v>
      </c>
      <c r="W40" s="241">
        <v>2</v>
      </c>
      <c r="X40" s="241">
        <v>2.1</v>
      </c>
      <c r="Y40" s="241">
        <v>2.2000000000000002</v>
      </c>
      <c r="Z40" s="241">
        <v>2.2999999999999998</v>
      </c>
      <c r="AA40" s="241">
        <v>2.4</v>
      </c>
    </row>
    <row r="41" spans="1:27" x14ac:dyDescent="0.25">
      <c r="A41" s="102" t="s">
        <v>45</v>
      </c>
      <c r="B41" s="108">
        <f ca="1">'Stochastic Inputs'!K28</f>
        <v>0.999999999985</v>
      </c>
      <c r="C41" s="109">
        <f ca="1">$B41^(C$3/2)</f>
        <v>1</v>
      </c>
      <c r="D41" s="109">
        <f ca="1">$B41^(D$3/2)</f>
        <v>0.99999999999925004</v>
      </c>
      <c r="E41" s="109">
        <f t="shared" ref="E41:W55" ca="1" si="10">$B41^(E$3/2)</f>
        <v>0.99999999999849998</v>
      </c>
      <c r="F41" s="109">
        <f t="shared" ca="1" si="10"/>
        <v>0.99999999999775002</v>
      </c>
      <c r="G41" s="109">
        <f t="shared" ca="1" si="10"/>
        <v>0.99999999999699996</v>
      </c>
      <c r="H41" s="109">
        <f t="shared" ca="1" si="10"/>
        <v>0.99999999999625</v>
      </c>
      <c r="I41" s="109">
        <f t="shared" ca="1" si="10"/>
        <v>0.99999999999550004</v>
      </c>
      <c r="J41" s="109">
        <f t="shared" ca="1" si="10"/>
        <v>0.99999999999474998</v>
      </c>
      <c r="K41" s="109">
        <f t="shared" ca="1" si="10"/>
        <v>0.99999999999400002</v>
      </c>
      <c r="L41" s="109">
        <f t="shared" ca="1" si="10"/>
        <v>0.99999999999324996</v>
      </c>
      <c r="M41" s="109">
        <f t="shared" ca="1" si="10"/>
        <v>0.9999999999925</v>
      </c>
      <c r="N41" s="109">
        <f t="shared" ca="1" si="10"/>
        <v>0.99999999999175004</v>
      </c>
      <c r="O41" s="109">
        <f t="shared" ca="1" si="10"/>
        <v>0.99999999999099998</v>
      </c>
      <c r="P41" s="109">
        <f t="shared" ca="1" si="10"/>
        <v>0.99999999999025002</v>
      </c>
      <c r="Q41" s="109">
        <f t="shared" ca="1" si="10"/>
        <v>0.99999999998949995</v>
      </c>
      <c r="R41" s="109">
        <f t="shared" ca="1" si="10"/>
        <v>0.99999999998875</v>
      </c>
      <c r="S41" s="109">
        <f t="shared" ca="1" si="10"/>
        <v>0.99999999998800004</v>
      </c>
      <c r="T41" s="109">
        <f t="shared" ca="1" si="10"/>
        <v>0.99999999998724998</v>
      </c>
      <c r="U41" s="109">
        <f t="shared" ca="1" si="10"/>
        <v>0.99999999998650002</v>
      </c>
      <c r="V41" s="109">
        <f t="shared" ca="1" si="10"/>
        <v>0.99999999998574995</v>
      </c>
      <c r="W41" s="109">
        <f t="shared" ca="1" si="10"/>
        <v>0.999999999985</v>
      </c>
      <c r="X41" s="109">
        <f ca="1">$B41^(X$3/2)</f>
        <v>0.99999999998425004</v>
      </c>
      <c r="Y41" s="109">
        <f ca="1">$B41^(Y$3/2)</f>
        <v>0.99999999998349998</v>
      </c>
      <c r="Z41" s="109">
        <f t="shared" ref="Z41:AA55" ca="1" si="11">$B41^(Z$3/2)</f>
        <v>0.99999999998275002</v>
      </c>
      <c r="AA41" s="109">
        <f t="shared" ca="1" si="11"/>
        <v>0.99999999998199995</v>
      </c>
    </row>
    <row r="42" spans="1:27" x14ac:dyDescent="0.25">
      <c r="A42" s="102" t="s">
        <v>46</v>
      </c>
      <c r="B42" s="108">
        <f ca="1">'Stochastic Inputs'!K29</f>
        <v>0.999999999985</v>
      </c>
      <c r="C42" s="109">
        <f t="shared" ref="C42:R55" ca="1" si="12">$B42^(C$3/2)</f>
        <v>1</v>
      </c>
      <c r="D42" s="109">
        <f t="shared" ca="1" si="12"/>
        <v>0.99999999999925004</v>
      </c>
      <c r="E42" s="109">
        <f t="shared" ca="1" si="12"/>
        <v>0.99999999999849998</v>
      </c>
      <c r="F42" s="109">
        <f t="shared" ca="1" si="12"/>
        <v>0.99999999999775002</v>
      </c>
      <c r="G42" s="109">
        <f t="shared" ca="1" si="12"/>
        <v>0.99999999999699996</v>
      </c>
      <c r="H42" s="109">
        <f t="shared" ca="1" si="12"/>
        <v>0.99999999999625</v>
      </c>
      <c r="I42" s="109">
        <f t="shared" ca="1" si="12"/>
        <v>0.99999999999550004</v>
      </c>
      <c r="J42" s="109">
        <f t="shared" ca="1" si="12"/>
        <v>0.99999999999474998</v>
      </c>
      <c r="K42" s="109">
        <f t="shared" ca="1" si="12"/>
        <v>0.99999999999400002</v>
      </c>
      <c r="L42" s="109">
        <f t="shared" ca="1" si="12"/>
        <v>0.99999999999324996</v>
      </c>
      <c r="M42" s="109">
        <f t="shared" ca="1" si="12"/>
        <v>0.9999999999925</v>
      </c>
      <c r="N42" s="109">
        <f t="shared" ca="1" si="12"/>
        <v>0.99999999999175004</v>
      </c>
      <c r="O42" s="109">
        <f t="shared" ca="1" si="12"/>
        <v>0.99999999999099998</v>
      </c>
      <c r="P42" s="109">
        <f t="shared" ca="1" si="12"/>
        <v>0.99999999999025002</v>
      </c>
      <c r="Q42" s="109">
        <f t="shared" ca="1" si="12"/>
        <v>0.99999999998949995</v>
      </c>
      <c r="R42" s="109">
        <f t="shared" ca="1" si="12"/>
        <v>0.99999999998875</v>
      </c>
      <c r="S42" s="109">
        <f t="shared" ca="1" si="10"/>
        <v>0.99999999998800004</v>
      </c>
      <c r="T42" s="109">
        <f t="shared" ca="1" si="10"/>
        <v>0.99999999998724998</v>
      </c>
      <c r="U42" s="109">
        <f t="shared" ca="1" si="10"/>
        <v>0.99999999998650002</v>
      </c>
      <c r="V42" s="109">
        <f t="shared" ca="1" si="10"/>
        <v>0.99999999998574995</v>
      </c>
      <c r="W42" s="109">
        <f t="shared" ca="1" si="10"/>
        <v>0.999999999985</v>
      </c>
      <c r="X42" s="109">
        <f t="shared" ref="X42:AA55" ca="1" si="13">$B42^(X$3/2)</f>
        <v>0.99999999998425004</v>
      </c>
      <c r="Y42" s="109">
        <f t="shared" ca="1" si="13"/>
        <v>0.99999999998349998</v>
      </c>
      <c r="Z42" s="109">
        <f t="shared" ca="1" si="13"/>
        <v>0.99999999998275002</v>
      </c>
      <c r="AA42" s="109">
        <f t="shared" ca="1" si="13"/>
        <v>0.99999999998199995</v>
      </c>
    </row>
    <row r="43" spans="1:27" x14ac:dyDescent="0.25">
      <c r="A43" s="102" t="s">
        <v>47</v>
      </c>
      <c r="B43" s="108">
        <f ca="1">'Stochastic Inputs'!K30</f>
        <v>1.2108333333333334</v>
      </c>
      <c r="C43" s="109">
        <f t="shared" ca="1" si="12"/>
        <v>1</v>
      </c>
      <c r="D43" s="109">
        <f t="shared" ca="1" si="12"/>
        <v>1.0096113364429589</v>
      </c>
      <c r="E43" s="109">
        <f t="shared" ca="1" si="10"/>
        <v>1.0193150506741375</v>
      </c>
      <c r="F43" s="109">
        <f t="shared" ca="1" si="10"/>
        <v>1.0291120305675385</v>
      </c>
      <c r="G43" s="109">
        <f t="shared" ca="1" si="10"/>
        <v>1.0390031725308198</v>
      </c>
      <c r="H43" s="109">
        <f t="shared" ca="1" si="10"/>
        <v>1.048989381587315</v>
      </c>
      <c r="I43" s="109">
        <f t="shared" ca="1" si="10"/>
        <v>1.0590715714588421</v>
      </c>
      <c r="J43" s="109">
        <f t="shared" ca="1" si="10"/>
        <v>1.0692506646493063</v>
      </c>
      <c r="K43" s="109">
        <f t="shared" ca="1" si="10"/>
        <v>1.0795275925291081</v>
      </c>
      <c r="L43" s="109">
        <f t="shared" ca="1" si="10"/>
        <v>1.0899032954203629</v>
      </c>
      <c r="M43" s="109">
        <f t="shared" ca="1" si="10"/>
        <v>1.1003787226829376</v>
      </c>
      <c r="N43" s="109">
        <f t="shared" ca="1" si="10"/>
        <v>1.1109548328013168</v>
      </c>
      <c r="O43" s="109">
        <f t="shared" ca="1" si="10"/>
        <v>1.1216325934723015</v>
      </c>
      <c r="P43" s="109">
        <f t="shared" ca="1" si="10"/>
        <v>1.1324129816935522</v>
      </c>
      <c r="Q43" s="109">
        <f t="shared" ca="1" si="10"/>
        <v>1.1432969838529832</v>
      </c>
      <c r="R43" s="109">
        <f t="shared" ca="1" si="10"/>
        <v>1.1542855958190144</v>
      </c>
      <c r="S43" s="109">
        <f t="shared" ca="1" si="10"/>
        <v>1.1653798230316923</v>
      </c>
      <c r="T43" s="109">
        <f t="shared" ca="1" si="10"/>
        <v>1.1765806805946857</v>
      </c>
      <c r="U43" s="109">
        <f t="shared" ca="1" si="10"/>
        <v>1.1878891933681668</v>
      </c>
      <c r="V43" s="109">
        <f t="shared" ca="1" si="10"/>
        <v>1.1993063960625834</v>
      </c>
      <c r="W43" s="109">
        <f t="shared" ca="1" si="10"/>
        <v>1.2108333333333334</v>
      </c>
      <c r="X43" s="109">
        <f t="shared" ca="1" si="13"/>
        <v>1.2224710598763495</v>
      </c>
      <c r="Y43" s="109">
        <f t="shared" ca="1" si="13"/>
        <v>1.2342206405246017</v>
      </c>
      <c r="Z43" s="109">
        <f t="shared" ca="1" si="11"/>
        <v>1.2460831503455279</v>
      </c>
      <c r="AA43" s="109">
        <f t="shared" ca="1" si="11"/>
        <v>1.2580596747394008</v>
      </c>
    </row>
    <row r="44" spans="1:27" x14ac:dyDescent="0.25">
      <c r="A44" s="102" t="s">
        <v>48</v>
      </c>
      <c r="B44" s="108">
        <f ca="1">'Stochastic Inputs'!K31</f>
        <v>1.2108333333333334</v>
      </c>
      <c r="C44" s="109">
        <f t="shared" ca="1" si="12"/>
        <v>1</v>
      </c>
      <c r="D44" s="109">
        <f t="shared" ca="1" si="12"/>
        <v>1.0096113364429589</v>
      </c>
      <c r="E44" s="109">
        <f t="shared" ca="1" si="10"/>
        <v>1.0193150506741375</v>
      </c>
      <c r="F44" s="109">
        <f t="shared" ca="1" si="10"/>
        <v>1.0291120305675385</v>
      </c>
      <c r="G44" s="109">
        <f t="shared" ca="1" si="10"/>
        <v>1.0390031725308198</v>
      </c>
      <c r="H44" s="109">
        <f t="shared" ca="1" si="10"/>
        <v>1.048989381587315</v>
      </c>
      <c r="I44" s="109">
        <f t="shared" ca="1" si="10"/>
        <v>1.0590715714588421</v>
      </c>
      <c r="J44" s="109">
        <f t="shared" ca="1" si="10"/>
        <v>1.0692506646493063</v>
      </c>
      <c r="K44" s="109">
        <f t="shared" ca="1" si="10"/>
        <v>1.0795275925291081</v>
      </c>
      <c r="L44" s="109">
        <f t="shared" ca="1" si="10"/>
        <v>1.0899032954203629</v>
      </c>
      <c r="M44" s="109">
        <f t="shared" ca="1" si="10"/>
        <v>1.1003787226829376</v>
      </c>
      <c r="N44" s="109">
        <f t="shared" ca="1" si="10"/>
        <v>1.1109548328013168</v>
      </c>
      <c r="O44" s="109">
        <f t="shared" ca="1" si="10"/>
        <v>1.1216325934723015</v>
      </c>
      <c r="P44" s="109">
        <f t="shared" ca="1" si="10"/>
        <v>1.1324129816935522</v>
      </c>
      <c r="Q44" s="109">
        <f t="shared" ca="1" si="10"/>
        <v>1.1432969838529832</v>
      </c>
      <c r="R44" s="109">
        <f t="shared" ca="1" si="10"/>
        <v>1.1542855958190144</v>
      </c>
      <c r="S44" s="109">
        <f t="shared" ca="1" si="10"/>
        <v>1.1653798230316923</v>
      </c>
      <c r="T44" s="109">
        <f t="shared" ca="1" si="10"/>
        <v>1.1765806805946857</v>
      </c>
      <c r="U44" s="109">
        <f t="shared" ca="1" si="10"/>
        <v>1.1878891933681668</v>
      </c>
      <c r="V44" s="109">
        <f t="shared" ca="1" si="10"/>
        <v>1.1993063960625834</v>
      </c>
      <c r="W44" s="109">
        <f t="shared" ca="1" si="10"/>
        <v>1.2108333333333334</v>
      </c>
      <c r="X44" s="109">
        <f t="shared" ca="1" si="13"/>
        <v>1.2224710598763495</v>
      </c>
      <c r="Y44" s="109">
        <f t="shared" ca="1" si="13"/>
        <v>1.2342206405246017</v>
      </c>
      <c r="Z44" s="109">
        <f t="shared" ca="1" si="11"/>
        <v>1.2460831503455279</v>
      </c>
      <c r="AA44" s="109">
        <f t="shared" ca="1" si="11"/>
        <v>1.2580596747394008</v>
      </c>
    </row>
    <row r="45" spans="1:27" x14ac:dyDescent="0.25">
      <c r="A45" s="102" t="s">
        <v>49</v>
      </c>
      <c r="B45" s="108">
        <f ca="1">'Stochastic Inputs'!K32</f>
        <v>1.2008333333333334</v>
      </c>
      <c r="C45" s="109">
        <f t="shared" ca="1" si="12"/>
        <v>1</v>
      </c>
      <c r="D45" s="109">
        <f t="shared" ca="1" si="12"/>
        <v>1.0091927844742836</v>
      </c>
      <c r="E45" s="109">
        <f t="shared" ca="1" si="10"/>
        <v>1.0184700762349577</v>
      </c>
      <c r="F45" s="109">
        <f t="shared" ca="1" si="10"/>
        <v>1.0278326521392929</v>
      </c>
      <c r="G45" s="109">
        <f t="shared" ca="1" si="10"/>
        <v>1.0372812961860407</v>
      </c>
      <c r="H45" s="109">
        <f t="shared" ca="1" si="10"/>
        <v>1.0468167995810844</v>
      </c>
      <c r="I45" s="109">
        <f t="shared" ca="1" si="10"/>
        <v>1.0564399608036925</v>
      </c>
      <c r="J45" s="109">
        <f t="shared" ca="1" si="10"/>
        <v>1.0661515856733814</v>
      </c>
      <c r="K45" s="109">
        <f t="shared" ca="1" si="10"/>
        <v>1.0759524874173925</v>
      </c>
      <c r="L45" s="109">
        <f t="shared" ca="1" si="10"/>
        <v>1.0858434867387898</v>
      </c>
      <c r="M45" s="109">
        <f t="shared" ca="1" si="10"/>
        <v>1.095825411885184</v>
      </c>
      <c r="N45" s="109">
        <f t="shared" ca="1" si="10"/>
        <v>1.1058990987180877</v>
      </c>
      <c r="O45" s="109">
        <f t="shared" ca="1" si="10"/>
        <v>1.1160653907829075</v>
      </c>
      <c r="P45" s="109">
        <f t="shared" ca="1" si="10"/>
        <v>1.1263251393795817</v>
      </c>
      <c r="Q45" s="109">
        <f t="shared" ca="1" si="10"/>
        <v>1.1366792036338655</v>
      </c>
      <c r="R45" s="109">
        <f t="shared" ca="1" si="10"/>
        <v>1.147128450569272</v>
      </c>
      <c r="S45" s="109">
        <f t="shared" ca="1" si="10"/>
        <v>1.1576737551796741</v>
      </c>
      <c r="T45" s="109">
        <f t="shared" ca="1" si="10"/>
        <v>1.1683160005025754</v>
      </c>
      <c r="U45" s="109">
        <f t="shared" ca="1" si="10"/>
        <v>1.1790560776930525</v>
      </c>
      <c r="V45" s="109">
        <f t="shared" ca="1" si="10"/>
        <v>1.1898948860983789</v>
      </c>
      <c r="W45" s="109">
        <f t="shared" ca="1" si="10"/>
        <v>1.2008333333333334</v>
      </c>
      <c r="X45" s="109">
        <f t="shared" ca="1" si="13"/>
        <v>1.2118723353562022</v>
      </c>
      <c r="Y45" s="109">
        <f t="shared" ca="1" si="13"/>
        <v>1.2230128165454786</v>
      </c>
      <c r="Z45" s="109">
        <f t="shared" ca="1" si="11"/>
        <v>1.2342557097772675</v>
      </c>
      <c r="AA45" s="109">
        <f t="shared" ca="1" si="11"/>
        <v>1.2456019565034038</v>
      </c>
    </row>
    <row r="46" spans="1:27" x14ac:dyDescent="0.25">
      <c r="A46" s="102" t="s">
        <v>50</v>
      </c>
      <c r="B46" s="108">
        <f ca="1">'Stochastic Inputs'!K33</f>
        <v>1.2008333333333334</v>
      </c>
      <c r="C46" s="109">
        <f t="shared" ca="1" si="12"/>
        <v>1</v>
      </c>
      <c r="D46" s="109">
        <f t="shared" ca="1" si="12"/>
        <v>1.0091927844742836</v>
      </c>
      <c r="E46" s="109">
        <f t="shared" ca="1" si="10"/>
        <v>1.0184700762349577</v>
      </c>
      <c r="F46" s="109">
        <f t="shared" ca="1" si="10"/>
        <v>1.0278326521392929</v>
      </c>
      <c r="G46" s="109">
        <f t="shared" ca="1" si="10"/>
        <v>1.0372812961860407</v>
      </c>
      <c r="H46" s="109">
        <f t="shared" ca="1" si="10"/>
        <v>1.0468167995810844</v>
      </c>
      <c r="I46" s="109">
        <f t="shared" ca="1" si="10"/>
        <v>1.0564399608036925</v>
      </c>
      <c r="J46" s="109">
        <f t="shared" ca="1" si="10"/>
        <v>1.0661515856733814</v>
      </c>
      <c r="K46" s="109">
        <f t="shared" ca="1" si="10"/>
        <v>1.0759524874173925</v>
      </c>
      <c r="L46" s="109">
        <f t="shared" ca="1" si="10"/>
        <v>1.0858434867387898</v>
      </c>
      <c r="M46" s="109">
        <f t="shared" ca="1" si="10"/>
        <v>1.095825411885184</v>
      </c>
      <c r="N46" s="109">
        <f t="shared" ca="1" si="10"/>
        <v>1.1058990987180877</v>
      </c>
      <c r="O46" s="109">
        <f t="shared" ca="1" si="10"/>
        <v>1.1160653907829075</v>
      </c>
      <c r="P46" s="109">
        <f t="shared" ca="1" si="10"/>
        <v>1.1263251393795817</v>
      </c>
      <c r="Q46" s="109">
        <f t="shared" ca="1" si="10"/>
        <v>1.1366792036338655</v>
      </c>
      <c r="R46" s="109">
        <f t="shared" ca="1" si="10"/>
        <v>1.147128450569272</v>
      </c>
      <c r="S46" s="109">
        <f t="shared" ca="1" si="10"/>
        <v>1.1576737551796741</v>
      </c>
      <c r="T46" s="109">
        <f t="shared" ca="1" si="10"/>
        <v>1.1683160005025754</v>
      </c>
      <c r="U46" s="109">
        <f t="shared" ca="1" si="10"/>
        <v>1.1790560776930525</v>
      </c>
      <c r="V46" s="109">
        <f t="shared" ca="1" si="10"/>
        <v>1.1898948860983789</v>
      </c>
      <c r="W46" s="109">
        <f t="shared" ca="1" si="10"/>
        <v>1.2008333333333334</v>
      </c>
      <c r="X46" s="109">
        <f t="shared" ca="1" si="13"/>
        <v>1.2118723353562022</v>
      </c>
      <c r="Y46" s="109">
        <f t="shared" ca="1" si="13"/>
        <v>1.2230128165454786</v>
      </c>
      <c r="Z46" s="109">
        <f t="shared" ca="1" si="11"/>
        <v>1.2342557097772675</v>
      </c>
      <c r="AA46" s="109">
        <f t="shared" ca="1" si="11"/>
        <v>1.2456019565034038</v>
      </c>
    </row>
    <row r="47" spans="1:27" x14ac:dyDescent="0.25">
      <c r="A47" s="102" t="s">
        <v>51</v>
      </c>
      <c r="B47" s="108">
        <f ca="1">'Stochastic Inputs'!K34</f>
        <v>1.1658333333333333</v>
      </c>
      <c r="C47" s="109">
        <f t="shared" ca="1" si="12"/>
        <v>1</v>
      </c>
      <c r="D47" s="109">
        <f t="shared" ca="1" si="12"/>
        <v>1.007701310656032</v>
      </c>
      <c r="E47" s="109">
        <f t="shared" ca="1" si="10"/>
        <v>1.0154619314978848</v>
      </c>
      <c r="F47" s="109">
        <f t="shared" ca="1" si="10"/>
        <v>1.0232823192917244</v>
      </c>
      <c r="G47" s="109">
        <f t="shared" ca="1" si="10"/>
        <v>1.0311629343214148</v>
      </c>
      <c r="H47" s="109">
        <f t="shared" ca="1" si="10"/>
        <v>1.0391042404156097</v>
      </c>
      <c r="I47" s="109">
        <f t="shared" ca="1" si="10"/>
        <v>1.0471067049750504</v>
      </c>
      <c r="J47" s="109">
        <f t="shared" ca="1" si="10"/>
        <v>1.0551707990000774</v>
      </c>
      <c r="K47" s="109">
        <f t="shared" ca="1" si="10"/>
        <v>1.0632969971183506</v>
      </c>
      <c r="L47" s="109">
        <f t="shared" ca="1" si="10"/>
        <v>1.0714857776127851</v>
      </c>
      <c r="M47" s="109">
        <f t="shared" ca="1" si="10"/>
        <v>1.0797376224497011</v>
      </c>
      <c r="N47" s="109">
        <f t="shared" ca="1" si="10"/>
        <v>1.0880530173071916</v>
      </c>
      <c r="O47" s="109">
        <f t="shared" ca="1" si="10"/>
        <v>1.0964324516037074</v>
      </c>
      <c r="P47" s="109">
        <f t="shared" ca="1" si="10"/>
        <v>1.1048764185268622</v>
      </c>
      <c r="Q47" s="109">
        <f t="shared" ca="1" si="10"/>
        <v>1.1133854150624618</v>
      </c>
      <c r="R47" s="109">
        <f t="shared" ca="1" si="10"/>
        <v>1.1219599420237529</v>
      </c>
      <c r="S47" s="109">
        <f t="shared" ca="1" si="10"/>
        <v>1.1306005040809015</v>
      </c>
      <c r="T47" s="109">
        <f t="shared" ca="1" si="10"/>
        <v>1.1393076097906951</v>
      </c>
      <c r="U47" s="109">
        <f t="shared" ca="1" si="10"/>
        <v>1.1480817716264746</v>
      </c>
      <c r="V47" s="109">
        <f t="shared" ca="1" si="10"/>
        <v>1.1569235060082976</v>
      </c>
      <c r="W47" s="109">
        <f t="shared" ca="1" si="10"/>
        <v>1.1658333333333333</v>
      </c>
      <c r="X47" s="109">
        <f t="shared" ca="1" si="13"/>
        <v>1.1748117780064906</v>
      </c>
      <c r="Y47" s="109">
        <f t="shared" ca="1" si="13"/>
        <v>1.1838593684712839</v>
      </c>
      <c r="Z47" s="109">
        <f t="shared" ca="1" si="11"/>
        <v>1.1929766372409352</v>
      </c>
      <c r="AA47" s="109">
        <f t="shared" ca="1" si="11"/>
        <v>1.202164120929716</v>
      </c>
    </row>
    <row r="48" spans="1:27" x14ac:dyDescent="0.25">
      <c r="A48" s="102" t="s">
        <v>52</v>
      </c>
      <c r="B48" s="108">
        <f ca="1">'Stochastic Inputs'!K35</f>
        <v>1.1658333333333333</v>
      </c>
      <c r="C48" s="109">
        <f t="shared" ca="1" si="12"/>
        <v>1</v>
      </c>
      <c r="D48" s="109">
        <f t="shared" ca="1" si="12"/>
        <v>1.007701310656032</v>
      </c>
      <c r="E48" s="109">
        <f t="shared" ca="1" si="10"/>
        <v>1.0154619314978848</v>
      </c>
      <c r="F48" s="109">
        <f t="shared" ca="1" si="10"/>
        <v>1.0232823192917244</v>
      </c>
      <c r="G48" s="109">
        <f t="shared" ca="1" si="10"/>
        <v>1.0311629343214148</v>
      </c>
      <c r="H48" s="109">
        <f t="shared" ca="1" si="10"/>
        <v>1.0391042404156097</v>
      </c>
      <c r="I48" s="109">
        <f t="shared" ca="1" si="10"/>
        <v>1.0471067049750504</v>
      </c>
      <c r="J48" s="109">
        <f t="shared" ca="1" si="10"/>
        <v>1.0551707990000774</v>
      </c>
      <c r="K48" s="109">
        <f t="shared" ca="1" si="10"/>
        <v>1.0632969971183506</v>
      </c>
      <c r="L48" s="109">
        <f t="shared" ca="1" si="10"/>
        <v>1.0714857776127851</v>
      </c>
      <c r="M48" s="109">
        <f t="shared" ca="1" si="10"/>
        <v>1.0797376224497011</v>
      </c>
      <c r="N48" s="109">
        <f t="shared" ca="1" si="10"/>
        <v>1.0880530173071916</v>
      </c>
      <c r="O48" s="109">
        <f t="shared" ca="1" si="10"/>
        <v>1.0964324516037074</v>
      </c>
      <c r="P48" s="109">
        <f t="shared" ca="1" si="10"/>
        <v>1.1048764185268622</v>
      </c>
      <c r="Q48" s="109">
        <f t="shared" ca="1" si="10"/>
        <v>1.1133854150624618</v>
      </c>
      <c r="R48" s="109">
        <f t="shared" ca="1" si="10"/>
        <v>1.1219599420237529</v>
      </c>
      <c r="S48" s="109">
        <f t="shared" ca="1" si="10"/>
        <v>1.1306005040809015</v>
      </c>
      <c r="T48" s="109">
        <f t="shared" ca="1" si="10"/>
        <v>1.1393076097906951</v>
      </c>
      <c r="U48" s="109">
        <f t="shared" ca="1" si="10"/>
        <v>1.1480817716264746</v>
      </c>
      <c r="V48" s="109">
        <f t="shared" ca="1" si="10"/>
        <v>1.1569235060082976</v>
      </c>
      <c r="W48" s="109">
        <f t="shared" ca="1" si="10"/>
        <v>1.1658333333333333</v>
      </c>
      <c r="X48" s="109">
        <f t="shared" ca="1" si="13"/>
        <v>1.1748117780064906</v>
      </c>
      <c r="Y48" s="109">
        <f t="shared" ca="1" si="13"/>
        <v>1.1838593684712839</v>
      </c>
      <c r="Z48" s="109">
        <f t="shared" ca="1" si="11"/>
        <v>1.1929766372409352</v>
      </c>
      <c r="AA48" s="109">
        <f t="shared" ca="1" si="11"/>
        <v>1.202164120929716</v>
      </c>
    </row>
    <row r="49" spans="1:27" x14ac:dyDescent="0.25">
      <c r="A49" s="102" t="s">
        <v>53</v>
      </c>
      <c r="B49" s="108">
        <f ca="1">'Stochastic Inputs'!K36</f>
        <v>1.135</v>
      </c>
      <c r="C49" s="109">
        <f t="shared" ca="1" si="12"/>
        <v>1</v>
      </c>
      <c r="D49" s="109">
        <f t="shared" ca="1" si="12"/>
        <v>1.0063517197044769</v>
      </c>
      <c r="E49" s="109">
        <f t="shared" ca="1" si="10"/>
        <v>1.012743783752158</v>
      </c>
      <c r="F49" s="109">
        <f t="shared" ca="1" si="10"/>
        <v>1.0191764483990031</v>
      </c>
      <c r="G49" s="109">
        <f t="shared" ca="1" si="10"/>
        <v>1.0256499715286378</v>
      </c>
      <c r="H49" s="109">
        <f t="shared" ca="1" si="10"/>
        <v>1.0321646126626924</v>
      </c>
      <c r="I49" s="109">
        <f t="shared" ca="1" si="10"/>
        <v>1.0387206329712058</v>
      </c>
      <c r="J49" s="109">
        <f t="shared" ca="1" si="10"/>
        <v>1.0453182952830957</v>
      </c>
      <c r="K49" s="109">
        <f t="shared" ca="1" si="10"/>
        <v>1.0519578640966956</v>
      </c>
      <c r="L49" s="109">
        <f t="shared" ca="1" si="10"/>
        <v>1.058639605590358</v>
      </c>
      <c r="M49" s="109">
        <f t="shared" ca="1" si="10"/>
        <v>1.0653637876331259</v>
      </c>
      <c r="N49" s="109">
        <f t="shared" ca="1" si="10"/>
        <v>1.0721306797954713</v>
      </c>
      <c r="O49" s="109">
        <f t="shared" ca="1" si="10"/>
        <v>1.0789405533601024</v>
      </c>
      <c r="P49" s="109">
        <f t="shared" ca="1" si="10"/>
        <v>1.0857936813328388</v>
      </c>
      <c r="Q49" s="109">
        <f t="shared" ca="1" si="10"/>
        <v>1.0926903384535571</v>
      </c>
      <c r="R49" s="109">
        <f t="shared" ca="1" si="10"/>
        <v>1.0996308012072042</v>
      </c>
      <c r="S49" s="109">
        <f t="shared" ca="1" si="10"/>
        <v>1.1066153478348817</v>
      </c>
      <c r="T49" s="109">
        <f t="shared" ca="1" si="10"/>
        <v>1.113644258345001</v>
      </c>
      <c r="U49" s="109">
        <f t="shared" ca="1" si="10"/>
        <v>1.1207178145245085</v>
      </c>
      <c r="V49" s="109">
        <f t="shared" ca="1" si="10"/>
        <v>1.1278362999501821</v>
      </c>
      <c r="W49" s="109">
        <f t="shared" ca="1" si="10"/>
        <v>1.135</v>
      </c>
      <c r="X49" s="109">
        <f t="shared" ca="1" si="13"/>
        <v>1.1422092018645813</v>
      </c>
      <c r="Y49" s="109">
        <f t="shared" ca="1" si="13"/>
        <v>1.1494641945586994</v>
      </c>
      <c r="Z49" s="109">
        <f t="shared" ca="1" si="11"/>
        <v>1.1567652689328685</v>
      </c>
      <c r="AA49" s="109">
        <f t="shared" ca="1" si="11"/>
        <v>1.1641127176850039</v>
      </c>
    </row>
    <row r="50" spans="1:27" x14ac:dyDescent="0.25">
      <c r="A50" s="102" t="s">
        <v>54</v>
      </c>
      <c r="B50" s="108">
        <f ca="1">'Stochastic Inputs'!K37</f>
        <v>1.135</v>
      </c>
      <c r="C50" s="109">
        <f t="shared" ca="1" si="12"/>
        <v>1</v>
      </c>
      <c r="D50" s="109">
        <f t="shared" ca="1" si="12"/>
        <v>1.0063517197044769</v>
      </c>
      <c r="E50" s="109">
        <f t="shared" ca="1" si="10"/>
        <v>1.012743783752158</v>
      </c>
      <c r="F50" s="109">
        <f t="shared" ca="1" si="10"/>
        <v>1.0191764483990031</v>
      </c>
      <c r="G50" s="109">
        <f t="shared" ca="1" si="10"/>
        <v>1.0256499715286378</v>
      </c>
      <c r="H50" s="109">
        <f t="shared" ca="1" si="10"/>
        <v>1.0321646126626924</v>
      </c>
      <c r="I50" s="109">
        <f t="shared" ca="1" si="10"/>
        <v>1.0387206329712058</v>
      </c>
      <c r="J50" s="109">
        <f t="shared" ca="1" si="10"/>
        <v>1.0453182952830957</v>
      </c>
      <c r="K50" s="109">
        <f t="shared" ca="1" si="10"/>
        <v>1.0519578640966956</v>
      </c>
      <c r="L50" s="109">
        <f t="shared" ca="1" si="10"/>
        <v>1.058639605590358</v>
      </c>
      <c r="M50" s="109">
        <f t="shared" ca="1" si="10"/>
        <v>1.0653637876331259</v>
      </c>
      <c r="N50" s="109">
        <f t="shared" ca="1" si="10"/>
        <v>1.0721306797954713</v>
      </c>
      <c r="O50" s="109">
        <f t="shared" ca="1" si="10"/>
        <v>1.0789405533601024</v>
      </c>
      <c r="P50" s="109">
        <f t="shared" ca="1" si="10"/>
        <v>1.0857936813328388</v>
      </c>
      <c r="Q50" s="109">
        <f t="shared" ca="1" si="10"/>
        <v>1.0926903384535571</v>
      </c>
      <c r="R50" s="109">
        <f t="shared" ca="1" si="10"/>
        <v>1.0996308012072042</v>
      </c>
      <c r="S50" s="109">
        <f t="shared" ca="1" si="10"/>
        <v>1.1066153478348817</v>
      </c>
      <c r="T50" s="109">
        <f t="shared" ca="1" si="10"/>
        <v>1.113644258345001</v>
      </c>
      <c r="U50" s="109">
        <f t="shared" ca="1" si="10"/>
        <v>1.1207178145245085</v>
      </c>
      <c r="V50" s="109">
        <f t="shared" ca="1" si="10"/>
        <v>1.1278362999501821</v>
      </c>
      <c r="W50" s="109">
        <f t="shared" ca="1" si="10"/>
        <v>1.135</v>
      </c>
      <c r="X50" s="109">
        <f t="shared" ca="1" si="13"/>
        <v>1.1422092018645813</v>
      </c>
      <c r="Y50" s="109">
        <f t="shared" ca="1" si="13"/>
        <v>1.1494641945586994</v>
      </c>
      <c r="Z50" s="109">
        <f t="shared" ca="1" si="11"/>
        <v>1.1567652689328685</v>
      </c>
      <c r="AA50" s="109">
        <f t="shared" ca="1" si="11"/>
        <v>1.1641127176850039</v>
      </c>
    </row>
    <row r="51" spans="1:27" x14ac:dyDescent="0.25">
      <c r="A51" s="102" t="s">
        <v>55</v>
      </c>
      <c r="B51" s="108">
        <f ca="1">'Stochastic Inputs'!K38</f>
        <v>1.1099999999999999</v>
      </c>
      <c r="C51" s="109">
        <f t="shared" ca="1" si="12"/>
        <v>1</v>
      </c>
      <c r="D51" s="109">
        <f t="shared" ca="1" si="12"/>
        <v>1.0052316382420121</v>
      </c>
      <c r="E51" s="109">
        <f t="shared" ca="1" si="10"/>
        <v>1.0104906465227195</v>
      </c>
      <c r="F51" s="109">
        <f t="shared" ca="1" si="10"/>
        <v>1.0157771680322631</v>
      </c>
      <c r="G51" s="109">
        <f t="shared" ca="1" si="10"/>
        <v>1.0210913467099034</v>
      </c>
      <c r="H51" s="109">
        <f t="shared" ca="1" si="10"/>
        <v>1.0264333272479387</v>
      </c>
      <c r="I51" s="109">
        <f t="shared" ca="1" si="10"/>
        <v>1.0318032550956446</v>
      </c>
      <c r="J51" s="109">
        <f t="shared" ca="1" si="10"/>
        <v>1.0372012764632355</v>
      </c>
      <c r="K51" s="109">
        <f t="shared" ca="1" si="10"/>
        <v>1.0426275383258443</v>
      </c>
      <c r="L51" s="109">
        <f t="shared" ca="1" si="10"/>
        <v>1.0480821884275247</v>
      </c>
      <c r="M51" s="109">
        <f t="shared" ca="1" si="10"/>
        <v>1.0535653752852738</v>
      </c>
      <c r="N51" s="109">
        <f t="shared" ca="1" si="10"/>
        <v>1.0590772481930761</v>
      </c>
      <c r="O51" s="109">
        <f t="shared" ca="1" si="10"/>
        <v>1.0646179572259677</v>
      </c>
      <c r="P51" s="109">
        <f t="shared" ca="1" si="10"/>
        <v>1.0701876532441239</v>
      </c>
      <c r="Q51" s="109">
        <f t="shared" ca="1" si="10"/>
        <v>1.0757864878969652</v>
      </c>
      <c r="R51" s="109">
        <f t="shared" ca="1" si="10"/>
        <v>1.0814146136272866</v>
      </c>
      <c r="S51" s="109">
        <f t="shared" ca="1" si="10"/>
        <v>1.08707218367541</v>
      </c>
      <c r="T51" s="109">
        <f t="shared" ca="1" si="10"/>
        <v>1.0927593520833538</v>
      </c>
      <c r="U51" s="109">
        <f t="shared" ca="1" si="10"/>
        <v>1.0984762736990294</v>
      </c>
      <c r="V51" s="109">
        <f t="shared" ca="1" si="10"/>
        <v>1.1042231041804562</v>
      </c>
      <c r="W51" s="109">
        <f t="shared" ca="1" si="10"/>
        <v>1.1099999999999999</v>
      </c>
      <c r="X51" s="109">
        <f t="shared" ca="1" si="13"/>
        <v>1.1158071184486333</v>
      </c>
      <c r="Y51" s="109">
        <f t="shared" ca="1" si="13"/>
        <v>1.1216446176402184</v>
      </c>
      <c r="Z51" s="109">
        <f t="shared" ca="1" si="11"/>
        <v>1.127512656515812</v>
      </c>
      <c r="AA51" s="109">
        <f t="shared" ca="1" si="11"/>
        <v>1.1334113948479927</v>
      </c>
    </row>
    <row r="52" spans="1:27" x14ac:dyDescent="0.25">
      <c r="A52" s="102" t="s">
        <v>56</v>
      </c>
      <c r="B52" s="108">
        <f ca="1">'Stochastic Inputs'!K39</f>
        <v>1.1099999999999999</v>
      </c>
      <c r="C52" s="109">
        <f t="shared" ca="1" si="12"/>
        <v>1</v>
      </c>
      <c r="D52" s="109">
        <f t="shared" ca="1" si="12"/>
        <v>1.0052316382420121</v>
      </c>
      <c r="E52" s="109">
        <f t="shared" ca="1" si="10"/>
        <v>1.0104906465227195</v>
      </c>
      <c r="F52" s="109">
        <f t="shared" ca="1" si="10"/>
        <v>1.0157771680322631</v>
      </c>
      <c r="G52" s="109">
        <f t="shared" ca="1" si="10"/>
        <v>1.0210913467099034</v>
      </c>
      <c r="H52" s="109">
        <f t="shared" ca="1" si="10"/>
        <v>1.0264333272479387</v>
      </c>
      <c r="I52" s="109">
        <f t="shared" ca="1" si="10"/>
        <v>1.0318032550956446</v>
      </c>
      <c r="J52" s="109">
        <f t="shared" ca="1" si="10"/>
        <v>1.0372012764632355</v>
      </c>
      <c r="K52" s="109">
        <f t="shared" ca="1" si="10"/>
        <v>1.0426275383258443</v>
      </c>
      <c r="L52" s="109">
        <f t="shared" ca="1" si="10"/>
        <v>1.0480821884275247</v>
      </c>
      <c r="M52" s="109">
        <f t="shared" ca="1" si="10"/>
        <v>1.0535653752852738</v>
      </c>
      <c r="N52" s="109">
        <f t="shared" ca="1" si="10"/>
        <v>1.0590772481930761</v>
      </c>
      <c r="O52" s="109">
        <f t="shared" ca="1" si="10"/>
        <v>1.0646179572259677</v>
      </c>
      <c r="P52" s="109">
        <f t="shared" ca="1" si="10"/>
        <v>1.0701876532441239</v>
      </c>
      <c r="Q52" s="109">
        <f t="shared" ca="1" si="10"/>
        <v>1.0757864878969652</v>
      </c>
      <c r="R52" s="109">
        <f t="shared" ca="1" si="10"/>
        <v>1.0814146136272866</v>
      </c>
      <c r="S52" s="109">
        <f t="shared" ca="1" si="10"/>
        <v>1.08707218367541</v>
      </c>
      <c r="T52" s="109">
        <f t="shared" ca="1" si="10"/>
        <v>1.0927593520833538</v>
      </c>
      <c r="U52" s="109">
        <f t="shared" ca="1" si="10"/>
        <v>1.0984762736990294</v>
      </c>
      <c r="V52" s="109">
        <f t="shared" ca="1" si="10"/>
        <v>1.1042231041804562</v>
      </c>
      <c r="W52" s="109">
        <f t="shared" ca="1" si="10"/>
        <v>1.1099999999999999</v>
      </c>
      <c r="X52" s="109">
        <f t="shared" ca="1" si="13"/>
        <v>1.1158071184486333</v>
      </c>
      <c r="Y52" s="109">
        <f t="shared" ca="1" si="13"/>
        <v>1.1216446176402184</v>
      </c>
      <c r="Z52" s="109">
        <f t="shared" ca="1" si="11"/>
        <v>1.127512656515812</v>
      </c>
      <c r="AA52" s="109">
        <f t="shared" ca="1" si="11"/>
        <v>1.1334113948479927</v>
      </c>
    </row>
    <row r="53" spans="1:27" x14ac:dyDescent="0.25">
      <c r="A53" s="102" t="s">
        <v>57</v>
      </c>
      <c r="B53" s="108">
        <f ca="1">'Stochastic Inputs'!K40</f>
        <v>1.08</v>
      </c>
      <c r="C53" s="109">
        <f t="shared" ca="1" si="12"/>
        <v>1</v>
      </c>
      <c r="D53" s="109">
        <f t="shared" ca="1" si="12"/>
        <v>1.0038554653149401</v>
      </c>
      <c r="E53" s="109">
        <f t="shared" ca="1" si="10"/>
        <v>1.0077257952426748</v>
      </c>
      <c r="F53" s="109">
        <f t="shared" ca="1" si="10"/>
        <v>1.0116110470932034</v>
      </c>
      <c r="G53" s="109">
        <f t="shared" ca="1" si="10"/>
        <v>1.0155112783974816</v>
      </c>
      <c r="H53" s="109">
        <f t="shared" ca="1" si="10"/>
        <v>1.0194265469082735</v>
      </c>
      <c r="I53" s="109">
        <f t="shared" ca="1" si="10"/>
        <v>1.0233569106010076</v>
      </c>
      <c r="J53" s="109">
        <f t="shared" ca="1" si="10"/>
        <v>1.0273024276746341</v>
      </c>
      <c r="K53" s="109">
        <f t="shared" ca="1" si="10"/>
        <v>1.0312631565524872</v>
      </c>
      <c r="L53" s="109">
        <f t="shared" ca="1" si="10"/>
        <v>1.0352391558831511</v>
      </c>
      <c r="M53" s="109">
        <f t="shared" ca="1" si="10"/>
        <v>1.0392304845413265</v>
      </c>
      <c r="N53" s="109">
        <f t="shared" ca="1" si="10"/>
        <v>1.0432372016287039</v>
      </c>
      <c r="O53" s="109">
        <f t="shared" ca="1" si="10"/>
        <v>1.0472593664748386</v>
      </c>
      <c r="P53" s="109">
        <f t="shared" ca="1" si="10"/>
        <v>1.0512970386380285</v>
      </c>
      <c r="Q53" s="109">
        <f t="shared" ca="1" si="10"/>
        <v>1.0553502779061965</v>
      </c>
      <c r="R53" s="109">
        <f t="shared" ca="1" si="10"/>
        <v>1.0594191442977763</v>
      </c>
      <c r="S53" s="109">
        <f t="shared" ca="1" si="10"/>
        <v>1.0635036980626</v>
      </c>
      <c r="T53" s="109">
        <f t="shared" ca="1" si="10"/>
        <v>1.0676039996827908</v>
      </c>
      <c r="U53" s="109">
        <f t="shared" ca="1" si="10"/>
        <v>1.0717201098736591</v>
      </c>
      <c r="V53" s="109">
        <f t="shared" ca="1" si="10"/>
        <v>1.0758520895846009</v>
      </c>
      <c r="W53" s="109">
        <f t="shared" ca="1" si="10"/>
        <v>1.08</v>
      </c>
      <c r="X53" s="109">
        <f t="shared" ca="1" si="13"/>
        <v>1.0841639025401353</v>
      </c>
      <c r="Y53" s="109">
        <f t="shared" ca="1" si="13"/>
        <v>1.0883438588620891</v>
      </c>
      <c r="Z53" s="109">
        <f t="shared" ca="1" si="11"/>
        <v>1.0925399308606598</v>
      </c>
      <c r="AA53" s="109">
        <f t="shared" ca="1" si="11"/>
        <v>1.0967521806692802</v>
      </c>
    </row>
    <row r="54" spans="1:27" x14ac:dyDescent="0.25">
      <c r="A54" s="102" t="s">
        <v>58</v>
      </c>
      <c r="B54" s="108">
        <f ca="1">'Stochastic Inputs'!K41</f>
        <v>1.08</v>
      </c>
      <c r="C54" s="109">
        <f t="shared" ca="1" si="12"/>
        <v>1</v>
      </c>
      <c r="D54" s="109">
        <f t="shared" ca="1" si="12"/>
        <v>1.0038554653149401</v>
      </c>
      <c r="E54" s="109">
        <f t="shared" ca="1" si="10"/>
        <v>1.0077257952426748</v>
      </c>
      <c r="F54" s="109">
        <f t="shared" ca="1" si="10"/>
        <v>1.0116110470932034</v>
      </c>
      <c r="G54" s="109">
        <f t="shared" ca="1" si="10"/>
        <v>1.0155112783974816</v>
      </c>
      <c r="H54" s="109">
        <f t="shared" ca="1" si="10"/>
        <v>1.0194265469082735</v>
      </c>
      <c r="I54" s="109">
        <f t="shared" ca="1" si="10"/>
        <v>1.0233569106010076</v>
      </c>
      <c r="J54" s="109">
        <f t="shared" ca="1" si="10"/>
        <v>1.0273024276746341</v>
      </c>
      <c r="K54" s="109">
        <f t="shared" ca="1" si="10"/>
        <v>1.0312631565524872</v>
      </c>
      <c r="L54" s="109">
        <f t="shared" ca="1" si="10"/>
        <v>1.0352391558831511</v>
      </c>
      <c r="M54" s="109">
        <f t="shared" ca="1" si="10"/>
        <v>1.0392304845413265</v>
      </c>
      <c r="N54" s="109">
        <f t="shared" ca="1" si="10"/>
        <v>1.0432372016287039</v>
      </c>
      <c r="O54" s="109">
        <f t="shared" ca="1" si="10"/>
        <v>1.0472593664748386</v>
      </c>
      <c r="P54" s="109">
        <f t="shared" ca="1" si="10"/>
        <v>1.0512970386380285</v>
      </c>
      <c r="Q54" s="109">
        <f t="shared" ca="1" si="10"/>
        <v>1.0553502779061965</v>
      </c>
      <c r="R54" s="109">
        <f t="shared" ca="1" si="10"/>
        <v>1.0594191442977763</v>
      </c>
      <c r="S54" s="109">
        <f t="shared" ca="1" si="10"/>
        <v>1.0635036980626</v>
      </c>
      <c r="T54" s="109">
        <f t="shared" ca="1" si="10"/>
        <v>1.0676039996827908</v>
      </c>
      <c r="U54" s="109">
        <f t="shared" ca="1" si="10"/>
        <v>1.0717201098736591</v>
      </c>
      <c r="V54" s="109">
        <f t="shared" ca="1" si="10"/>
        <v>1.0758520895846009</v>
      </c>
      <c r="W54" s="109">
        <f t="shared" ca="1" si="10"/>
        <v>1.08</v>
      </c>
      <c r="X54" s="109">
        <f t="shared" ca="1" si="13"/>
        <v>1.0841639025401353</v>
      </c>
      <c r="Y54" s="109">
        <f t="shared" ca="1" si="13"/>
        <v>1.0883438588620891</v>
      </c>
      <c r="Z54" s="109">
        <f t="shared" ca="1" si="11"/>
        <v>1.0925399308606598</v>
      </c>
      <c r="AA54" s="109">
        <f t="shared" ca="1" si="11"/>
        <v>1.0967521806692802</v>
      </c>
    </row>
    <row r="55" spans="1:27" x14ac:dyDescent="0.25">
      <c r="A55" s="102" t="s">
        <v>59</v>
      </c>
      <c r="B55" s="108">
        <f ca="1">'Stochastic Inputs'!K42</f>
        <v>1.08</v>
      </c>
      <c r="C55" s="109">
        <f t="shared" ca="1" si="12"/>
        <v>1</v>
      </c>
      <c r="D55" s="109">
        <f t="shared" ca="1" si="12"/>
        <v>1.0038554653149401</v>
      </c>
      <c r="E55" s="109">
        <f t="shared" ca="1" si="10"/>
        <v>1.0077257952426748</v>
      </c>
      <c r="F55" s="109">
        <f t="shared" ca="1" si="10"/>
        <v>1.0116110470932034</v>
      </c>
      <c r="G55" s="109">
        <f t="shared" ca="1" si="10"/>
        <v>1.0155112783974816</v>
      </c>
      <c r="H55" s="109">
        <f t="shared" ref="H55:W55" ca="1" si="14">$B55^(H$3/2)</f>
        <v>1.0194265469082735</v>
      </c>
      <c r="I55" s="109">
        <f t="shared" ca="1" si="14"/>
        <v>1.0233569106010076</v>
      </c>
      <c r="J55" s="109">
        <f t="shared" ca="1" si="14"/>
        <v>1.0273024276746341</v>
      </c>
      <c r="K55" s="109">
        <f t="shared" ca="1" si="14"/>
        <v>1.0312631565524872</v>
      </c>
      <c r="L55" s="109">
        <f t="shared" ca="1" si="14"/>
        <v>1.0352391558831511</v>
      </c>
      <c r="M55" s="109">
        <f t="shared" ca="1" si="14"/>
        <v>1.0392304845413265</v>
      </c>
      <c r="N55" s="109">
        <f t="shared" ca="1" si="14"/>
        <v>1.0432372016287039</v>
      </c>
      <c r="O55" s="109">
        <f t="shared" ca="1" si="14"/>
        <v>1.0472593664748386</v>
      </c>
      <c r="P55" s="109">
        <f t="shared" ca="1" si="14"/>
        <v>1.0512970386380285</v>
      </c>
      <c r="Q55" s="109">
        <f t="shared" ca="1" si="14"/>
        <v>1.0553502779061965</v>
      </c>
      <c r="R55" s="109">
        <f t="shared" ca="1" si="14"/>
        <v>1.0594191442977763</v>
      </c>
      <c r="S55" s="109">
        <f t="shared" ca="1" si="14"/>
        <v>1.0635036980626</v>
      </c>
      <c r="T55" s="109">
        <f t="shared" ca="1" si="14"/>
        <v>1.0676039996827908</v>
      </c>
      <c r="U55" s="109">
        <f t="shared" ca="1" si="14"/>
        <v>1.0717201098736591</v>
      </c>
      <c r="V55" s="109">
        <f t="shared" ca="1" si="14"/>
        <v>1.0758520895846009</v>
      </c>
      <c r="W55" s="109">
        <f t="shared" ca="1" si="14"/>
        <v>1.08</v>
      </c>
      <c r="X55" s="109">
        <f t="shared" ca="1" si="13"/>
        <v>1.0841639025401353</v>
      </c>
      <c r="Y55" s="109">
        <f t="shared" ca="1" si="13"/>
        <v>1.0883438588620891</v>
      </c>
      <c r="Z55" s="109">
        <f t="shared" ca="1" si="11"/>
        <v>1.0925399308606598</v>
      </c>
      <c r="AA55" s="109">
        <f t="shared" ca="1" si="11"/>
        <v>1.0967521806692802</v>
      </c>
    </row>
    <row r="56" spans="1:27" x14ac:dyDescent="0.25">
      <c r="A56" s="102"/>
      <c r="B56" s="106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</row>
    <row r="57" spans="1:27" x14ac:dyDescent="0.25">
      <c r="A57" s="102"/>
      <c r="B57" s="241">
        <v>0</v>
      </c>
      <c r="C57" s="241">
        <v>0.1</v>
      </c>
      <c r="D57" s="241">
        <v>0.2</v>
      </c>
      <c r="E57" s="241">
        <v>0.3</v>
      </c>
      <c r="F57" s="241">
        <v>0.4</v>
      </c>
      <c r="G57" s="241">
        <v>0.5</v>
      </c>
      <c r="H57" s="241">
        <v>0.6</v>
      </c>
      <c r="I57" s="241">
        <v>0.7</v>
      </c>
      <c r="J57" s="241">
        <v>0.8</v>
      </c>
      <c r="K57" s="241">
        <v>0.9</v>
      </c>
      <c r="L57" s="241">
        <v>1</v>
      </c>
      <c r="M57" s="241">
        <v>1.1000000000000001</v>
      </c>
      <c r="N57" s="241">
        <v>1.2</v>
      </c>
      <c r="O57" s="241">
        <v>1.3</v>
      </c>
      <c r="P57" s="241">
        <v>1.4</v>
      </c>
      <c r="Q57" s="241">
        <v>1.5</v>
      </c>
      <c r="R57" s="241">
        <v>1.6</v>
      </c>
      <c r="S57" s="241">
        <v>1.7</v>
      </c>
      <c r="T57" s="241">
        <v>1.8</v>
      </c>
      <c r="U57" s="241">
        <v>1.9</v>
      </c>
      <c r="V57" s="241">
        <v>2</v>
      </c>
      <c r="W57" s="241">
        <v>2.1</v>
      </c>
      <c r="X57" s="241">
        <v>2.2000000000000002</v>
      </c>
      <c r="Y57" s="241">
        <v>2.2999999999999998</v>
      </c>
      <c r="Z57" s="241">
        <v>2.4</v>
      </c>
      <c r="AA57" s="111"/>
    </row>
    <row r="58" spans="1:27" x14ac:dyDescent="0.25">
      <c r="A58" s="102" t="s">
        <v>60</v>
      </c>
      <c r="B58" s="108">
        <f ca="1">'Stochastic Inputs'!K43</f>
        <v>0.999999999985</v>
      </c>
      <c r="C58" s="109">
        <f ca="1">$B58^(C$3/2)</f>
        <v>1</v>
      </c>
      <c r="D58" s="109">
        <f ca="1">$B58^(D$3/2)</f>
        <v>0.99999999999925004</v>
      </c>
      <c r="E58" s="109">
        <f t="shared" ref="E58:W72" ca="1" si="15">$B58^(E$3/2)</f>
        <v>0.99999999999849998</v>
      </c>
      <c r="F58" s="109">
        <f t="shared" ca="1" si="15"/>
        <v>0.99999999999775002</v>
      </c>
      <c r="G58" s="109">
        <f t="shared" ca="1" si="15"/>
        <v>0.99999999999699996</v>
      </c>
      <c r="H58" s="109">
        <f t="shared" ca="1" si="15"/>
        <v>0.99999999999625</v>
      </c>
      <c r="I58" s="109">
        <f t="shared" ca="1" si="15"/>
        <v>0.99999999999550004</v>
      </c>
      <c r="J58" s="109">
        <f t="shared" ca="1" si="15"/>
        <v>0.99999999999474998</v>
      </c>
      <c r="K58" s="109">
        <f t="shared" ca="1" si="15"/>
        <v>0.99999999999400002</v>
      </c>
      <c r="L58" s="109">
        <f t="shared" ca="1" si="15"/>
        <v>0.99999999999324996</v>
      </c>
      <c r="M58" s="109">
        <f t="shared" ca="1" si="15"/>
        <v>0.9999999999925</v>
      </c>
      <c r="N58" s="109">
        <f t="shared" ca="1" si="15"/>
        <v>0.99999999999175004</v>
      </c>
      <c r="O58" s="109">
        <f t="shared" ca="1" si="15"/>
        <v>0.99999999999099998</v>
      </c>
      <c r="P58" s="109">
        <f t="shared" ca="1" si="15"/>
        <v>0.99999999999025002</v>
      </c>
      <c r="Q58" s="109">
        <f t="shared" ca="1" si="15"/>
        <v>0.99999999998949995</v>
      </c>
      <c r="R58" s="109">
        <f t="shared" ca="1" si="15"/>
        <v>0.99999999998875</v>
      </c>
      <c r="S58" s="109">
        <f t="shared" ca="1" si="15"/>
        <v>0.99999999998800004</v>
      </c>
      <c r="T58" s="109">
        <f t="shared" ca="1" si="15"/>
        <v>0.99999999998724998</v>
      </c>
      <c r="U58" s="109">
        <f t="shared" ca="1" si="15"/>
        <v>0.99999999998650002</v>
      </c>
      <c r="V58" s="109">
        <f t="shared" ca="1" si="15"/>
        <v>0.99999999998574995</v>
      </c>
      <c r="W58" s="109">
        <f t="shared" ca="1" si="15"/>
        <v>0.999999999985</v>
      </c>
      <c r="X58" s="109">
        <f ca="1">$B58^(X$3/2)</f>
        <v>0.99999999998425004</v>
      </c>
      <c r="Y58" s="109">
        <f ca="1">$B58^(Y$3/2)</f>
        <v>0.99999999998349998</v>
      </c>
      <c r="Z58" s="109">
        <f t="shared" ref="Z58:AA72" ca="1" si="16">$B58^(Z$3/2)</f>
        <v>0.99999999998275002</v>
      </c>
      <c r="AA58" s="109">
        <f t="shared" ca="1" si="16"/>
        <v>0.99999999998199995</v>
      </c>
    </row>
    <row r="59" spans="1:27" x14ac:dyDescent="0.25">
      <c r="A59" s="102" t="s">
        <v>61</v>
      </c>
      <c r="B59" s="108">
        <f ca="1">'Stochastic Inputs'!K44</f>
        <v>0.999999999985</v>
      </c>
      <c r="C59" s="109">
        <f t="shared" ref="C59:R72" ca="1" si="17">$B59^(C$3/2)</f>
        <v>1</v>
      </c>
      <c r="D59" s="109">
        <f t="shared" ca="1" si="17"/>
        <v>0.99999999999925004</v>
      </c>
      <c r="E59" s="109">
        <f t="shared" ca="1" si="17"/>
        <v>0.99999999999849998</v>
      </c>
      <c r="F59" s="109">
        <f t="shared" ca="1" si="17"/>
        <v>0.99999999999775002</v>
      </c>
      <c r="G59" s="109">
        <f t="shared" ca="1" si="17"/>
        <v>0.99999999999699996</v>
      </c>
      <c r="H59" s="109">
        <f t="shared" ca="1" si="17"/>
        <v>0.99999999999625</v>
      </c>
      <c r="I59" s="109">
        <f t="shared" ca="1" si="17"/>
        <v>0.99999999999550004</v>
      </c>
      <c r="J59" s="109">
        <f t="shared" ca="1" si="17"/>
        <v>0.99999999999474998</v>
      </c>
      <c r="K59" s="109">
        <f t="shared" ca="1" si="17"/>
        <v>0.99999999999400002</v>
      </c>
      <c r="L59" s="109">
        <f t="shared" ca="1" si="17"/>
        <v>0.99999999999324996</v>
      </c>
      <c r="M59" s="109">
        <f t="shared" ca="1" si="17"/>
        <v>0.9999999999925</v>
      </c>
      <c r="N59" s="109">
        <f t="shared" ca="1" si="17"/>
        <v>0.99999999999175004</v>
      </c>
      <c r="O59" s="109">
        <f t="shared" ca="1" si="17"/>
        <v>0.99999999999099998</v>
      </c>
      <c r="P59" s="109">
        <f t="shared" ca="1" si="17"/>
        <v>0.99999999999025002</v>
      </c>
      <c r="Q59" s="109">
        <f t="shared" ca="1" si="17"/>
        <v>0.99999999998949995</v>
      </c>
      <c r="R59" s="109">
        <f t="shared" ca="1" si="17"/>
        <v>0.99999999998875</v>
      </c>
      <c r="S59" s="109">
        <f t="shared" ca="1" si="15"/>
        <v>0.99999999998800004</v>
      </c>
      <c r="T59" s="109">
        <f t="shared" ca="1" si="15"/>
        <v>0.99999999998724998</v>
      </c>
      <c r="U59" s="109">
        <f t="shared" ca="1" si="15"/>
        <v>0.99999999998650002</v>
      </c>
      <c r="V59" s="109">
        <f t="shared" ca="1" si="15"/>
        <v>0.99999999998574995</v>
      </c>
      <c r="W59" s="109">
        <f t="shared" ca="1" si="15"/>
        <v>0.999999999985</v>
      </c>
      <c r="X59" s="109">
        <f t="shared" ref="X59:AA72" ca="1" si="18">$B59^(X$3/2)</f>
        <v>0.99999999998425004</v>
      </c>
      <c r="Y59" s="109">
        <f t="shared" ca="1" si="18"/>
        <v>0.99999999998349998</v>
      </c>
      <c r="Z59" s="109">
        <f t="shared" ca="1" si="18"/>
        <v>0.99999999998275002</v>
      </c>
      <c r="AA59" s="109">
        <f t="shared" ca="1" si="18"/>
        <v>0.99999999998199995</v>
      </c>
    </row>
    <row r="60" spans="1:27" x14ac:dyDescent="0.25">
      <c r="A60" s="102" t="s">
        <v>62</v>
      </c>
      <c r="B60" s="108">
        <f ca="1">'Stochastic Inputs'!K45</f>
        <v>1.2108333333333334</v>
      </c>
      <c r="C60" s="109">
        <f t="shared" ca="1" si="17"/>
        <v>1</v>
      </c>
      <c r="D60" s="109">
        <f t="shared" ca="1" si="17"/>
        <v>1.0096113364429589</v>
      </c>
      <c r="E60" s="109">
        <f t="shared" ca="1" si="15"/>
        <v>1.0193150506741375</v>
      </c>
      <c r="F60" s="109">
        <f t="shared" ca="1" si="15"/>
        <v>1.0291120305675385</v>
      </c>
      <c r="G60" s="109">
        <f t="shared" ca="1" si="15"/>
        <v>1.0390031725308198</v>
      </c>
      <c r="H60" s="109">
        <f t="shared" ca="1" si="15"/>
        <v>1.048989381587315</v>
      </c>
      <c r="I60" s="109">
        <f t="shared" ca="1" si="15"/>
        <v>1.0590715714588421</v>
      </c>
      <c r="J60" s="109">
        <f t="shared" ca="1" si="15"/>
        <v>1.0692506646493063</v>
      </c>
      <c r="K60" s="109">
        <f t="shared" ca="1" si="15"/>
        <v>1.0795275925291081</v>
      </c>
      <c r="L60" s="109">
        <f t="shared" ca="1" si="15"/>
        <v>1.0899032954203629</v>
      </c>
      <c r="M60" s="109">
        <f t="shared" ca="1" si="15"/>
        <v>1.1003787226829376</v>
      </c>
      <c r="N60" s="109">
        <f t="shared" ca="1" si="15"/>
        <v>1.1109548328013168</v>
      </c>
      <c r="O60" s="109">
        <f t="shared" ca="1" si="15"/>
        <v>1.1216325934723015</v>
      </c>
      <c r="P60" s="109">
        <f t="shared" ca="1" si="15"/>
        <v>1.1324129816935522</v>
      </c>
      <c r="Q60" s="109">
        <f t="shared" ca="1" si="15"/>
        <v>1.1432969838529832</v>
      </c>
      <c r="R60" s="109">
        <f t="shared" ca="1" si="15"/>
        <v>1.1542855958190144</v>
      </c>
      <c r="S60" s="109">
        <f t="shared" ca="1" si="15"/>
        <v>1.1653798230316923</v>
      </c>
      <c r="T60" s="109">
        <f t="shared" ca="1" si="15"/>
        <v>1.1765806805946857</v>
      </c>
      <c r="U60" s="109">
        <f t="shared" ca="1" si="15"/>
        <v>1.1878891933681668</v>
      </c>
      <c r="V60" s="109">
        <f t="shared" ca="1" si="15"/>
        <v>1.1993063960625834</v>
      </c>
      <c r="W60" s="109">
        <f t="shared" ca="1" si="15"/>
        <v>1.2108333333333334</v>
      </c>
      <c r="X60" s="109">
        <f t="shared" ca="1" si="18"/>
        <v>1.2224710598763495</v>
      </c>
      <c r="Y60" s="109">
        <f t="shared" ca="1" si="18"/>
        <v>1.2342206405246017</v>
      </c>
      <c r="Z60" s="109">
        <f t="shared" ca="1" si="16"/>
        <v>1.2460831503455279</v>
      </c>
      <c r="AA60" s="109">
        <f t="shared" ca="1" si="16"/>
        <v>1.2580596747394008</v>
      </c>
    </row>
    <row r="61" spans="1:27" x14ac:dyDescent="0.25">
      <c r="A61" s="102" t="s">
        <v>63</v>
      </c>
      <c r="B61" s="108">
        <f ca="1">'Stochastic Inputs'!K46</f>
        <v>1.2108333333333334</v>
      </c>
      <c r="C61" s="109">
        <f t="shared" ca="1" si="17"/>
        <v>1</v>
      </c>
      <c r="D61" s="109">
        <f t="shared" ca="1" si="17"/>
        <v>1.0096113364429589</v>
      </c>
      <c r="E61" s="109">
        <f t="shared" ca="1" si="15"/>
        <v>1.0193150506741375</v>
      </c>
      <c r="F61" s="109">
        <f t="shared" ca="1" si="15"/>
        <v>1.0291120305675385</v>
      </c>
      <c r="G61" s="109">
        <f t="shared" ca="1" si="15"/>
        <v>1.0390031725308198</v>
      </c>
      <c r="H61" s="109">
        <f t="shared" ca="1" si="15"/>
        <v>1.048989381587315</v>
      </c>
      <c r="I61" s="109">
        <f t="shared" ca="1" si="15"/>
        <v>1.0590715714588421</v>
      </c>
      <c r="J61" s="109">
        <f t="shared" ca="1" si="15"/>
        <v>1.0692506646493063</v>
      </c>
      <c r="K61" s="109">
        <f t="shared" ca="1" si="15"/>
        <v>1.0795275925291081</v>
      </c>
      <c r="L61" s="109">
        <f t="shared" ca="1" si="15"/>
        <v>1.0899032954203629</v>
      </c>
      <c r="M61" s="109">
        <f t="shared" ca="1" si="15"/>
        <v>1.1003787226829376</v>
      </c>
      <c r="N61" s="109">
        <f t="shared" ca="1" si="15"/>
        <v>1.1109548328013168</v>
      </c>
      <c r="O61" s="109">
        <f t="shared" ca="1" si="15"/>
        <v>1.1216325934723015</v>
      </c>
      <c r="P61" s="109">
        <f t="shared" ca="1" si="15"/>
        <v>1.1324129816935522</v>
      </c>
      <c r="Q61" s="109">
        <f t="shared" ca="1" si="15"/>
        <v>1.1432969838529832</v>
      </c>
      <c r="R61" s="109">
        <f t="shared" ca="1" si="15"/>
        <v>1.1542855958190144</v>
      </c>
      <c r="S61" s="109">
        <f t="shared" ca="1" si="15"/>
        <v>1.1653798230316923</v>
      </c>
      <c r="T61" s="109">
        <f t="shared" ca="1" si="15"/>
        <v>1.1765806805946857</v>
      </c>
      <c r="U61" s="109">
        <f t="shared" ca="1" si="15"/>
        <v>1.1878891933681668</v>
      </c>
      <c r="V61" s="109">
        <f t="shared" ca="1" si="15"/>
        <v>1.1993063960625834</v>
      </c>
      <c r="W61" s="109">
        <f t="shared" ca="1" si="15"/>
        <v>1.2108333333333334</v>
      </c>
      <c r="X61" s="109">
        <f t="shared" ca="1" si="18"/>
        <v>1.2224710598763495</v>
      </c>
      <c r="Y61" s="109">
        <f t="shared" ca="1" si="18"/>
        <v>1.2342206405246017</v>
      </c>
      <c r="Z61" s="109">
        <f t="shared" ca="1" si="16"/>
        <v>1.2460831503455279</v>
      </c>
      <c r="AA61" s="109">
        <f t="shared" ca="1" si="16"/>
        <v>1.2580596747394008</v>
      </c>
    </row>
    <row r="62" spans="1:27" x14ac:dyDescent="0.25">
      <c r="A62" s="102" t="s">
        <v>64</v>
      </c>
      <c r="B62" s="108">
        <f ca="1">'Stochastic Inputs'!K47</f>
        <v>1.2008333333333334</v>
      </c>
      <c r="C62" s="109">
        <f t="shared" ca="1" si="17"/>
        <v>1</v>
      </c>
      <c r="D62" s="109">
        <f t="shared" ca="1" si="17"/>
        <v>1.0091927844742836</v>
      </c>
      <c r="E62" s="109">
        <f t="shared" ca="1" si="15"/>
        <v>1.0184700762349577</v>
      </c>
      <c r="F62" s="109">
        <f t="shared" ca="1" si="15"/>
        <v>1.0278326521392929</v>
      </c>
      <c r="G62" s="109">
        <f t="shared" ca="1" si="15"/>
        <v>1.0372812961860407</v>
      </c>
      <c r="H62" s="109">
        <f t="shared" ca="1" si="15"/>
        <v>1.0468167995810844</v>
      </c>
      <c r="I62" s="109">
        <f t="shared" ca="1" si="15"/>
        <v>1.0564399608036925</v>
      </c>
      <c r="J62" s="109">
        <f t="shared" ca="1" si="15"/>
        <v>1.0661515856733814</v>
      </c>
      <c r="K62" s="109">
        <f t="shared" ca="1" si="15"/>
        <v>1.0759524874173925</v>
      </c>
      <c r="L62" s="109">
        <f t="shared" ca="1" si="15"/>
        <v>1.0858434867387898</v>
      </c>
      <c r="M62" s="109">
        <f t="shared" ca="1" si="15"/>
        <v>1.095825411885184</v>
      </c>
      <c r="N62" s="109">
        <f t="shared" ca="1" si="15"/>
        <v>1.1058990987180877</v>
      </c>
      <c r="O62" s="109">
        <f t="shared" ca="1" si="15"/>
        <v>1.1160653907829075</v>
      </c>
      <c r="P62" s="109">
        <f t="shared" ca="1" si="15"/>
        <v>1.1263251393795817</v>
      </c>
      <c r="Q62" s="109">
        <f t="shared" ca="1" si="15"/>
        <v>1.1366792036338655</v>
      </c>
      <c r="R62" s="109">
        <f t="shared" ca="1" si="15"/>
        <v>1.147128450569272</v>
      </c>
      <c r="S62" s="109">
        <f t="shared" ca="1" si="15"/>
        <v>1.1576737551796741</v>
      </c>
      <c r="T62" s="109">
        <f t="shared" ca="1" si="15"/>
        <v>1.1683160005025754</v>
      </c>
      <c r="U62" s="109">
        <f t="shared" ca="1" si="15"/>
        <v>1.1790560776930525</v>
      </c>
      <c r="V62" s="109">
        <f t="shared" ca="1" si="15"/>
        <v>1.1898948860983789</v>
      </c>
      <c r="W62" s="109">
        <f t="shared" ca="1" si="15"/>
        <v>1.2008333333333334</v>
      </c>
      <c r="X62" s="109">
        <f t="shared" ca="1" si="18"/>
        <v>1.2118723353562022</v>
      </c>
      <c r="Y62" s="109">
        <f t="shared" ca="1" si="18"/>
        <v>1.2230128165454786</v>
      </c>
      <c r="Z62" s="109">
        <f t="shared" ca="1" si="16"/>
        <v>1.2342557097772675</v>
      </c>
      <c r="AA62" s="109">
        <f t="shared" ca="1" si="16"/>
        <v>1.2456019565034038</v>
      </c>
    </row>
    <row r="63" spans="1:27" x14ac:dyDescent="0.25">
      <c r="A63" s="102" t="s">
        <v>65</v>
      </c>
      <c r="B63" s="108">
        <f ca="1">'Stochastic Inputs'!K48</f>
        <v>1.2008333333333334</v>
      </c>
      <c r="C63" s="109">
        <f t="shared" ca="1" si="17"/>
        <v>1</v>
      </c>
      <c r="D63" s="109">
        <f t="shared" ca="1" si="17"/>
        <v>1.0091927844742836</v>
      </c>
      <c r="E63" s="109">
        <f t="shared" ca="1" si="15"/>
        <v>1.0184700762349577</v>
      </c>
      <c r="F63" s="109">
        <f t="shared" ca="1" si="15"/>
        <v>1.0278326521392929</v>
      </c>
      <c r="G63" s="109">
        <f t="shared" ca="1" si="15"/>
        <v>1.0372812961860407</v>
      </c>
      <c r="H63" s="109">
        <f t="shared" ca="1" si="15"/>
        <v>1.0468167995810844</v>
      </c>
      <c r="I63" s="109">
        <f t="shared" ca="1" si="15"/>
        <v>1.0564399608036925</v>
      </c>
      <c r="J63" s="109">
        <f t="shared" ca="1" si="15"/>
        <v>1.0661515856733814</v>
      </c>
      <c r="K63" s="109">
        <f t="shared" ca="1" si="15"/>
        <v>1.0759524874173925</v>
      </c>
      <c r="L63" s="109">
        <f t="shared" ca="1" si="15"/>
        <v>1.0858434867387898</v>
      </c>
      <c r="M63" s="109">
        <f t="shared" ca="1" si="15"/>
        <v>1.095825411885184</v>
      </c>
      <c r="N63" s="109">
        <f t="shared" ca="1" si="15"/>
        <v>1.1058990987180877</v>
      </c>
      <c r="O63" s="109">
        <f t="shared" ca="1" si="15"/>
        <v>1.1160653907829075</v>
      </c>
      <c r="P63" s="109">
        <f t="shared" ca="1" si="15"/>
        <v>1.1263251393795817</v>
      </c>
      <c r="Q63" s="109">
        <f t="shared" ca="1" si="15"/>
        <v>1.1366792036338655</v>
      </c>
      <c r="R63" s="109">
        <f t="shared" ca="1" si="15"/>
        <v>1.147128450569272</v>
      </c>
      <c r="S63" s="109">
        <f t="shared" ca="1" si="15"/>
        <v>1.1576737551796741</v>
      </c>
      <c r="T63" s="109">
        <f t="shared" ca="1" si="15"/>
        <v>1.1683160005025754</v>
      </c>
      <c r="U63" s="109">
        <f t="shared" ca="1" si="15"/>
        <v>1.1790560776930525</v>
      </c>
      <c r="V63" s="109">
        <f t="shared" ca="1" si="15"/>
        <v>1.1898948860983789</v>
      </c>
      <c r="W63" s="109">
        <f t="shared" ca="1" si="15"/>
        <v>1.2008333333333334</v>
      </c>
      <c r="X63" s="109">
        <f t="shared" ca="1" si="18"/>
        <v>1.2118723353562022</v>
      </c>
      <c r="Y63" s="109">
        <f t="shared" ca="1" si="18"/>
        <v>1.2230128165454786</v>
      </c>
      <c r="Z63" s="109">
        <f t="shared" ca="1" si="16"/>
        <v>1.2342557097772675</v>
      </c>
      <c r="AA63" s="109">
        <f t="shared" ca="1" si="16"/>
        <v>1.2456019565034038</v>
      </c>
    </row>
    <row r="64" spans="1:27" x14ac:dyDescent="0.25">
      <c r="A64" s="102" t="s">
        <v>66</v>
      </c>
      <c r="B64" s="108">
        <f ca="1">'Stochastic Inputs'!K49</f>
        <v>1.1658333333333333</v>
      </c>
      <c r="C64" s="109">
        <f t="shared" ca="1" si="17"/>
        <v>1</v>
      </c>
      <c r="D64" s="109">
        <f t="shared" ca="1" si="17"/>
        <v>1.007701310656032</v>
      </c>
      <c r="E64" s="109">
        <f t="shared" ca="1" si="15"/>
        <v>1.0154619314978848</v>
      </c>
      <c r="F64" s="109">
        <f t="shared" ca="1" si="15"/>
        <v>1.0232823192917244</v>
      </c>
      <c r="G64" s="109">
        <f t="shared" ca="1" si="15"/>
        <v>1.0311629343214148</v>
      </c>
      <c r="H64" s="109">
        <f t="shared" ca="1" si="15"/>
        <v>1.0391042404156097</v>
      </c>
      <c r="I64" s="109">
        <f t="shared" ca="1" si="15"/>
        <v>1.0471067049750504</v>
      </c>
      <c r="J64" s="109">
        <f t="shared" ca="1" si="15"/>
        <v>1.0551707990000774</v>
      </c>
      <c r="K64" s="109">
        <f t="shared" ca="1" si="15"/>
        <v>1.0632969971183506</v>
      </c>
      <c r="L64" s="109">
        <f t="shared" ca="1" si="15"/>
        <v>1.0714857776127851</v>
      </c>
      <c r="M64" s="109">
        <f t="shared" ca="1" si="15"/>
        <v>1.0797376224497011</v>
      </c>
      <c r="N64" s="109">
        <f t="shared" ca="1" si="15"/>
        <v>1.0880530173071916</v>
      </c>
      <c r="O64" s="109">
        <f t="shared" ca="1" si="15"/>
        <v>1.0964324516037074</v>
      </c>
      <c r="P64" s="109">
        <f t="shared" ca="1" si="15"/>
        <v>1.1048764185268622</v>
      </c>
      <c r="Q64" s="109">
        <f t="shared" ca="1" si="15"/>
        <v>1.1133854150624618</v>
      </c>
      <c r="R64" s="109">
        <f t="shared" ca="1" si="15"/>
        <v>1.1219599420237529</v>
      </c>
      <c r="S64" s="109">
        <f t="shared" ca="1" si="15"/>
        <v>1.1306005040809015</v>
      </c>
      <c r="T64" s="109">
        <f t="shared" ca="1" si="15"/>
        <v>1.1393076097906951</v>
      </c>
      <c r="U64" s="109">
        <f t="shared" ca="1" si="15"/>
        <v>1.1480817716264746</v>
      </c>
      <c r="V64" s="109">
        <f t="shared" ca="1" si="15"/>
        <v>1.1569235060082976</v>
      </c>
      <c r="W64" s="109">
        <f t="shared" ca="1" si="15"/>
        <v>1.1658333333333333</v>
      </c>
      <c r="X64" s="109">
        <f t="shared" ca="1" si="18"/>
        <v>1.1748117780064906</v>
      </c>
      <c r="Y64" s="109">
        <f t="shared" ca="1" si="18"/>
        <v>1.1838593684712839</v>
      </c>
      <c r="Z64" s="109">
        <f t="shared" ca="1" si="16"/>
        <v>1.1929766372409352</v>
      </c>
      <c r="AA64" s="109">
        <f t="shared" ca="1" si="16"/>
        <v>1.202164120929716</v>
      </c>
    </row>
    <row r="65" spans="1:27" x14ac:dyDescent="0.25">
      <c r="A65" s="102" t="s">
        <v>67</v>
      </c>
      <c r="B65" s="108">
        <f ca="1">'Stochastic Inputs'!K50</f>
        <v>1.1658333333333333</v>
      </c>
      <c r="C65" s="109">
        <f t="shared" ca="1" si="17"/>
        <v>1</v>
      </c>
      <c r="D65" s="109">
        <f t="shared" ca="1" si="17"/>
        <v>1.007701310656032</v>
      </c>
      <c r="E65" s="109">
        <f t="shared" ca="1" si="15"/>
        <v>1.0154619314978848</v>
      </c>
      <c r="F65" s="109">
        <f t="shared" ca="1" si="15"/>
        <v>1.0232823192917244</v>
      </c>
      <c r="G65" s="109">
        <f t="shared" ca="1" si="15"/>
        <v>1.0311629343214148</v>
      </c>
      <c r="H65" s="109">
        <f t="shared" ca="1" si="15"/>
        <v>1.0391042404156097</v>
      </c>
      <c r="I65" s="109">
        <f t="shared" ca="1" si="15"/>
        <v>1.0471067049750504</v>
      </c>
      <c r="J65" s="109">
        <f t="shared" ca="1" si="15"/>
        <v>1.0551707990000774</v>
      </c>
      <c r="K65" s="109">
        <f t="shared" ca="1" si="15"/>
        <v>1.0632969971183506</v>
      </c>
      <c r="L65" s="109">
        <f t="shared" ca="1" si="15"/>
        <v>1.0714857776127851</v>
      </c>
      <c r="M65" s="109">
        <f t="shared" ca="1" si="15"/>
        <v>1.0797376224497011</v>
      </c>
      <c r="N65" s="109">
        <f t="shared" ca="1" si="15"/>
        <v>1.0880530173071916</v>
      </c>
      <c r="O65" s="109">
        <f t="shared" ca="1" si="15"/>
        <v>1.0964324516037074</v>
      </c>
      <c r="P65" s="109">
        <f t="shared" ca="1" si="15"/>
        <v>1.1048764185268622</v>
      </c>
      <c r="Q65" s="109">
        <f t="shared" ca="1" si="15"/>
        <v>1.1133854150624618</v>
      </c>
      <c r="R65" s="109">
        <f t="shared" ca="1" si="15"/>
        <v>1.1219599420237529</v>
      </c>
      <c r="S65" s="109">
        <f t="shared" ca="1" si="15"/>
        <v>1.1306005040809015</v>
      </c>
      <c r="T65" s="109">
        <f t="shared" ca="1" si="15"/>
        <v>1.1393076097906951</v>
      </c>
      <c r="U65" s="109">
        <f t="shared" ca="1" si="15"/>
        <v>1.1480817716264746</v>
      </c>
      <c r="V65" s="109">
        <f t="shared" ca="1" si="15"/>
        <v>1.1569235060082976</v>
      </c>
      <c r="W65" s="109">
        <f t="shared" ca="1" si="15"/>
        <v>1.1658333333333333</v>
      </c>
      <c r="X65" s="109">
        <f t="shared" ca="1" si="18"/>
        <v>1.1748117780064906</v>
      </c>
      <c r="Y65" s="109">
        <f t="shared" ca="1" si="18"/>
        <v>1.1838593684712839</v>
      </c>
      <c r="Z65" s="109">
        <f t="shared" ca="1" si="16"/>
        <v>1.1929766372409352</v>
      </c>
      <c r="AA65" s="109">
        <f t="shared" ca="1" si="16"/>
        <v>1.202164120929716</v>
      </c>
    </row>
    <row r="66" spans="1:27" x14ac:dyDescent="0.25">
      <c r="A66" s="102" t="s">
        <v>68</v>
      </c>
      <c r="B66" s="108">
        <f ca="1">'Stochastic Inputs'!K51</f>
        <v>1.135</v>
      </c>
      <c r="C66" s="109">
        <f t="shared" ca="1" si="17"/>
        <v>1</v>
      </c>
      <c r="D66" s="109">
        <f t="shared" ca="1" si="17"/>
        <v>1.0063517197044769</v>
      </c>
      <c r="E66" s="109">
        <f t="shared" ca="1" si="15"/>
        <v>1.012743783752158</v>
      </c>
      <c r="F66" s="109">
        <f t="shared" ca="1" si="15"/>
        <v>1.0191764483990031</v>
      </c>
      <c r="G66" s="109">
        <f t="shared" ca="1" si="15"/>
        <v>1.0256499715286378</v>
      </c>
      <c r="H66" s="109">
        <f t="shared" ca="1" si="15"/>
        <v>1.0321646126626924</v>
      </c>
      <c r="I66" s="109">
        <f t="shared" ca="1" si="15"/>
        <v>1.0387206329712058</v>
      </c>
      <c r="J66" s="109">
        <f t="shared" ca="1" si="15"/>
        <v>1.0453182952830957</v>
      </c>
      <c r="K66" s="109">
        <f t="shared" ca="1" si="15"/>
        <v>1.0519578640966956</v>
      </c>
      <c r="L66" s="109">
        <f t="shared" ca="1" si="15"/>
        <v>1.058639605590358</v>
      </c>
      <c r="M66" s="109">
        <f t="shared" ca="1" si="15"/>
        <v>1.0653637876331259</v>
      </c>
      <c r="N66" s="109">
        <f t="shared" ca="1" si="15"/>
        <v>1.0721306797954713</v>
      </c>
      <c r="O66" s="109">
        <f t="shared" ca="1" si="15"/>
        <v>1.0789405533601024</v>
      </c>
      <c r="P66" s="109">
        <f t="shared" ca="1" si="15"/>
        <v>1.0857936813328388</v>
      </c>
      <c r="Q66" s="109">
        <f t="shared" ca="1" si="15"/>
        <v>1.0926903384535571</v>
      </c>
      <c r="R66" s="109">
        <f t="shared" ca="1" si="15"/>
        <v>1.0996308012072042</v>
      </c>
      <c r="S66" s="109">
        <f t="shared" ca="1" si="15"/>
        <v>1.1066153478348817</v>
      </c>
      <c r="T66" s="109">
        <f t="shared" ca="1" si="15"/>
        <v>1.113644258345001</v>
      </c>
      <c r="U66" s="109">
        <f t="shared" ca="1" si="15"/>
        <v>1.1207178145245085</v>
      </c>
      <c r="V66" s="109">
        <f t="shared" ca="1" si="15"/>
        <v>1.1278362999501821</v>
      </c>
      <c r="W66" s="109">
        <f t="shared" ca="1" si="15"/>
        <v>1.135</v>
      </c>
      <c r="X66" s="109">
        <f t="shared" ca="1" si="18"/>
        <v>1.1422092018645813</v>
      </c>
      <c r="Y66" s="109">
        <f t="shared" ca="1" si="18"/>
        <v>1.1494641945586994</v>
      </c>
      <c r="Z66" s="109">
        <f t="shared" ca="1" si="16"/>
        <v>1.1567652689328685</v>
      </c>
      <c r="AA66" s="109">
        <f t="shared" ca="1" si="16"/>
        <v>1.1641127176850039</v>
      </c>
    </row>
    <row r="67" spans="1:27" x14ac:dyDescent="0.25">
      <c r="A67" s="102" t="s">
        <v>69</v>
      </c>
      <c r="B67" s="108">
        <f ca="1">'Stochastic Inputs'!K52</f>
        <v>1.135</v>
      </c>
      <c r="C67" s="109">
        <f t="shared" ca="1" si="17"/>
        <v>1</v>
      </c>
      <c r="D67" s="109">
        <f t="shared" ca="1" si="17"/>
        <v>1.0063517197044769</v>
      </c>
      <c r="E67" s="109">
        <f t="shared" ca="1" si="15"/>
        <v>1.012743783752158</v>
      </c>
      <c r="F67" s="109">
        <f t="shared" ca="1" si="15"/>
        <v>1.0191764483990031</v>
      </c>
      <c r="G67" s="109">
        <f t="shared" ca="1" si="15"/>
        <v>1.0256499715286378</v>
      </c>
      <c r="H67" s="109">
        <f t="shared" ca="1" si="15"/>
        <v>1.0321646126626924</v>
      </c>
      <c r="I67" s="109">
        <f t="shared" ca="1" si="15"/>
        <v>1.0387206329712058</v>
      </c>
      <c r="J67" s="109">
        <f t="shared" ca="1" si="15"/>
        <v>1.0453182952830957</v>
      </c>
      <c r="K67" s="109">
        <f t="shared" ca="1" si="15"/>
        <v>1.0519578640966956</v>
      </c>
      <c r="L67" s="109">
        <f t="shared" ca="1" si="15"/>
        <v>1.058639605590358</v>
      </c>
      <c r="M67" s="109">
        <f t="shared" ca="1" si="15"/>
        <v>1.0653637876331259</v>
      </c>
      <c r="N67" s="109">
        <f t="shared" ca="1" si="15"/>
        <v>1.0721306797954713</v>
      </c>
      <c r="O67" s="109">
        <f t="shared" ca="1" si="15"/>
        <v>1.0789405533601024</v>
      </c>
      <c r="P67" s="109">
        <f t="shared" ca="1" si="15"/>
        <v>1.0857936813328388</v>
      </c>
      <c r="Q67" s="109">
        <f t="shared" ca="1" si="15"/>
        <v>1.0926903384535571</v>
      </c>
      <c r="R67" s="109">
        <f t="shared" ca="1" si="15"/>
        <v>1.0996308012072042</v>
      </c>
      <c r="S67" s="109">
        <f t="shared" ca="1" si="15"/>
        <v>1.1066153478348817</v>
      </c>
      <c r="T67" s="109">
        <f t="shared" ca="1" si="15"/>
        <v>1.113644258345001</v>
      </c>
      <c r="U67" s="109">
        <f t="shared" ca="1" si="15"/>
        <v>1.1207178145245085</v>
      </c>
      <c r="V67" s="109">
        <f t="shared" ca="1" si="15"/>
        <v>1.1278362999501821</v>
      </c>
      <c r="W67" s="109">
        <f t="shared" ca="1" si="15"/>
        <v>1.135</v>
      </c>
      <c r="X67" s="109">
        <f t="shared" ca="1" si="18"/>
        <v>1.1422092018645813</v>
      </c>
      <c r="Y67" s="109">
        <f t="shared" ca="1" si="18"/>
        <v>1.1494641945586994</v>
      </c>
      <c r="Z67" s="109">
        <f t="shared" ca="1" si="16"/>
        <v>1.1567652689328685</v>
      </c>
      <c r="AA67" s="109">
        <f t="shared" ca="1" si="16"/>
        <v>1.1641127176850039</v>
      </c>
    </row>
    <row r="68" spans="1:27" x14ac:dyDescent="0.25">
      <c r="A68" s="102" t="s">
        <v>70</v>
      </c>
      <c r="B68" s="108">
        <f ca="1">'Stochastic Inputs'!K53</f>
        <v>1.1099999999999999</v>
      </c>
      <c r="C68" s="109">
        <f t="shared" ca="1" si="17"/>
        <v>1</v>
      </c>
      <c r="D68" s="109">
        <f t="shared" ca="1" si="17"/>
        <v>1.0052316382420121</v>
      </c>
      <c r="E68" s="109">
        <f t="shared" ca="1" si="15"/>
        <v>1.0104906465227195</v>
      </c>
      <c r="F68" s="109">
        <f t="shared" ca="1" si="15"/>
        <v>1.0157771680322631</v>
      </c>
      <c r="G68" s="109">
        <f t="shared" ca="1" si="15"/>
        <v>1.0210913467099034</v>
      </c>
      <c r="H68" s="109">
        <f t="shared" ca="1" si="15"/>
        <v>1.0264333272479387</v>
      </c>
      <c r="I68" s="109">
        <f t="shared" ca="1" si="15"/>
        <v>1.0318032550956446</v>
      </c>
      <c r="J68" s="109">
        <f t="shared" ca="1" si="15"/>
        <v>1.0372012764632355</v>
      </c>
      <c r="K68" s="109">
        <f t="shared" ca="1" si="15"/>
        <v>1.0426275383258443</v>
      </c>
      <c r="L68" s="109">
        <f t="shared" ca="1" si="15"/>
        <v>1.0480821884275247</v>
      </c>
      <c r="M68" s="109">
        <f t="shared" ca="1" si="15"/>
        <v>1.0535653752852738</v>
      </c>
      <c r="N68" s="109">
        <f t="shared" ca="1" si="15"/>
        <v>1.0590772481930761</v>
      </c>
      <c r="O68" s="109">
        <f t="shared" ca="1" si="15"/>
        <v>1.0646179572259677</v>
      </c>
      <c r="P68" s="109">
        <f t="shared" ca="1" si="15"/>
        <v>1.0701876532441239</v>
      </c>
      <c r="Q68" s="109">
        <f t="shared" ca="1" si="15"/>
        <v>1.0757864878969652</v>
      </c>
      <c r="R68" s="109">
        <f t="shared" ca="1" si="15"/>
        <v>1.0814146136272866</v>
      </c>
      <c r="S68" s="109">
        <f t="shared" ca="1" si="15"/>
        <v>1.08707218367541</v>
      </c>
      <c r="T68" s="109">
        <f t="shared" ca="1" si="15"/>
        <v>1.0927593520833538</v>
      </c>
      <c r="U68" s="109">
        <f t="shared" ca="1" si="15"/>
        <v>1.0984762736990294</v>
      </c>
      <c r="V68" s="109">
        <f t="shared" ca="1" si="15"/>
        <v>1.1042231041804562</v>
      </c>
      <c r="W68" s="109">
        <f t="shared" ca="1" si="15"/>
        <v>1.1099999999999999</v>
      </c>
      <c r="X68" s="109">
        <f t="shared" ca="1" si="18"/>
        <v>1.1158071184486333</v>
      </c>
      <c r="Y68" s="109">
        <f t="shared" ca="1" si="18"/>
        <v>1.1216446176402184</v>
      </c>
      <c r="Z68" s="109">
        <f t="shared" ca="1" si="16"/>
        <v>1.127512656515812</v>
      </c>
      <c r="AA68" s="109">
        <f t="shared" ca="1" si="16"/>
        <v>1.1334113948479927</v>
      </c>
    </row>
    <row r="69" spans="1:27" x14ac:dyDescent="0.25">
      <c r="A69" s="102" t="s">
        <v>71</v>
      </c>
      <c r="B69" s="108">
        <f ca="1">'Stochastic Inputs'!K54</f>
        <v>1.1099999999999999</v>
      </c>
      <c r="C69" s="109">
        <f t="shared" ca="1" si="17"/>
        <v>1</v>
      </c>
      <c r="D69" s="109">
        <f t="shared" ca="1" si="17"/>
        <v>1.0052316382420121</v>
      </c>
      <c r="E69" s="109">
        <f t="shared" ca="1" si="15"/>
        <v>1.0104906465227195</v>
      </c>
      <c r="F69" s="109">
        <f t="shared" ca="1" si="15"/>
        <v>1.0157771680322631</v>
      </c>
      <c r="G69" s="109">
        <f t="shared" ca="1" si="15"/>
        <v>1.0210913467099034</v>
      </c>
      <c r="H69" s="109">
        <f t="shared" ca="1" si="15"/>
        <v>1.0264333272479387</v>
      </c>
      <c r="I69" s="109">
        <f t="shared" ca="1" si="15"/>
        <v>1.0318032550956446</v>
      </c>
      <c r="J69" s="109">
        <f t="shared" ca="1" si="15"/>
        <v>1.0372012764632355</v>
      </c>
      <c r="K69" s="109">
        <f t="shared" ca="1" si="15"/>
        <v>1.0426275383258443</v>
      </c>
      <c r="L69" s="109">
        <f t="shared" ca="1" si="15"/>
        <v>1.0480821884275247</v>
      </c>
      <c r="M69" s="109">
        <f t="shared" ca="1" si="15"/>
        <v>1.0535653752852738</v>
      </c>
      <c r="N69" s="109">
        <f t="shared" ca="1" si="15"/>
        <v>1.0590772481930761</v>
      </c>
      <c r="O69" s="109">
        <f t="shared" ca="1" si="15"/>
        <v>1.0646179572259677</v>
      </c>
      <c r="P69" s="109">
        <f t="shared" ca="1" si="15"/>
        <v>1.0701876532441239</v>
      </c>
      <c r="Q69" s="109">
        <f t="shared" ca="1" si="15"/>
        <v>1.0757864878969652</v>
      </c>
      <c r="R69" s="109">
        <f t="shared" ca="1" si="15"/>
        <v>1.0814146136272866</v>
      </c>
      <c r="S69" s="109">
        <f t="shared" ca="1" si="15"/>
        <v>1.08707218367541</v>
      </c>
      <c r="T69" s="109">
        <f t="shared" ca="1" si="15"/>
        <v>1.0927593520833538</v>
      </c>
      <c r="U69" s="109">
        <f t="shared" ca="1" si="15"/>
        <v>1.0984762736990294</v>
      </c>
      <c r="V69" s="109">
        <f t="shared" ca="1" si="15"/>
        <v>1.1042231041804562</v>
      </c>
      <c r="W69" s="109">
        <f t="shared" ca="1" si="15"/>
        <v>1.1099999999999999</v>
      </c>
      <c r="X69" s="109">
        <f t="shared" ca="1" si="18"/>
        <v>1.1158071184486333</v>
      </c>
      <c r="Y69" s="109">
        <f t="shared" ca="1" si="18"/>
        <v>1.1216446176402184</v>
      </c>
      <c r="Z69" s="109">
        <f t="shared" ca="1" si="16"/>
        <v>1.127512656515812</v>
      </c>
      <c r="AA69" s="109">
        <f t="shared" ca="1" si="16"/>
        <v>1.1334113948479927</v>
      </c>
    </row>
    <row r="70" spans="1:27" x14ac:dyDescent="0.25">
      <c r="A70" s="102" t="s">
        <v>72</v>
      </c>
      <c r="B70" s="108">
        <f ca="1">'Stochastic Inputs'!K55</f>
        <v>1.08</v>
      </c>
      <c r="C70" s="109">
        <f t="shared" ca="1" si="17"/>
        <v>1</v>
      </c>
      <c r="D70" s="109">
        <f t="shared" ca="1" si="17"/>
        <v>1.0038554653149401</v>
      </c>
      <c r="E70" s="109">
        <f t="shared" ca="1" si="15"/>
        <v>1.0077257952426748</v>
      </c>
      <c r="F70" s="109">
        <f t="shared" ca="1" si="15"/>
        <v>1.0116110470932034</v>
      </c>
      <c r="G70" s="109">
        <f t="shared" ca="1" si="15"/>
        <v>1.0155112783974816</v>
      </c>
      <c r="H70" s="109">
        <f t="shared" ca="1" si="15"/>
        <v>1.0194265469082735</v>
      </c>
      <c r="I70" s="109">
        <f t="shared" ca="1" si="15"/>
        <v>1.0233569106010076</v>
      </c>
      <c r="J70" s="109">
        <f t="shared" ca="1" si="15"/>
        <v>1.0273024276746341</v>
      </c>
      <c r="K70" s="109">
        <f t="shared" ca="1" si="15"/>
        <v>1.0312631565524872</v>
      </c>
      <c r="L70" s="109">
        <f t="shared" ca="1" si="15"/>
        <v>1.0352391558831511</v>
      </c>
      <c r="M70" s="109">
        <f t="shared" ca="1" si="15"/>
        <v>1.0392304845413265</v>
      </c>
      <c r="N70" s="109">
        <f t="shared" ca="1" si="15"/>
        <v>1.0432372016287039</v>
      </c>
      <c r="O70" s="109">
        <f t="shared" ca="1" si="15"/>
        <v>1.0472593664748386</v>
      </c>
      <c r="P70" s="109">
        <f t="shared" ca="1" si="15"/>
        <v>1.0512970386380285</v>
      </c>
      <c r="Q70" s="109">
        <f t="shared" ca="1" si="15"/>
        <v>1.0553502779061965</v>
      </c>
      <c r="R70" s="109">
        <f t="shared" ca="1" si="15"/>
        <v>1.0594191442977763</v>
      </c>
      <c r="S70" s="109">
        <f t="shared" ca="1" si="15"/>
        <v>1.0635036980626</v>
      </c>
      <c r="T70" s="109">
        <f t="shared" ca="1" si="15"/>
        <v>1.0676039996827908</v>
      </c>
      <c r="U70" s="109">
        <f t="shared" ca="1" si="15"/>
        <v>1.0717201098736591</v>
      </c>
      <c r="V70" s="109">
        <f t="shared" ca="1" si="15"/>
        <v>1.0758520895846009</v>
      </c>
      <c r="W70" s="109">
        <f t="shared" ca="1" si="15"/>
        <v>1.08</v>
      </c>
      <c r="X70" s="109">
        <f t="shared" ca="1" si="18"/>
        <v>1.0841639025401353</v>
      </c>
      <c r="Y70" s="109">
        <f t="shared" ca="1" si="18"/>
        <v>1.0883438588620891</v>
      </c>
      <c r="Z70" s="109">
        <f t="shared" ca="1" si="16"/>
        <v>1.0925399308606598</v>
      </c>
      <c r="AA70" s="109">
        <f t="shared" ca="1" si="16"/>
        <v>1.0967521806692802</v>
      </c>
    </row>
    <row r="71" spans="1:27" x14ac:dyDescent="0.25">
      <c r="A71" s="102" t="s">
        <v>73</v>
      </c>
      <c r="B71" s="108">
        <f ca="1">'Stochastic Inputs'!K56</f>
        <v>1.08</v>
      </c>
      <c r="C71" s="109">
        <f t="shared" ca="1" si="17"/>
        <v>1</v>
      </c>
      <c r="D71" s="109">
        <f t="shared" ca="1" si="17"/>
        <v>1.0038554653149401</v>
      </c>
      <c r="E71" s="109">
        <f t="shared" ca="1" si="15"/>
        <v>1.0077257952426748</v>
      </c>
      <c r="F71" s="109">
        <f t="shared" ca="1" si="15"/>
        <v>1.0116110470932034</v>
      </c>
      <c r="G71" s="109">
        <f t="shared" ca="1" si="15"/>
        <v>1.0155112783974816</v>
      </c>
      <c r="H71" s="109">
        <f t="shared" ca="1" si="15"/>
        <v>1.0194265469082735</v>
      </c>
      <c r="I71" s="109">
        <f t="shared" ca="1" si="15"/>
        <v>1.0233569106010076</v>
      </c>
      <c r="J71" s="109">
        <f t="shared" ca="1" si="15"/>
        <v>1.0273024276746341</v>
      </c>
      <c r="K71" s="109">
        <f t="shared" ca="1" si="15"/>
        <v>1.0312631565524872</v>
      </c>
      <c r="L71" s="109">
        <f t="shared" ca="1" si="15"/>
        <v>1.0352391558831511</v>
      </c>
      <c r="M71" s="109">
        <f t="shared" ca="1" si="15"/>
        <v>1.0392304845413265</v>
      </c>
      <c r="N71" s="109">
        <f t="shared" ca="1" si="15"/>
        <v>1.0432372016287039</v>
      </c>
      <c r="O71" s="109">
        <f t="shared" ca="1" si="15"/>
        <v>1.0472593664748386</v>
      </c>
      <c r="P71" s="109">
        <f t="shared" ca="1" si="15"/>
        <v>1.0512970386380285</v>
      </c>
      <c r="Q71" s="109">
        <f t="shared" ca="1" si="15"/>
        <v>1.0553502779061965</v>
      </c>
      <c r="R71" s="109">
        <f t="shared" ca="1" si="15"/>
        <v>1.0594191442977763</v>
      </c>
      <c r="S71" s="109">
        <f t="shared" ca="1" si="15"/>
        <v>1.0635036980626</v>
      </c>
      <c r="T71" s="109">
        <f t="shared" ca="1" si="15"/>
        <v>1.0676039996827908</v>
      </c>
      <c r="U71" s="109">
        <f t="shared" ca="1" si="15"/>
        <v>1.0717201098736591</v>
      </c>
      <c r="V71" s="109">
        <f t="shared" ca="1" si="15"/>
        <v>1.0758520895846009</v>
      </c>
      <c r="W71" s="109">
        <f t="shared" ca="1" si="15"/>
        <v>1.08</v>
      </c>
      <c r="X71" s="109">
        <f t="shared" ca="1" si="18"/>
        <v>1.0841639025401353</v>
      </c>
      <c r="Y71" s="109">
        <f t="shared" ca="1" si="18"/>
        <v>1.0883438588620891</v>
      </c>
      <c r="Z71" s="109">
        <f t="shared" ca="1" si="16"/>
        <v>1.0925399308606598</v>
      </c>
      <c r="AA71" s="109">
        <f t="shared" ca="1" si="16"/>
        <v>1.0967521806692802</v>
      </c>
    </row>
    <row r="72" spans="1:27" x14ac:dyDescent="0.25">
      <c r="A72" s="102" t="s">
        <v>74</v>
      </c>
      <c r="B72" s="108">
        <f ca="1">'Stochastic Inputs'!K57</f>
        <v>1.08</v>
      </c>
      <c r="C72" s="109">
        <f t="shared" ca="1" si="17"/>
        <v>1</v>
      </c>
      <c r="D72" s="109">
        <f t="shared" ca="1" si="17"/>
        <v>1.0038554653149401</v>
      </c>
      <c r="E72" s="109">
        <f t="shared" ca="1" si="15"/>
        <v>1.0077257952426748</v>
      </c>
      <c r="F72" s="109">
        <f t="shared" ca="1" si="15"/>
        <v>1.0116110470932034</v>
      </c>
      <c r="G72" s="109">
        <f t="shared" ca="1" si="15"/>
        <v>1.0155112783974816</v>
      </c>
      <c r="H72" s="109">
        <f t="shared" ref="H72:W72" ca="1" si="19">$B72^(H$3/2)</f>
        <v>1.0194265469082735</v>
      </c>
      <c r="I72" s="109">
        <f t="shared" ca="1" si="19"/>
        <v>1.0233569106010076</v>
      </c>
      <c r="J72" s="109">
        <f t="shared" ca="1" si="19"/>
        <v>1.0273024276746341</v>
      </c>
      <c r="K72" s="109">
        <f t="shared" ca="1" si="19"/>
        <v>1.0312631565524872</v>
      </c>
      <c r="L72" s="109">
        <f t="shared" ca="1" si="19"/>
        <v>1.0352391558831511</v>
      </c>
      <c r="M72" s="109">
        <f t="shared" ca="1" si="19"/>
        <v>1.0392304845413265</v>
      </c>
      <c r="N72" s="109">
        <f t="shared" ca="1" si="19"/>
        <v>1.0432372016287039</v>
      </c>
      <c r="O72" s="109">
        <f t="shared" ca="1" si="19"/>
        <v>1.0472593664748386</v>
      </c>
      <c r="P72" s="109">
        <f t="shared" ca="1" si="19"/>
        <v>1.0512970386380285</v>
      </c>
      <c r="Q72" s="109">
        <f t="shared" ca="1" si="19"/>
        <v>1.0553502779061965</v>
      </c>
      <c r="R72" s="109">
        <f t="shared" ca="1" si="19"/>
        <v>1.0594191442977763</v>
      </c>
      <c r="S72" s="109">
        <f t="shared" ca="1" si="19"/>
        <v>1.0635036980626</v>
      </c>
      <c r="T72" s="109">
        <f t="shared" ca="1" si="19"/>
        <v>1.0676039996827908</v>
      </c>
      <c r="U72" s="109">
        <f t="shared" ca="1" si="19"/>
        <v>1.0717201098736591</v>
      </c>
      <c r="V72" s="109">
        <f t="shared" ca="1" si="19"/>
        <v>1.0758520895846009</v>
      </c>
      <c r="W72" s="109">
        <f t="shared" ca="1" si="19"/>
        <v>1.08</v>
      </c>
      <c r="X72" s="109">
        <f t="shared" ca="1" si="18"/>
        <v>1.0841639025401353</v>
      </c>
      <c r="Y72" s="109">
        <f t="shared" ca="1" si="18"/>
        <v>1.0883438588620891</v>
      </c>
      <c r="Z72" s="109">
        <f t="shared" ca="1" si="16"/>
        <v>1.0925399308606598</v>
      </c>
      <c r="AA72" s="109">
        <f t="shared" ca="1" si="16"/>
        <v>1.0967521806692802</v>
      </c>
    </row>
    <row r="73" spans="1:27" ht="11" thickBot="1" x14ac:dyDescent="0.3">
      <c r="A73" s="112"/>
      <c r="B73" s="113"/>
      <c r="C73" s="114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114"/>
    </row>
  </sheetData>
  <sheetProtection formatCells="0" formatColumns="0" formatRows="0" insertColumns="0" insertRows="0" insertHyperlinks="0" deleteColumns="0" deleteRows="0" sort="0" autoFilter="0" pivotTables="0"/>
  <mergeCells count="2">
    <mergeCell ref="C2:AA2"/>
    <mergeCell ref="F39:W39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9"/>
  <dimension ref="A1:AD114"/>
  <sheetViews>
    <sheetView topLeftCell="A37" workbookViewId="0">
      <selection activeCell="Z88" sqref="Z88"/>
    </sheetView>
  </sheetViews>
  <sheetFormatPr defaultRowHeight="14.5" x14ac:dyDescent="0.35"/>
  <cols>
    <col min="1" max="1" width="9.1796875" style="37"/>
    <col min="2" max="2" width="17.1796875" style="37" bestFit="1" customWidth="1"/>
    <col min="3" max="6" width="9.1796875" style="37"/>
    <col min="7" max="7" width="14" style="37" customWidth="1"/>
    <col min="8" max="8" width="16.7265625" style="37" bestFit="1" customWidth="1"/>
    <col min="9" max="9" width="11.7265625" bestFit="1" customWidth="1"/>
  </cols>
  <sheetData>
    <row r="1" spans="1:10" s="37" customFormat="1" x14ac:dyDescent="0.35">
      <c r="A1" s="37" t="s">
        <v>24</v>
      </c>
    </row>
    <row r="2" spans="1:10" ht="14.5" customHeight="1" x14ac:dyDescent="0.35">
      <c r="A2" s="240"/>
      <c r="B2" s="240"/>
      <c r="C2" s="240"/>
      <c r="D2" s="240"/>
      <c r="E2" s="240"/>
      <c r="F2"/>
      <c r="G2" s="69"/>
      <c r="H2" s="69"/>
    </row>
    <row r="3" spans="1:10" x14ac:dyDescent="0.35">
      <c r="A3" s="160"/>
      <c r="B3" s="27" t="s">
        <v>136</v>
      </c>
      <c r="C3" s="27" t="s">
        <v>129</v>
      </c>
      <c r="D3" s="27"/>
      <c r="E3" s="27" t="s">
        <v>83</v>
      </c>
      <c r="F3" s="27" t="s">
        <v>44</v>
      </c>
      <c r="G3" s="27" t="s">
        <v>133</v>
      </c>
      <c r="H3" s="27" t="s">
        <v>132</v>
      </c>
      <c r="I3" s="27" t="s">
        <v>148</v>
      </c>
      <c r="J3" s="27" t="s">
        <v>149</v>
      </c>
    </row>
    <row r="4" spans="1:10" x14ac:dyDescent="0.35">
      <c r="A4" s="71" t="s">
        <v>45</v>
      </c>
      <c r="B4" s="87">
        <f>'Baseline and counterfactual'!H3</f>
        <v>108</v>
      </c>
      <c r="C4" s="27">
        <f>'Baseline and counterfactual'!C3</f>
        <v>0.67901</v>
      </c>
      <c r="D4" s="27">
        <f>C4-'Baseline and counterfactual'!E3</f>
        <v>0.67900899999999997</v>
      </c>
      <c r="E4" s="161">
        <f ca="1">'RR TFA'!H41</f>
        <v>0.99999999999625</v>
      </c>
      <c r="F4" s="27">
        <f>'TFA Prevalences'!C3</f>
        <v>0.59486640611905939</v>
      </c>
      <c r="G4" s="27">
        <f ca="1">AA71-AA38</f>
        <v>-4.7175623112927594E-12</v>
      </c>
      <c r="H4" s="162">
        <f ca="1">G4*B4</f>
        <v>-5.0949672961961806E-10</v>
      </c>
      <c r="I4" s="162">
        <f ca="1">H4*1.28/1.42</f>
        <v>-4.5926465768528958E-10</v>
      </c>
      <c r="J4" s="162">
        <f t="shared" ref="J4:J5" ca="1" si="0">H4*1.57/1.42</f>
        <v>-5.6331680669211293E-10</v>
      </c>
    </row>
    <row r="5" spans="1:10" x14ac:dyDescent="0.35">
      <c r="A5" s="71" t="s">
        <v>46</v>
      </c>
      <c r="B5" s="87">
        <f>'Baseline and counterfactual'!H4</f>
        <v>194</v>
      </c>
      <c r="C5" s="27">
        <f>'Baseline and counterfactual'!C4</f>
        <v>0.67901</v>
      </c>
      <c r="D5" s="27">
        <f>C5-'Baseline and counterfactual'!E4</f>
        <v>0.67900899999999997</v>
      </c>
      <c r="E5" s="161">
        <f ca="1">'RR TFA'!H42</f>
        <v>0.99999999999625</v>
      </c>
      <c r="F5" s="27">
        <f>'TFA Prevalences'!C4</f>
        <v>0.59486640611905939</v>
      </c>
      <c r="G5" s="27">
        <f t="shared" ref="G5:G17" ca="1" si="1">AA72-AA39</f>
        <v>-4.7175623112927594E-12</v>
      </c>
      <c r="H5" s="162">
        <f t="shared" ref="H5:H17" ca="1" si="2">G5*B5</f>
        <v>-9.1520708839079534E-10</v>
      </c>
      <c r="I5" s="162">
        <f t="shared" ref="I5:I7" ca="1" si="3">H5*1.28/1.42</f>
        <v>-8.2497540361987198E-10</v>
      </c>
      <c r="J5" s="162">
        <f t="shared" ca="1" si="0"/>
        <v>-1.0118838935024992E-9</v>
      </c>
    </row>
    <row r="6" spans="1:10" x14ac:dyDescent="0.35">
      <c r="A6" s="71" t="s">
        <v>47</v>
      </c>
      <c r="B6" s="87">
        <f>'Baseline and counterfactual'!H5</f>
        <v>306</v>
      </c>
      <c r="C6" s="27">
        <f>'Baseline and counterfactual'!C5</f>
        <v>0.67901</v>
      </c>
      <c r="D6" s="27">
        <f>C6-'Baseline and counterfactual'!E5</f>
        <v>0.67900899999999997</v>
      </c>
      <c r="E6" s="161">
        <f ca="1">'RR TFA'!H43</f>
        <v>1.048989381587315</v>
      </c>
      <c r="F6" s="27">
        <f>'TFA Prevalences'!C5</f>
        <v>0.59486640611905939</v>
      </c>
      <c r="G6" s="27">
        <f t="shared" ca="1" si="1"/>
        <v>0.11611222892856138</v>
      </c>
      <c r="H6" s="162">
        <f t="shared" ca="1" si="2"/>
        <v>35.53034205213978</v>
      </c>
      <c r="I6" s="162">
        <f t="shared" ca="1" si="3"/>
        <v>32.027350582210509</v>
      </c>
      <c r="J6" s="162">
        <f ca="1">H6*1.57/1.42</f>
        <v>39.283547198492577</v>
      </c>
    </row>
    <row r="7" spans="1:10" x14ac:dyDescent="0.35">
      <c r="A7" s="71" t="s">
        <v>48</v>
      </c>
      <c r="B7" s="87">
        <f>'Baseline and counterfactual'!H6</f>
        <v>599</v>
      </c>
      <c r="C7" s="27">
        <f>'Baseline and counterfactual'!C6</f>
        <v>0.67901</v>
      </c>
      <c r="D7" s="27">
        <f>C7-'Baseline and counterfactual'!E6</f>
        <v>0.67900899999999997</v>
      </c>
      <c r="E7" s="161">
        <f ca="1">'RR TFA'!H44</f>
        <v>1.048989381587315</v>
      </c>
      <c r="F7" s="27">
        <f>'TFA Prevalences'!C6</f>
        <v>0.59486640611905939</v>
      </c>
      <c r="G7" s="27">
        <f t="shared" ca="1" si="1"/>
        <v>0.11611222892856138</v>
      </c>
      <c r="H7" s="162">
        <f t="shared" ca="1" si="2"/>
        <v>69.551225128208259</v>
      </c>
      <c r="I7" s="162">
        <f t="shared" ca="1" si="3"/>
        <v>62.694062087398997</v>
      </c>
      <c r="J7" s="162">
        <f t="shared" ref="J7" ca="1" si="4">H7*1.57/1.42</f>
        <v>76.898185529075334</v>
      </c>
    </row>
    <row r="8" spans="1:10" x14ac:dyDescent="0.35">
      <c r="A8" s="71" t="s">
        <v>49</v>
      </c>
      <c r="B8" s="87">
        <f>'Baseline and counterfactual'!H7</f>
        <v>961</v>
      </c>
      <c r="C8" s="27">
        <f>'Baseline and counterfactual'!C7</f>
        <v>0.67901</v>
      </c>
      <c r="D8" s="27">
        <f>C8-'Baseline and counterfactual'!E7</f>
        <v>0.67900899999999997</v>
      </c>
      <c r="E8" s="161">
        <f ca="1">'RR TFA'!H45</f>
        <v>1.0468167995810844</v>
      </c>
      <c r="F8" s="27">
        <f>'TFA Prevalences'!C7</f>
        <v>0.59486640611905939</v>
      </c>
      <c r="G8" s="27">
        <f t="shared" ca="1" si="1"/>
        <v>0.11121917087873075</v>
      </c>
      <c r="H8" s="162">
        <f t="shared" ca="1" si="2"/>
        <v>106.88162321446025</v>
      </c>
      <c r="I8" s="162">
        <f ca="1">H8*1.27/1.4</f>
        <v>96.956901058831804</v>
      </c>
      <c r="J8" s="162">
        <f ca="1">H8*1.54/1.4</f>
        <v>117.56978553590629</v>
      </c>
    </row>
    <row r="9" spans="1:10" x14ac:dyDescent="0.35">
      <c r="A9" s="71" t="s">
        <v>50</v>
      </c>
      <c r="B9" s="87">
        <f>'Baseline and counterfactual'!H8</f>
        <v>1760</v>
      </c>
      <c r="C9" s="27">
        <f>'Baseline and counterfactual'!C8</f>
        <v>0.67901</v>
      </c>
      <c r="D9" s="27">
        <f>C9-'Baseline and counterfactual'!E8</f>
        <v>0.67900899999999997</v>
      </c>
      <c r="E9" s="161">
        <f ca="1">'RR TFA'!H46</f>
        <v>1.0468167995810844</v>
      </c>
      <c r="F9" s="27">
        <f>'TFA Prevalences'!C8</f>
        <v>0.59486640611905939</v>
      </c>
      <c r="G9" s="27">
        <f t="shared" ca="1" si="1"/>
        <v>0.11121917087873075</v>
      </c>
      <c r="H9" s="162">
        <f t="shared" ca="1" si="2"/>
        <v>195.74574074656613</v>
      </c>
      <c r="I9" s="162">
        <f t="shared" ref="I9" ca="1" si="5">H9*1.27/1.4</f>
        <v>177.56935053438499</v>
      </c>
      <c r="J9" s="162">
        <f t="shared" ref="J9" ca="1" si="6">H9*1.54/1.4</f>
        <v>215.32031482122275</v>
      </c>
    </row>
    <row r="10" spans="1:10" x14ac:dyDescent="0.35">
      <c r="A10" s="71" t="s">
        <v>51</v>
      </c>
      <c r="B10" s="87">
        <f>'Baseline and counterfactual'!H9</f>
        <v>3088</v>
      </c>
      <c r="C10" s="27">
        <f>'Baseline and counterfactual'!C9</f>
        <v>0.67901</v>
      </c>
      <c r="D10" s="27">
        <f>C10-'Baseline and counterfactual'!E9</f>
        <v>0.67900899999999997</v>
      </c>
      <c r="E10" s="161">
        <f ca="1">'RR TFA'!H47</f>
        <v>1.0391042404156097</v>
      </c>
      <c r="F10" s="27">
        <f>'TFA Prevalences'!C9</f>
        <v>0.59486640611905939</v>
      </c>
      <c r="G10" s="27">
        <f t="shared" ca="1" si="1"/>
        <v>9.3681998665836097E-2</v>
      </c>
      <c r="H10" s="162">
        <f t="shared" ca="1" si="2"/>
        <v>289.29001188010187</v>
      </c>
      <c r="I10" s="162">
        <f ca="1">H10*1.22/1.33</f>
        <v>265.36377029603329</v>
      </c>
      <c r="J10" s="162">
        <f ca="1">H10*1.45/1.33</f>
        <v>315.39136633544939</v>
      </c>
    </row>
    <row r="11" spans="1:10" x14ac:dyDescent="0.35">
      <c r="A11" s="71" t="s">
        <v>52</v>
      </c>
      <c r="B11" s="87">
        <f>'Baseline and counterfactual'!H10</f>
        <v>4955</v>
      </c>
      <c r="C11" s="27">
        <f>'Baseline and counterfactual'!C10</f>
        <v>0.67901</v>
      </c>
      <c r="D11" s="27">
        <f>C11-'Baseline and counterfactual'!E10</f>
        <v>0.67900899999999997</v>
      </c>
      <c r="E11" s="161">
        <f ca="1">'RR TFA'!H48</f>
        <v>1.0391042404156097</v>
      </c>
      <c r="F11" s="27">
        <f>'TFA Prevalences'!C10</f>
        <v>0.59486640611905939</v>
      </c>
      <c r="G11" s="27">
        <f t="shared" ca="1" si="1"/>
        <v>9.3681998665836097E-2</v>
      </c>
      <c r="H11" s="162">
        <f t="shared" ca="1" si="2"/>
        <v>464.19430338921785</v>
      </c>
      <c r="I11" s="162">
        <f t="shared" ref="I11" ca="1" si="7">H11*1.22/1.33</f>
        <v>425.80229333447051</v>
      </c>
      <c r="J11" s="162">
        <f t="shared" ref="J11" ca="1" si="8">H11*1.45/1.33</f>
        <v>506.07649617621485</v>
      </c>
    </row>
    <row r="12" spans="1:10" x14ac:dyDescent="0.35">
      <c r="A12" s="71" t="s">
        <v>53</v>
      </c>
      <c r="B12" s="87">
        <f>'Baseline and counterfactual'!H11</f>
        <v>6624</v>
      </c>
      <c r="C12" s="27">
        <f>'Baseline and counterfactual'!C11</f>
        <v>0.67901</v>
      </c>
      <c r="D12" s="27">
        <f>C12-'Baseline and counterfactual'!E11</f>
        <v>0.67900899999999997</v>
      </c>
      <c r="E12" s="161">
        <f ca="1">'RR TFA'!H49</f>
        <v>1.0321646126626924</v>
      </c>
      <c r="F12" s="27">
        <f>'TFA Prevalences'!C11</f>
        <v>0.59486640611905939</v>
      </c>
      <c r="G12" s="27">
        <f t="shared" ca="1" si="1"/>
        <v>7.7666877079902719E-2</v>
      </c>
      <c r="H12" s="162">
        <f t="shared" ca="1" si="2"/>
        <v>514.46539377727561</v>
      </c>
      <c r="I12" s="162">
        <f ca="1">H12*1.18/1.27</f>
        <v>478.00721626550012</v>
      </c>
      <c r="J12" s="162">
        <f ca="1">H12*1.36/1.27</f>
        <v>550.9235712890511</v>
      </c>
    </row>
    <row r="13" spans="1:10" x14ac:dyDescent="0.35">
      <c r="A13" s="71" t="s">
        <v>54</v>
      </c>
      <c r="B13" s="87">
        <f>'Baseline and counterfactual'!H12</f>
        <v>7864</v>
      </c>
      <c r="C13" s="27">
        <f>'Baseline and counterfactual'!C12</f>
        <v>0.67901</v>
      </c>
      <c r="D13" s="27">
        <f>C13-'Baseline and counterfactual'!E12</f>
        <v>0.67900899999999997</v>
      </c>
      <c r="E13" s="161">
        <f ca="1">'RR TFA'!H50</f>
        <v>1.0321646126626924</v>
      </c>
      <c r="F13" s="27">
        <f>'TFA Prevalences'!C12</f>
        <v>0.59486640611905939</v>
      </c>
      <c r="G13" s="27">
        <f t="shared" ca="1" si="1"/>
        <v>7.7666877079902719E-2</v>
      </c>
      <c r="H13" s="162">
        <f t="shared" ca="1" si="2"/>
        <v>610.77232135635495</v>
      </c>
      <c r="I13" s="162">
        <f t="shared" ref="I13" ca="1" si="9">H13*1.18/1.27</f>
        <v>567.48924346495971</v>
      </c>
      <c r="J13" s="162">
        <f t="shared" ref="J13" ca="1" si="10">H13*1.36/1.27</f>
        <v>654.05539924775019</v>
      </c>
    </row>
    <row r="14" spans="1:10" x14ac:dyDescent="0.35">
      <c r="A14" s="71" t="s">
        <v>55</v>
      </c>
      <c r="B14" s="87">
        <f>'Baseline and counterfactual'!H13</f>
        <v>8663</v>
      </c>
      <c r="C14" s="27">
        <f>'Baseline and counterfactual'!C13</f>
        <v>0.67901</v>
      </c>
      <c r="D14" s="27">
        <f>C14-'Baseline and counterfactual'!E13</f>
        <v>0.67900899999999997</v>
      </c>
      <c r="E14" s="161">
        <f ca="1">'RR TFA'!H51</f>
        <v>1.0264333272479387</v>
      </c>
      <c r="F14" s="27">
        <f>'TFA Prevalences'!C13</f>
        <v>0.59486640611905939</v>
      </c>
      <c r="G14" s="27">
        <f t="shared" ca="1" si="1"/>
        <v>6.4260277299664811E-2</v>
      </c>
      <c r="H14" s="162">
        <f t="shared" ca="1" si="2"/>
        <v>556.68678224699624</v>
      </c>
      <c r="I14" s="162">
        <f ca="1">H14*1.15/1.22</f>
        <v>524.7457373639719</v>
      </c>
      <c r="J14" s="162">
        <f ca="1">H14*1.29/1.22</f>
        <v>588.62782713002059</v>
      </c>
    </row>
    <row r="15" spans="1:10" x14ac:dyDescent="0.35">
      <c r="A15" s="71" t="s">
        <v>56</v>
      </c>
      <c r="B15" s="87">
        <f>'Baseline and counterfactual'!H14</f>
        <v>8180</v>
      </c>
      <c r="C15" s="27">
        <f>'Baseline and counterfactual'!C14</f>
        <v>0.67901</v>
      </c>
      <c r="D15" s="27">
        <f>C15-'Baseline and counterfactual'!E14</f>
        <v>0.67900899999999997</v>
      </c>
      <c r="E15" s="161">
        <f ca="1">'RR TFA'!H52</f>
        <v>1.0264333272479387</v>
      </c>
      <c r="F15" s="27">
        <f>'TFA Prevalences'!C14</f>
        <v>0.59486640611905939</v>
      </c>
      <c r="G15" s="27">
        <f t="shared" ca="1" si="1"/>
        <v>6.4260277299664811E-2</v>
      </c>
      <c r="H15" s="162">
        <f t="shared" ca="1" si="2"/>
        <v>525.64906831125813</v>
      </c>
      <c r="I15" s="162">
        <f t="shared" ref="I15" ca="1" si="11">H15*1.15/1.22</f>
        <v>495.48887586716955</v>
      </c>
      <c r="J15" s="162">
        <f t="shared" ref="J15" ca="1" si="12">H15*1.29/1.22</f>
        <v>555.80926075534671</v>
      </c>
    </row>
    <row r="16" spans="1:10" x14ac:dyDescent="0.35">
      <c r="A16" s="71" t="s">
        <v>57</v>
      </c>
      <c r="B16" s="87">
        <f>'Baseline and counterfactual'!H15</f>
        <v>8017</v>
      </c>
      <c r="C16" s="27">
        <f>'Baseline and counterfactual'!C15</f>
        <v>0.67901</v>
      </c>
      <c r="D16" s="27">
        <f>C16-'Baseline and counterfactual'!E15</f>
        <v>0.67900899999999997</v>
      </c>
      <c r="E16" s="161">
        <f ca="1">'RR TFA'!H53</f>
        <v>1.0194265469082735</v>
      </c>
      <c r="F16" s="27">
        <f>'TFA Prevalences'!C15</f>
        <v>0.59486640611905939</v>
      </c>
      <c r="G16" s="27">
        <f t="shared" ca="1" si="1"/>
        <v>4.7633148699186771E-2</v>
      </c>
      <c r="H16" s="162">
        <f t="shared" ca="1" si="2"/>
        <v>381.87495312138037</v>
      </c>
      <c r="I16" s="162">
        <f ca="1">H16*1.11/1.16</f>
        <v>365.41482583166572</v>
      </c>
      <c r="J16" s="162">
        <f ca="1">H16*1.21/1.16</f>
        <v>398.33508041109508</v>
      </c>
    </row>
    <row r="17" spans="1:10" x14ac:dyDescent="0.35">
      <c r="A17" s="71" t="s">
        <v>84</v>
      </c>
      <c r="B17" s="87">
        <f>'Baseline and counterfactual'!H16</f>
        <v>13764</v>
      </c>
      <c r="C17" s="27">
        <f>'Baseline and counterfactual'!C16</f>
        <v>0.67901</v>
      </c>
      <c r="D17" s="27">
        <f>C17-'Baseline and counterfactual'!E16</f>
        <v>0.67900899999999997</v>
      </c>
      <c r="E17" s="161">
        <f ca="1">'RR TFA'!H54</f>
        <v>1.0194265469082735</v>
      </c>
      <c r="F17" s="27">
        <f>'TFA Prevalences'!C16</f>
        <v>0.59486640611905939</v>
      </c>
      <c r="G17" s="27">
        <f t="shared" ca="1" si="1"/>
        <v>4.7633148699186771E-2</v>
      </c>
      <c r="H17" s="162">
        <f t="shared" ca="1" si="2"/>
        <v>655.62265869560667</v>
      </c>
      <c r="I17" s="162">
        <f ca="1">H17*1.11/1.16</f>
        <v>627.3630613380376</v>
      </c>
      <c r="J17" s="162">
        <f ca="1">H17*1.21/1.16</f>
        <v>683.88225605317598</v>
      </c>
    </row>
    <row r="18" spans="1:10" x14ac:dyDescent="0.35">
      <c r="A18" s="71"/>
      <c r="B18" s="72"/>
      <c r="C18" s="27"/>
      <c r="D18" s="27"/>
      <c r="E18" s="27"/>
      <c r="F18" s="27"/>
      <c r="G18" s="27"/>
      <c r="H18" s="87"/>
      <c r="I18" s="162"/>
      <c r="J18" s="162"/>
    </row>
    <row r="19" spans="1:10" x14ac:dyDescent="0.35">
      <c r="A19" s="71" t="s">
        <v>60</v>
      </c>
      <c r="B19" s="87">
        <f>'Baseline and counterfactual'!H20</f>
        <v>36</v>
      </c>
      <c r="C19" s="27">
        <f>'Baseline and counterfactual'!C20</f>
        <v>0.67901</v>
      </c>
      <c r="D19" s="27">
        <f>C19-'Baseline and counterfactual'!E20</f>
        <v>0.67900899999999997</v>
      </c>
      <c r="E19" s="161">
        <f ca="1">'RR TFA'!H58</f>
        <v>0.99999999999625</v>
      </c>
      <c r="F19" s="27">
        <f>'TFA Prevalences'!C18</f>
        <v>0.59486640611905939</v>
      </c>
      <c r="G19" s="27">
        <f ca="1">AA86-AA53</f>
        <v>-4.7175623112927594E-12</v>
      </c>
      <c r="H19" s="162">
        <f ca="1">B19*G19</f>
        <v>-1.6983224320653935E-10</v>
      </c>
      <c r="I19" s="162">
        <f ca="1">H19*1.28/1.42</f>
        <v>-1.5308821922842985E-10</v>
      </c>
      <c r="J19" s="162">
        <f t="shared" ref="J19:J20" ca="1" si="13">H19*1.57/1.42</f>
        <v>-1.87772268897371E-10</v>
      </c>
    </row>
    <row r="20" spans="1:10" x14ac:dyDescent="0.35">
      <c r="A20" s="71" t="s">
        <v>61</v>
      </c>
      <c r="B20" s="87">
        <f>'Baseline and counterfactual'!H21</f>
        <v>60</v>
      </c>
      <c r="C20" s="27">
        <f>'Baseline and counterfactual'!C21</f>
        <v>0.67901</v>
      </c>
      <c r="D20" s="27">
        <f>C20-'Baseline and counterfactual'!E21</f>
        <v>0.67900899999999997</v>
      </c>
      <c r="E20" s="161">
        <f ca="1">'RR TFA'!H59</f>
        <v>0.99999999999625</v>
      </c>
      <c r="F20" s="27">
        <f>'TFA Prevalences'!C19</f>
        <v>0.59486640611905939</v>
      </c>
      <c r="G20" s="27">
        <f t="shared" ref="G20:G32" ca="1" si="14">AA87-AA54</f>
        <v>-4.7175623112927594E-12</v>
      </c>
      <c r="H20" s="162">
        <f t="shared" ref="H20:H32" ca="1" si="15">B20*G20</f>
        <v>-2.8305373867756555E-10</v>
      </c>
      <c r="I20" s="162">
        <f t="shared" ref="I20:I22" ca="1" si="16">H20*1.28/1.42</f>
        <v>-2.5514703204738306E-10</v>
      </c>
      <c r="J20" s="162">
        <f t="shared" ca="1" si="13"/>
        <v>-3.1295378149561831E-10</v>
      </c>
    </row>
    <row r="21" spans="1:10" x14ac:dyDescent="0.35">
      <c r="A21" s="71" t="s">
        <v>62</v>
      </c>
      <c r="B21" s="87">
        <f>'Baseline and counterfactual'!H22</f>
        <v>81</v>
      </c>
      <c r="C21" s="27">
        <f>'Baseline and counterfactual'!C22</f>
        <v>0.67901</v>
      </c>
      <c r="D21" s="27">
        <f>C21-'Baseline and counterfactual'!E22</f>
        <v>0.67900899999999997</v>
      </c>
      <c r="E21" s="161">
        <f ca="1">'RR TFA'!H60</f>
        <v>1.048989381587315</v>
      </c>
      <c r="F21" s="27">
        <f>'TFA Prevalences'!C20</f>
        <v>0.59486640611905939</v>
      </c>
      <c r="G21" s="27">
        <f t="shared" ca="1" si="14"/>
        <v>0.11611222892856138</v>
      </c>
      <c r="H21" s="162">
        <f t="shared" ca="1" si="15"/>
        <v>9.4050905432134719</v>
      </c>
      <c r="I21" s="162">
        <f t="shared" ca="1" si="16"/>
        <v>8.4778280952910183</v>
      </c>
      <c r="J21" s="162">
        <f ca="1">H21*1.57/1.42</f>
        <v>10.39858602313039</v>
      </c>
    </row>
    <row r="22" spans="1:10" x14ac:dyDescent="0.35">
      <c r="A22" s="71" t="s">
        <v>63</v>
      </c>
      <c r="B22" s="87">
        <f>'Baseline and counterfactual'!H23</f>
        <v>199</v>
      </c>
      <c r="C22" s="27">
        <f>'Baseline and counterfactual'!C23</f>
        <v>0.67901</v>
      </c>
      <c r="D22" s="27">
        <f>C22-'Baseline and counterfactual'!E23</f>
        <v>0.67900899999999997</v>
      </c>
      <c r="E22" s="161">
        <f ca="1">'RR TFA'!H61</f>
        <v>1.048989381587315</v>
      </c>
      <c r="F22" s="27">
        <f>'TFA Prevalences'!C21</f>
        <v>0.59486640611905939</v>
      </c>
      <c r="G22" s="27">
        <f t="shared" ca="1" si="14"/>
        <v>0.11611222892856138</v>
      </c>
      <c r="H22" s="162">
        <f t="shared" ca="1" si="15"/>
        <v>23.106333556783714</v>
      </c>
      <c r="I22" s="162">
        <f t="shared" ca="1" si="16"/>
        <v>20.828244332875464</v>
      </c>
      <c r="J22" s="162">
        <f t="shared" ref="J22" ca="1" si="17">H22*1.57/1.42</f>
        <v>25.547143439542559</v>
      </c>
    </row>
    <row r="23" spans="1:10" x14ac:dyDescent="0.35">
      <c r="A23" s="71" t="s">
        <v>64</v>
      </c>
      <c r="B23" s="87">
        <f>'Baseline and counterfactual'!H24</f>
        <v>443</v>
      </c>
      <c r="C23" s="27">
        <f>'Baseline and counterfactual'!C24</f>
        <v>0.67901</v>
      </c>
      <c r="D23" s="27">
        <f>C23-'Baseline and counterfactual'!E24</f>
        <v>0.67900899999999997</v>
      </c>
      <c r="E23" s="161">
        <f ca="1">'RR TFA'!H62</f>
        <v>1.0468167995810844</v>
      </c>
      <c r="F23" s="27">
        <f>'TFA Prevalences'!C22</f>
        <v>0.59486640611905939</v>
      </c>
      <c r="G23" s="27">
        <f t="shared" ca="1" si="14"/>
        <v>0.11121917087873075</v>
      </c>
      <c r="H23" s="162">
        <f t="shared" ca="1" si="15"/>
        <v>49.270092699277718</v>
      </c>
      <c r="I23" s="162">
        <f ca="1">H23*1.27/1.4</f>
        <v>44.69501266291622</v>
      </c>
      <c r="J23" s="162">
        <f ca="1">H23*1.54/1.4</f>
        <v>54.197101969205491</v>
      </c>
    </row>
    <row r="24" spans="1:10" x14ac:dyDescent="0.35">
      <c r="A24" s="71" t="s">
        <v>65</v>
      </c>
      <c r="B24" s="87">
        <f>'Baseline and counterfactual'!H25</f>
        <v>816</v>
      </c>
      <c r="C24" s="27">
        <f>'Baseline and counterfactual'!C25</f>
        <v>0.67901</v>
      </c>
      <c r="D24" s="27">
        <f>C24-'Baseline and counterfactual'!E25</f>
        <v>0.67900899999999997</v>
      </c>
      <c r="E24" s="161">
        <f ca="1">'RR TFA'!H63</f>
        <v>1.0468167995810844</v>
      </c>
      <c r="F24" s="27">
        <f>'TFA Prevalences'!C23</f>
        <v>0.59486640611905939</v>
      </c>
      <c r="G24" s="27">
        <f t="shared" ca="1" si="14"/>
        <v>0.11121917087873075</v>
      </c>
      <c r="H24" s="162">
        <f t="shared" ca="1" si="15"/>
        <v>90.754843437044286</v>
      </c>
      <c r="I24" s="162">
        <f t="shared" ref="I24" ca="1" si="18">H24*1.27/1.4</f>
        <v>82.327607975033033</v>
      </c>
      <c r="J24" s="162">
        <f t="shared" ref="J24" ca="1" si="19">H24*1.54/1.4</f>
        <v>99.830327780748718</v>
      </c>
    </row>
    <row r="25" spans="1:10" x14ac:dyDescent="0.35">
      <c r="A25" s="71" t="s">
        <v>66</v>
      </c>
      <c r="B25" s="87">
        <f>'Baseline and counterfactual'!H26</f>
        <v>1360</v>
      </c>
      <c r="C25" s="27">
        <f>'Baseline and counterfactual'!C26</f>
        <v>0.67901</v>
      </c>
      <c r="D25" s="27">
        <f>C25-'Baseline and counterfactual'!E26</f>
        <v>0.67900899999999997</v>
      </c>
      <c r="E25" s="161">
        <f ca="1">'RR TFA'!H64</f>
        <v>1.0391042404156097</v>
      </c>
      <c r="F25" s="27">
        <f>'TFA Prevalences'!C24</f>
        <v>0.59486640611905939</v>
      </c>
      <c r="G25" s="27">
        <f t="shared" ca="1" si="14"/>
        <v>9.3681998665836097E-2</v>
      </c>
      <c r="H25" s="162">
        <f t="shared" ca="1" si="15"/>
        <v>127.40751818553709</v>
      </c>
      <c r="I25" s="162">
        <f ca="1">H25*1.22/1.33</f>
        <v>116.87005427545506</v>
      </c>
      <c r="J25" s="162">
        <f ca="1">H25*1.45/1.33</f>
        <v>138.902933360172</v>
      </c>
    </row>
    <row r="26" spans="1:10" x14ac:dyDescent="0.35">
      <c r="A26" s="71" t="s">
        <v>67</v>
      </c>
      <c r="B26" s="87">
        <f>'Baseline and counterfactual'!H27</f>
        <v>2107</v>
      </c>
      <c r="C26" s="27">
        <f>'Baseline and counterfactual'!C27</f>
        <v>0.67901</v>
      </c>
      <c r="D26" s="27">
        <f>C26-'Baseline and counterfactual'!E27</f>
        <v>0.67900899999999997</v>
      </c>
      <c r="E26" s="161">
        <f ca="1">'RR TFA'!H65</f>
        <v>1.0391042404156097</v>
      </c>
      <c r="F26" s="27">
        <f>'TFA Prevalences'!C25</f>
        <v>0.59486640611905939</v>
      </c>
      <c r="G26" s="27">
        <f t="shared" ca="1" si="14"/>
        <v>9.3681998665836097E-2</v>
      </c>
      <c r="H26" s="162">
        <f t="shared" ca="1" si="15"/>
        <v>197.38797118891665</v>
      </c>
      <c r="I26" s="162">
        <f t="shared" ref="I26" ca="1" si="20">H26*1.22/1.33</f>
        <v>181.0626502635175</v>
      </c>
      <c r="J26" s="162">
        <f t="shared" ref="J26" ca="1" si="21">H26*1.45/1.33</f>
        <v>215.19741219844295</v>
      </c>
    </row>
    <row r="27" spans="1:10" x14ac:dyDescent="0.35">
      <c r="A27" s="71" t="s">
        <v>68</v>
      </c>
      <c r="B27" s="87">
        <f>'Baseline and counterfactual'!H28</f>
        <v>3089</v>
      </c>
      <c r="C27" s="27">
        <f>'Baseline and counterfactual'!C28</f>
        <v>0.67901</v>
      </c>
      <c r="D27" s="27">
        <f>C27-'Baseline and counterfactual'!E28</f>
        <v>0.67900899999999997</v>
      </c>
      <c r="E27" s="161">
        <f ca="1">'RR TFA'!H66</f>
        <v>1.0321646126626924</v>
      </c>
      <c r="F27" s="27">
        <f>'TFA Prevalences'!C26</f>
        <v>0.59486640611905939</v>
      </c>
      <c r="G27" s="27">
        <f t="shared" ca="1" si="14"/>
        <v>7.7666877079902732E-2</v>
      </c>
      <c r="H27" s="162">
        <f t="shared" ca="1" si="15"/>
        <v>239.91298329981953</v>
      </c>
      <c r="I27" s="162">
        <f ca="1">H27*1.18/1.27</f>
        <v>222.91127582187957</v>
      </c>
      <c r="J27" s="162">
        <f ca="1">H27*1.36/1.27</f>
        <v>256.91469077775952</v>
      </c>
    </row>
    <row r="28" spans="1:10" x14ac:dyDescent="0.35">
      <c r="A28" s="71" t="s">
        <v>69</v>
      </c>
      <c r="B28" s="87">
        <f>'Baseline and counterfactual'!H29</f>
        <v>4051</v>
      </c>
      <c r="C28" s="27">
        <f>'Baseline and counterfactual'!C29</f>
        <v>0.67901</v>
      </c>
      <c r="D28" s="27">
        <f>C28-'Baseline and counterfactual'!E29</f>
        <v>0.67900899999999997</v>
      </c>
      <c r="E28" s="161">
        <f ca="1">'RR TFA'!H67</f>
        <v>1.0321646126626924</v>
      </c>
      <c r="F28" s="27">
        <f>'TFA Prevalences'!C27</f>
        <v>0.59486640611905939</v>
      </c>
      <c r="G28" s="27">
        <f t="shared" ca="1" si="14"/>
        <v>7.7666877079902719E-2</v>
      </c>
      <c r="H28" s="162">
        <f t="shared" ca="1" si="15"/>
        <v>314.6285190506859</v>
      </c>
      <c r="I28" s="162">
        <f t="shared" ref="I28" ca="1" si="22">H28*1.18/1.27</f>
        <v>292.33200982662152</v>
      </c>
      <c r="J28" s="162">
        <f t="shared" ref="J28" ca="1" si="23">H28*1.36/1.27</f>
        <v>336.92502827475028</v>
      </c>
    </row>
    <row r="29" spans="1:10" x14ac:dyDescent="0.35">
      <c r="A29" s="71" t="s">
        <v>70</v>
      </c>
      <c r="B29" s="87">
        <f>'Baseline and counterfactual'!H30</f>
        <v>4983</v>
      </c>
      <c r="C29" s="27">
        <f>'Baseline and counterfactual'!C30</f>
        <v>0.67901</v>
      </c>
      <c r="D29" s="27">
        <f>C29-'Baseline and counterfactual'!E30</f>
        <v>0.67900899999999997</v>
      </c>
      <c r="E29" s="161">
        <f ca="1">'RR TFA'!H68</f>
        <v>1.0264333272479387</v>
      </c>
      <c r="F29" s="27">
        <f>'TFA Prevalences'!C28</f>
        <v>0.59486640611905939</v>
      </c>
      <c r="G29" s="27">
        <f t="shared" ca="1" si="14"/>
        <v>6.4260277299664811E-2</v>
      </c>
      <c r="H29" s="162">
        <f t="shared" ca="1" si="15"/>
        <v>320.20896178422976</v>
      </c>
      <c r="I29" s="162">
        <f ca="1">H29*1.15/1.22</f>
        <v>301.83631643595425</v>
      </c>
      <c r="J29" s="162">
        <f ca="1">H29*1.29/1.22</f>
        <v>338.58160713250521</v>
      </c>
    </row>
    <row r="30" spans="1:10" x14ac:dyDescent="0.35">
      <c r="A30" s="71" t="s">
        <v>71</v>
      </c>
      <c r="B30" s="87">
        <f>'Baseline and counterfactual'!H31</f>
        <v>5635</v>
      </c>
      <c r="C30" s="27">
        <f>'Baseline and counterfactual'!C31</f>
        <v>0.67901</v>
      </c>
      <c r="D30" s="27">
        <f>C30-'Baseline and counterfactual'!E31</f>
        <v>0.67900899999999997</v>
      </c>
      <c r="E30" s="161">
        <f ca="1">'RR TFA'!H69</f>
        <v>1.0264333272479387</v>
      </c>
      <c r="F30" s="27">
        <f>'TFA Prevalences'!C29</f>
        <v>0.59486640611905939</v>
      </c>
      <c r="G30" s="27">
        <f t="shared" ca="1" si="14"/>
        <v>6.4260277299664811E-2</v>
      </c>
      <c r="H30" s="162">
        <f t="shared" ca="1" si="15"/>
        <v>362.10666258361124</v>
      </c>
      <c r="I30" s="162">
        <f t="shared" ref="I30" ca="1" si="24">H30*1.15/1.22</f>
        <v>341.33005079602697</v>
      </c>
      <c r="J30" s="162">
        <f t="shared" ref="J30" ca="1" si="25">H30*1.29/1.22</f>
        <v>382.88327437119551</v>
      </c>
    </row>
    <row r="31" spans="1:10" x14ac:dyDescent="0.35">
      <c r="A31" s="71" t="s">
        <v>72</v>
      </c>
      <c r="B31" s="87">
        <f>'Baseline and counterfactual'!H32</f>
        <v>6636</v>
      </c>
      <c r="C31" s="27">
        <f>'Baseline and counterfactual'!C32</f>
        <v>0.67901</v>
      </c>
      <c r="D31" s="27">
        <f>C31-'Baseline and counterfactual'!E32</f>
        <v>0.67900899999999997</v>
      </c>
      <c r="E31" s="161">
        <f ca="1">'RR TFA'!H70</f>
        <v>1.0194265469082735</v>
      </c>
      <c r="F31" s="27">
        <f>'TFA Prevalences'!C30</f>
        <v>0.59486640611905939</v>
      </c>
      <c r="G31" s="27">
        <f t="shared" ca="1" si="14"/>
        <v>4.7633148699186771E-2</v>
      </c>
      <c r="H31" s="162">
        <f t="shared" ca="1" si="15"/>
        <v>316.09357476780343</v>
      </c>
      <c r="I31" s="162">
        <f ca="1">H31*1.11/1.16</f>
        <v>302.46885171746709</v>
      </c>
      <c r="J31" s="162">
        <f ca="1">H31*1.21/1.16</f>
        <v>329.71829781813977</v>
      </c>
    </row>
    <row r="32" spans="1:10" x14ac:dyDescent="0.35">
      <c r="A32" s="163" t="s">
        <v>85</v>
      </c>
      <c r="B32" s="87">
        <f>'Baseline and counterfactual'!H33</f>
        <v>17104</v>
      </c>
      <c r="C32" s="30">
        <f>'Baseline and counterfactual'!C33</f>
        <v>0.67901</v>
      </c>
      <c r="D32" s="30">
        <f>C32-'Baseline and counterfactual'!E33</f>
        <v>0.67900899999999997</v>
      </c>
      <c r="E32" s="164">
        <f ca="1">'RR TFA'!H71</f>
        <v>1.0194265469082735</v>
      </c>
      <c r="F32" s="30">
        <f>'TFA Prevalences'!C31</f>
        <v>0.59486640611905939</v>
      </c>
      <c r="G32" s="30">
        <f t="shared" ca="1" si="14"/>
        <v>4.7633148699186771E-2</v>
      </c>
      <c r="H32" s="165">
        <f t="shared" ca="1" si="15"/>
        <v>814.71737535089051</v>
      </c>
      <c r="I32" s="165">
        <f ca="1">H32*1.11/1.16</f>
        <v>779.6002471030074</v>
      </c>
      <c r="J32" s="165">
        <f ca="1">H32*1.21/1.16</f>
        <v>849.83450359877372</v>
      </c>
    </row>
    <row r="33" spans="1:27" x14ac:dyDescent="0.35">
      <c r="A33"/>
      <c r="B33" s="15">
        <f>SUM(B4:B32)</f>
        <v>111683</v>
      </c>
      <c r="C33"/>
      <c r="D33"/>
      <c r="E33"/>
      <c r="F33"/>
      <c r="G33"/>
      <c r="H33" s="19">
        <f ca="1">SUM(H4:H32)</f>
        <v>7271.2643503655008</v>
      </c>
      <c r="I33" s="19">
        <f t="shared" ref="I33:J33" ca="1" si="26">SUM(I4:I32)</f>
        <v>6813.6628373289877</v>
      </c>
      <c r="J33" s="19">
        <f t="shared" ca="1" si="26"/>
        <v>7741.1039972250919</v>
      </c>
    </row>
    <row r="34" spans="1:27" x14ac:dyDescent="0.35">
      <c r="A34" s="66"/>
      <c r="H34" s="19"/>
    </row>
    <row r="35" spans="1:27" x14ac:dyDescent="0.35">
      <c r="A35" s="66"/>
      <c r="H35" s="19"/>
    </row>
    <row r="36" spans="1:27" x14ac:dyDescent="0.35">
      <c r="A36"/>
      <c r="B36" s="233" t="s">
        <v>137</v>
      </c>
      <c r="C36" s="233"/>
      <c r="D36" s="233"/>
      <c r="E36" s="233"/>
      <c r="F36" s="233"/>
      <c r="G36"/>
      <c r="H36" s="19"/>
    </row>
    <row r="37" spans="1:27" x14ac:dyDescent="0.35">
      <c r="A37"/>
      <c r="B37" s="33" t="s">
        <v>102</v>
      </c>
      <c r="C37" s="9" t="s">
        <v>103</v>
      </c>
      <c r="D37" s="9" t="s">
        <v>104</v>
      </c>
      <c r="E37" s="9" t="s">
        <v>105</v>
      </c>
      <c r="F37" s="9" t="s">
        <v>106</v>
      </c>
      <c r="G37" s="9" t="s">
        <v>107</v>
      </c>
      <c r="H37" s="19" t="s">
        <v>108</v>
      </c>
      <c r="I37" s="9" t="s">
        <v>109</v>
      </c>
      <c r="J37" s="9" t="s">
        <v>110</v>
      </c>
      <c r="K37" s="9" t="s">
        <v>111</v>
      </c>
      <c r="L37" s="9" t="s">
        <v>112</v>
      </c>
      <c r="M37" s="9" t="s">
        <v>113</v>
      </c>
      <c r="N37" s="9" t="s">
        <v>114</v>
      </c>
      <c r="O37" s="9" t="s">
        <v>115</v>
      </c>
      <c r="P37" s="9" t="s">
        <v>116</v>
      </c>
      <c r="Q37" s="9" t="s">
        <v>117</v>
      </c>
      <c r="R37" s="9" t="s">
        <v>118</v>
      </c>
      <c r="S37" s="9" t="s">
        <v>119</v>
      </c>
      <c r="T37" s="9" t="s">
        <v>120</v>
      </c>
      <c r="U37" s="9" t="s">
        <v>121</v>
      </c>
      <c r="V37" s="9" t="s">
        <v>122</v>
      </c>
      <c r="W37" s="9" t="s">
        <v>123</v>
      </c>
      <c r="X37" s="9" t="s">
        <v>124</v>
      </c>
      <c r="Y37" s="9" t="s">
        <v>125</v>
      </c>
      <c r="Z37" s="36" t="s">
        <v>126</v>
      </c>
      <c r="AA37" s="66" t="s">
        <v>138</v>
      </c>
    </row>
    <row r="38" spans="1:27" ht="15.5" x14ac:dyDescent="0.35">
      <c r="A38" s="43" t="s">
        <v>45</v>
      </c>
      <c r="B38" s="49">
        <f ca="1">('TFA Prevalences'!AA70*('RR TFA'!C4-1))/(('TFA Prevalences'!AA70*('RR TFA'!C4-1)+1))</f>
        <v>0</v>
      </c>
      <c r="C38" s="49">
        <f ca="1">('TFA Prevalences'!AB70*('RR TFA'!D4-1))/(('TFA Prevalences'!AB70*('RR TFA'!D4-1)+1))</f>
        <v>0</v>
      </c>
      <c r="D38" s="49">
        <f ca="1">('TFA Prevalences'!AC70*('RR TFA'!E4-1))/(('TFA Prevalences'!AC70*('RR TFA'!E4-1)+1))</f>
        <v>0</v>
      </c>
      <c r="E38" s="49">
        <f ca="1">('TFA Prevalences'!AD70*('RR TFA'!F4-1))/(('TFA Prevalences'!AD70*('RR TFA'!F4-1)+1))</f>
        <v>0</v>
      </c>
      <c r="F38" s="49">
        <f ca="1">('TFA Prevalences'!AE70*('RR TFA'!G4-1))/(('TFA Prevalences'!AE70*('RR TFA'!G4-1)+1))</f>
        <v>0</v>
      </c>
      <c r="G38" s="49">
        <f ca="1">('TFA Prevalences'!AF70*('RR TFA'!H4-1))/(('TFA Prevalences'!AF70*('RR TFA'!H4-1)+1))</f>
        <v>0</v>
      </c>
      <c r="H38" s="19">
        <f ca="1">('TFA Prevalences'!AG70*('RR TFA'!I4-1))/(('TFA Prevalences'!AG70*('RR TFA'!I4-1)+1))</f>
        <v>0</v>
      </c>
      <c r="I38" s="49">
        <f ca="1">('TFA Prevalences'!AH70*('RR TFA'!J4-1))/(('TFA Prevalences'!AH70*('RR TFA'!J4-1)+1))</f>
        <v>0</v>
      </c>
      <c r="J38" s="49">
        <f ca="1">('TFA Prevalences'!AI70*('RR TFA'!K4-1))/(('TFA Prevalences'!AI70*('RR TFA'!K4-1)+1))</f>
        <v>0</v>
      </c>
      <c r="K38" s="49">
        <f ca="1">('TFA Prevalences'!AJ70*('RR TFA'!L4-1))/(('TFA Prevalences'!AJ70*('RR TFA'!L4-1)+1))</f>
        <v>0</v>
      </c>
      <c r="L38" s="49">
        <f ca="1">('TFA Prevalences'!AK70*('RR TFA'!M4-1))/(('TFA Prevalences'!AK70*('RR TFA'!M4-1)+1))</f>
        <v>0</v>
      </c>
      <c r="M38" s="49">
        <f ca="1">('TFA Prevalences'!AL70*('RR TFA'!N4-1))/(('TFA Prevalences'!AL70*('RR TFA'!N4-1)+1))</f>
        <v>0</v>
      </c>
      <c r="N38" s="49">
        <f ca="1">('TFA Prevalences'!AM70*('RR TFA'!O4-1))/(('TFA Prevalences'!AM70*('RR TFA'!O4-1)+1))</f>
        <v>0</v>
      </c>
      <c r="O38" s="49">
        <f ca="1">('TFA Prevalences'!AN70*('RR TFA'!P4-1))/(('TFA Prevalences'!AN70*('RR TFA'!P4-1)+1))</f>
        <v>0</v>
      </c>
      <c r="P38" s="49">
        <f ca="1">('TFA Prevalences'!AO70*('RR TFA'!Q4-1))/(('TFA Prevalences'!AO70*('RR TFA'!Q4-1)+1))</f>
        <v>0</v>
      </c>
      <c r="Q38" s="49">
        <f ca="1">('TFA Prevalences'!AP70*('RR TFA'!R4-1))/(('TFA Prevalences'!AP70*('RR TFA'!R4-1)+1))</f>
        <v>0</v>
      </c>
      <c r="R38" s="49">
        <f ca="1">('TFA Prevalences'!AQ70*('RR TFA'!S4-1))/(('TFA Prevalences'!AQ70*('RR TFA'!S4-1)+1))</f>
        <v>0</v>
      </c>
      <c r="S38" s="49">
        <f ca="1">('TFA Prevalences'!AR70*('RR TFA'!T4-1))/(('TFA Prevalences'!AR70*('RR TFA'!T4-1)+1))</f>
        <v>0</v>
      </c>
      <c r="T38" s="49">
        <f ca="1">('TFA Prevalences'!AS70*('RR TFA'!U4-1))/(('TFA Prevalences'!AS70*('RR TFA'!U4-1)+1))</f>
        <v>0</v>
      </c>
      <c r="U38" s="49">
        <f ca="1">('TFA Prevalences'!AT70*('RR TFA'!V4-1))/(('TFA Prevalences'!AT70*('RR TFA'!V4-1)+1))</f>
        <v>0</v>
      </c>
      <c r="V38" s="49">
        <f ca="1">('TFA Prevalences'!AU70*('RR TFA'!W4-1))/(('TFA Prevalences'!AU70*('RR TFA'!W4-1)+1))</f>
        <v>0</v>
      </c>
      <c r="W38" s="49">
        <f ca="1">('TFA Prevalences'!AV70*('RR TFA'!X4-1))/(('TFA Prevalences'!AV70*('RR TFA'!X4-1)+1))</f>
        <v>0</v>
      </c>
      <c r="X38" s="49">
        <f ca="1">('TFA Prevalences'!AW70*('RR TFA'!Y4-1))/(('TFA Prevalences'!AW70*('RR TFA'!Y4-1)+1))</f>
        <v>0</v>
      </c>
      <c r="Y38" s="49">
        <f ca="1">('TFA Prevalences'!AX70*('RR TFA'!Z4-1))/(('TFA Prevalences'!AX70*('RR TFA'!Z4-1)+1))</f>
        <v>0</v>
      </c>
      <c r="Z38" s="49">
        <f ca="1">('TFA Prevalences'!AY70*('RR TFA'!AA4-1))/(('TFA Prevalences'!AY70*('RR TFA'!AA4-1)+1))</f>
        <v>0</v>
      </c>
      <c r="AA38">
        <f ca="1">SUM(B38:Z38)</f>
        <v>0</v>
      </c>
    </row>
    <row r="39" spans="1:27" ht="15.5" x14ac:dyDescent="0.35">
      <c r="A39" s="43" t="s">
        <v>46</v>
      </c>
      <c r="B39" s="49">
        <f ca="1">('TFA Prevalences'!AA71*('RR TFA'!C5-1))/(('TFA Prevalences'!AA71*('RR TFA'!C5-1)+1))</f>
        <v>0</v>
      </c>
      <c r="C39" s="49">
        <f ca="1">('TFA Prevalences'!AB71*('RR TFA'!D5-1))/(('TFA Prevalences'!AB71*('RR TFA'!D5-1)+1))</f>
        <v>0</v>
      </c>
      <c r="D39" s="49">
        <f ca="1">('TFA Prevalences'!AC71*('RR TFA'!E5-1))/(('TFA Prevalences'!AC71*('RR TFA'!E5-1)+1))</f>
        <v>0</v>
      </c>
      <c r="E39" s="49">
        <f ca="1">('TFA Prevalences'!AD71*('RR TFA'!F5-1))/(('TFA Prevalences'!AD71*('RR TFA'!F5-1)+1))</f>
        <v>0</v>
      </c>
      <c r="F39" s="49">
        <f ca="1">('TFA Prevalences'!AE71*('RR TFA'!G5-1))/(('TFA Prevalences'!AE71*('RR TFA'!G5-1)+1))</f>
        <v>0</v>
      </c>
      <c r="G39" s="49">
        <f ca="1">('TFA Prevalences'!AF71*('RR TFA'!H5-1))/(('TFA Prevalences'!AF71*('RR TFA'!H5-1)+1))</f>
        <v>0</v>
      </c>
      <c r="H39" s="19">
        <f ca="1">('TFA Prevalences'!AG71*('RR TFA'!I5-1))/(('TFA Prevalences'!AG71*('RR TFA'!I5-1)+1))</f>
        <v>0</v>
      </c>
      <c r="I39" s="49">
        <f ca="1">('TFA Prevalences'!AH71*('RR TFA'!J5-1))/(('TFA Prevalences'!AH71*('RR TFA'!J5-1)+1))</f>
        <v>0</v>
      </c>
      <c r="J39" s="49">
        <f ca="1">('TFA Prevalences'!AI71*('RR TFA'!K5-1))/(('TFA Prevalences'!AI71*('RR TFA'!K5-1)+1))</f>
        <v>0</v>
      </c>
      <c r="K39" s="49">
        <f ca="1">('TFA Prevalences'!AJ71*('RR TFA'!L5-1))/(('TFA Prevalences'!AJ71*('RR TFA'!L5-1)+1))</f>
        <v>0</v>
      </c>
      <c r="L39" s="49">
        <f ca="1">('TFA Prevalences'!AK71*('RR TFA'!M5-1))/(('TFA Prevalences'!AK71*('RR TFA'!M5-1)+1))</f>
        <v>0</v>
      </c>
      <c r="M39" s="49">
        <f ca="1">('TFA Prevalences'!AL71*('RR TFA'!N5-1))/(('TFA Prevalences'!AL71*('RR TFA'!N5-1)+1))</f>
        <v>0</v>
      </c>
      <c r="N39" s="49">
        <f ca="1">('TFA Prevalences'!AM71*('RR TFA'!O5-1))/(('TFA Prevalences'!AM71*('RR TFA'!O5-1)+1))</f>
        <v>0</v>
      </c>
      <c r="O39" s="49">
        <f ca="1">('TFA Prevalences'!AN71*('RR TFA'!P5-1))/(('TFA Prevalences'!AN71*('RR TFA'!P5-1)+1))</f>
        <v>0</v>
      </c>
      <c r="P39" s="49">
        <f ca="1">('TFA Prevalences'!AO71*('RR TFA'!Q5-1))/(('TFA Prevalences'!AO71*('RR TFA'!Q5-1)+1))</f>
        <v>0</v>
      </c>
      <c r="Q39" s="49">
        <f ca="1">('TFA Prevalences'!AP71*('RR TFA'!R5-1))/(('TFA Prevalences'!AP71*('RR TFA'!R5-1)+1))</f>
        <v>0</v>
      </c>
      <c r="R39" s="49">
        <f ca="1">('TFA Prevalences'!AQ71*('RR TFA'!S5-1))/(('TFA Prevalences'!AQ71*('RR TFA'!S5-1)+1))</f>
        <v>0</v>
      </c>
      <c r="S39" s="49">
        <f ca="1">('TFA Prevalences'!AR71*('RR TFA'!T5-1))/(('TFA Prevalences'!AR71*('RR TFA'!T5-1)+1))</f>
        <v>0</v>
      </c>
      <c r="T39" s="49">
        <f ca="1">('TFA Prevalences'!AS71*('RR TFA'!U5-1))/(('TFA Prevalences'!AS71*('RR TFA'!U5-1)+1))</f>
        <v>0</v>
      </c>
      <c r="U39" s="49">
        <f ca="1">('TFA Prevalences'!AT71*('RR TFA'!V5-1))/(('TFA Prevalences'!AT71*('RR TFA'!V5-1)+1))</f>
        <v>0</v>
      </c>
      <c r="V39" s="49">
        <f ca="1">('TFA Prevalences'!AU71*('RR TFA'!W5-1))/(('TFA Prevalences'!AU71*('RR TFA'!W5-1)+1))</f>
        <v>0</v>
      </c>
      <c r="W39" s="49">
        <f ca="1">('TFA Prevalences'!AV71*('RR TFA'!X5-1))/(('TFA Prevalences'!AV71*('RR TFA'!X5-1)+1))</f>
        <v>0</v>
      </c>
      <c r="X39" s="49">
        <f ca="1">('TFA Prevalences'!AW71*('RR TFA'!Y5-1))/(('TFA Prevalences'!AW71*('RR TFA'!Y5-1)+1))</f>
        <v>0</v>
      </c>
      <c r="Y39" s="49">
        <f ca="1">('TFA Prevalences'!AX71*('RR TFA'!Z5-1))/(('TFA Prevalences'!AX71*('RR TFA'!Z5-1)+1))</f>
        <v>0</v>
      </c>
      <c r="Z39" s="49">
        <f ca="1">('TFA Prevalences'!AY71*('RR TFA'!AA5-1))/(('TFA Prevalences'!AY71*('RR TFA'!AA5-1)+1))</f>
        <v>0</v>
      </c>
      <c r="AA39">
        <f t="shared" ref="AA39:AA51" ca="1" si="27">SUM(B39:Z39)</f>
        <v>0</v>
      </c>
    </row>
    <row r="40" spans="1:27" ht="15.5" x14ac:dyDescent="0.35">
      <c r="A40" s="43" t="s">
        <v>47</v>
      </c>
      <c r="B40" s="49">
        <f ca="1">('TFA Prevalences'!AA72*('RR TFA'!C6-1))/(('TFA Prevalences'!AA72*('RR TFA'!C6-1)+1))</f>
        <v>0</v>
      </c>
      <c r="C40" s="49">
        <f ca="1">('TFA Prevalences'!AB72*('RR TFA'!D6-1))/(('TFA Prevalences'!AB72*('RR TFA'!D6-1)+1))</f>
        <v>0</v>
      </c>
      <c r="D40" s="49">
        <f ca="1">('TFA Prevalences'!AC72*('RR TFA'!E6-1))/(('TFA Prevalences'!AC72*('RR TFA'!E6-1)+1))</f>
        <v>0</v>
      </c>
      <c r="E40" s="49">
        <f ca="1">('TFA Prevalences'!AD72*('RR TFA'!F6-1))/(('TFA Prevalences'!AD72*('RR TFA'!F6-1)+1))</f>
        <v>0</v>
      </c>
      <c r="F40" s="49">
        <f ca="1">('TFA Prevalences'!AE72*('RR TFA'!G6-1))/(('TFA Prevalences'!AE72*('RR TFA'!G6-1)+1))</f>
        <v>0</v>
      </c>
      <c r="G40" s="49">
        <f ca="1">('TFA Prevalences'!AF72*('RR TFA'!H6-1))/(('TFA Prevalences'!AF72*('RR TFA'!H6-1)+1))</f>
        <v>0</v>
      </c>
      <c r="H40" s="19">
        <f ca="1">('TFA Prevalences'!AG72*('RR TFA'!I6-1))/(('TFA Prevalences'!AG72*('RR TFA'!I6-1)+1))</f>
        <v>0</v>
      </c>
      <c r="I40" s="49">
        <f ca="1">('TFA Prevalences'!AH72*('RR TFA'!J6-1))/(('TFA Prevalences'!AH72*('RR TFA'!J6-1)+1))</f>
        <v>0</v>
      </c>
      <c r="J40" s="49">
        <f ca="1">('TFA Prevalences'!AI72*('RR TFA'!K6-1))/(('TFA Prevalences'!AI72*('RR TFA'!K6-1)+1))</f>
        <v>0</v>
      </c>
      <c r="K40" s="49">
        <f ca="1">('TFA Prevalences'!AJ72*('RR TFA'!L6-1))/(('TFA Prevalences'!AJ72*('RR TFA'!L6-1)+1))</f>
        <v>0</v>
      </c>
      <c r="L40" s="49">
        <f ca="1">('TFA Prevalences'!AK72*('RR TFA'!M6-1))/(('TFA Prevalences'!AK72*('RR TFA'!M6-1)+1))</f>
        <v>0</v>
      </c>
      <c r="M40" s="49">
        <f ca="1">('TFA Prevalences'!AL72*('RR TFA'!N6-1))/(('TFA Prevalences'!AL72*('RR TFA'!N6-1)+1))</f>
        <v>0</v>
      </c>
      <c r="N40" s="49">
        <f ca="1">('TFA Prevalences'!AM72*('RR TFA'!O6-1))/(('TFA Prevalences'!AM72*('RR TFA'!O6-1)+1))</f>
        <v>0</v>
      </c>
      <c r="O40" s="49">
        <f ca="1">('TFA Prevalences'!AN72*('RR TFA'!P6-1))/(('TFA Prevalences'!AN72*('RR TFA'!P6-1)+1))</f>
        <v>0</v>
      </c>
      <c r="P40" s="49">
        <f ca="1">('TFA Prevalences'!AO72*('RR TFA'!Q6-1))/(('TFA Prevalences'!AO72*('RR TFA'!Q6-1)+1))</f>
        <v>0</v>
      </c>
      <c r="Q40" s="49">
        <f ca="1">('TFA Prevalences'!AP72*('RR TFA'!R6-1))/(('TFA Prevalences'!AP72*('RR TFA'!R6-1)+1))</f>
        <v>0</v>
      </c>
      <c r="R40" s="49">
        <f ca="1">('TFA Prevalences'!AQ72*('RR TFA'!S6-1))/(('TFA Prevalences'!AQ72*('RR TFA'!S6-1)+1))</f>
        <v>0</v>
      </c>
      <c r="S40" s="49">
        <f ca="1">('TFA Prevalences'!AR72*('RR TFA'!T6-1))/(('TFA Prevalences'!AR72*('RR TFA'!T6-1)+1))</f>
        <v>0</v>
      </c>
      <c r="T40" s="49">
        <f ca="1">('TFA Prevalences'!AS72*('RR TFA'!U6-1))/(('TFA Prevalences'!AS72*('RR TFA'!U6-1)+1))</f>
        <v>0</v>
      </c>
      <c r="U40" s="49">
        <f ca="1">('TFA Prevalences'!AT72*('RR TFA'!V6-1))/(('TFA Prevalences'!AT72*('RR TFA'!V6-1)+1))</f>
        <v>0</v>
      </c>
      <c r="V40" s="49">
        <f ca="1">('TFA Prevalences'!AU72*('RR TFA'!W6-1))/(('TFA Prevalences'!AU72*('RR TFA'!W6-1)+1))</f>
        <v>0</v>
      </c>
      <c r="W40" s="49">
        <f ca="1">('TFA Prevalences'!AV72*('RR TFA'!X6-1))/(('TFA Prevalences'!AV72*('RR TFA'!X6-1)+1))</f>
        <v>0</v>
      </c>
      <c r="X40" s="49">
        <f ca="1">('TFA Prevalences'!AW72*('RR TFA'!Y6-1))/(('TFA Prevalences'!AW72*('RR TFA'!Y6-1)+1))</f>
        <v>0</v>
      </c>
      <c r="Y40" s="49">
        <f ca="1">('TFA Prevalences'!AX72*('RR TFA'!Z6-1))/(('TFA Prevalences'!AX72*('RR TFA'!Z6-1)+1))</f>
        <v>0</v>
      </c>
      <c r="Z40" s="49">
        <f ca="1">('TFA Prevalences'!AY72*('RR TFA'!AA6-1))/(('TFA Prevalences'!AY72*('RR TFA'!AA6-1)+1))</f>
        <v>0</v>
      </c>
      <c r="AA40">
        <f t="shared" ca="1" si="27"/>
        <v>0</v>
      </c>
    </row>
    <row r="41" spans="1:27" ht="15.5" x14ac:dyDescent="0.35">
      <c r="A41" s="43" t="s">
        <v>48</v>
      </c>
      <c r="B41" s="49">
        <f ca="1">('TFA Prevalences'!AA73*('RR TFA'!C7-1))/(('TFA Prevalences'!AA73*('RR TFA'!C7-1)+1))</f>
        <v>0</v>
      </c>
      <c r="C41" s="49">
        <f ca="1">('TFA Prevalences'!AB73*('RR TFA'!D7-1))/(('TFA Prevalences'!AB73*('RR TFA'!D7-1)+1))</f>
        <v>0</v>
      </c>
      <c r="D41" s="49">
        <f ca="1">('TFA Prevalences'!AC73*('RR TFA'!E7-1))/(('TFA Prevalences'!AC73*('RR TFA'!E7-1)+1))</f>
        <v>0</v>
      </c>
      <c r="E41" s="49">
        <f ca="1">('TFA Prevalences'!AD73*('RR TFA'!F7-1))/(('TFA Prevalences'!AD73*('RR TFA'!F7-1)+1))</f>
        <v>0</v>
      </c>
      <c r="F41" s="49">
        <f ca="1">('TFA Prevalences'!AE73*('RR TFA'!G7-1))/(('TFA Prevalences'!AE73*('RR TFA'!G7-1)+1))</f>
        <v>0</v>
      </c>
      <c r="G41" s="49">
        <f ca="1">('TFA Prevalences'!AF73*('RR TFA'!H7-1))/(('TFA Prevalences'!AF73*('RR TFA'!H7-1)+1))</f>
        <v>0</v>
      </c>
      <c r="H41" s="19">
        <f ca="1">('TFA Prevalences'!AG73*('RR TFA'!I7-1))/(('TFA Prevalences'!AG73*('RR TFA'!I7-1)+1))</f>
        <v>0</v>
      </c>
      <c r="I41" s="49">
        <f ca="1">('TFA Prevalences'!AH73*('RR TFA'!J7-1))/(('TFA Prevalences'!AH73*('RR TFA'!J7-1)+1))</f>
        <v>0</v>
      </c>
      <c r="J41" s="49">
        <f ca="1">('TFA Prevalences'!AI73*('RR TFA'!K7-1))/(('TFA Prevalences'!AI73*('RR TFA'!K7-1)+1))</f>
        <v>0</v>
      </c>
      <c r="K41" s="49">
        <f ca="1">('TFA Prevalences'!AJ73*('RR TFA'!L7-1))/(('TFA Prevalences'!AJ73*('RR TFA'!L7-1)+1))</f>
        <v>0</v>
      </c>
      <c r="L41" s="49">
        <f ca="1">('TFA Prevalences'!AK73*('RR TFA'!M7-1))/(('TFA Prevalences'!AK73*('RR TFA'!M7-1)+1))</f>
        <v>0</v>
      </c>
      <c r="M41" s="49">
        <f ca="1">('TFA Prevalences'!AL73*('RR TFA'!N7-1))/(('TFA Prevalences'!AL73*('RR TFA'!N7-1)+1))</f>
        <v>0</v>
      </c>
      <c r="N41" s="49">
        <f ca="1">('TFA Prevalences'!AM73*('RR TFA'!O7-1))/(('TFA Prevalences'!AM73*('RR TFA'!O7-1)+1))</f>
        <v>0</v>
      </c>
      <c r="O41" s="49">
        <f ca="1">('TFA Prevalences'!AN73*('RR TFA'!P7-1))/(('TFA Prevalences'!AN73*('RR TFA'!P7-1)+1))</f>
        <v>0</v>
      </c>
      <c r="P41" s="49">
        <f ca="1">('TFA Prevalences'!AO73*('RR TFA'!Q7-1))/(('TFA Prevalences'!AO73*('RR TFA'!Q7-1)+1))</f>
        <v>0</v>
      </c>
      <c r="Q41" s="49">
        <f ca="1">('TFA Prevalences'!AP73*('RR TFA'!R7-1))/(('TFA Prevalences'!AP73*('RR TFA'!R7-1)+1))</f>
        <v>0</v>
      </c>
      <c r="R41" s="49">
        <f ca="1">('TFA Prevalences'!AQ73*('RR TFA'!S7-1))/(('TFA Prevalences'!AQ73*('RR TFA'!S7-1)+1))</f>
        <v>0</v>
      </c>
      <c r="S41" s="49">
        <f ca="1">('TFA Prevalences'!AR73*('RR TFA'!T7-1))/(('TFA Prevalences'!AR73*('RR TFA'!T7-1)+1))</f>
        <v>0</v>
      </c>
      <c r="T41" s="49">
        <f ca="1">('TFA Prevalences'!AS73*('RR TFA'!U7-1))/(('TFA Prevalences'!AS73*('RR TFA'!U7-1)+1))</f>
        <v>0</v>
      </c>
      <c r="U41" s="49">
        <f ca="1">('TFA Prevalences'!AT73*('RR TFA'!V7-1))/(('TFA Prevalences'!AT73*('RR TFA'!V7-1)+1))</f>
        <v>0</v>
      </c>
      <c r="V41" s="49">
        <f ca="1">('TFA Prevalences'!AU73*('RR TFA'!W7-1))/(('TFA Prevalences'!AU73*('RR TFA'!W7-1)+1))</f>
        <v>0</v>
      </c>
      <c r="W41" s="49">
        <f ca="1">('TFA Prevalences'!AV73*('RR TFA'!X7-1))/(('TFA Prevalences'!AV73*('RR TFA'!X7-1)+1))</f>
        <v>0</v>
      </c>
      <c r="X41" s="49">
        <f ca="1">('TFA Prevalences'!AW73*('RR TFA'!Y7-1))/(('TFA Prevalences'!AW73*('RR TFA'!Y7-1)+1))</f>
        <v>0</v>
      </c>
      <c r="Y41" s="49">
        <f ca="1">('TFA Prevalences'!AX73*('RR TFA'!Z7-1))/(('TFA Prevalences'!AX73*('RR TFA'!Z7-1)+1))</f>
        <v>0</v>
      </c>
      <c r="Z41" s="49">
        <f ca="1">('TFA Prevalences'!AY73*('RR TFA'!AA7-1))/(('TFA Prevalences'!AY73*('RR TFA'!AA7-1)+1))</f>
        <v>0</v>
      </c>
      <c r="AA41">
        <f t="shared" ca="1" si="27"/>
        <v>0</v>
      </c>
    </row>
    <row r="42" spans="1:27" ht="15.5" x14ac:dyDescent="0.35">
      <c r="A42" s="43" t="s">
        <v>49</v>
      </c>
      <c r="B42" s="49">
        <f ca="1">('TFA Prevalences'!AA74*('RR TFA'!C8-1))/(('TFA Prevalences'!AA74*('RR TFA'!C8-1)+1))</f>
        <v>0</v>
      </c>
      <c r="C42" s="49">
        <f ca="1">('TFA Prevalences'!AB74*('RR TFA'!D8-1))/(('TFA Prevalences'!AB74*('RR TFA'!D8-1)+1))</f>
        <v>0</v>
      </c>
      <c r="D42" s="49">
        <f ca="1">('TFA Prevalences'!AC74*('RR TFA'!E8-1))/(('TFA Prevalences'!AC74*('RR TFA'!E8-1)+1))</f>
        <v>0</v>
      </c>
      <c r="E42" s="49">
        <f ca="1">('TFA Prevalences'!AD74*('RR TFA'!F8-1))/(('TFA Prevalences'!AD74*('RR TFA'!F8-1)+1))</f>
        <v>0</v>
      </c>
      <c r="F42" s="49">
        <f ca="1">('TFA Prevalences'!AE74*('RR TFA'!G8-1))/(('TFA Prevalences'!AE74*('RR TFA'!G8-1)+1))</f>
        <v>0</v>
      </c>
      <c r="G42" s="49">
        <f ca="1">('TFA Prevalences'!AF74*('RR TFA'!H8-1))/(('TFA Prevalences'!AF74*('RR TFA'!H8-1)+1))</f>
        <v>0</v>
      </c>
      <c r="H42" s="19">
        <f ca="1">('TFA Prevalences'!AG74*('RR TFA'!I8-1))/(('TFA Prevalences'!AG74*('RR TFA'!I8-1)+1))</f>
        <v>0</v>
      </c>
      <c r="I42" s="49">
        <f ca="1">('TFA Prevalences'!AH74*('RR TFA'!J8-1))/(('TFA Prevalences'!AH74*('RR TFA'!J8-1)+1))</f>
        <v>0</v>
      </c>
      <c r="J42" s="49">
        <f ca="1">('TFA Prevalences'!AI74*('RR TFA'!K8-1))/(('TFA Prevalences'!AI74*('RR TFA'!K8-1)+1))</f>
        <v>0</v>
      </c>
      <c r="K42" s="49">
        <f ca="1">('TFA Prevalences'!AJ74*('RR TFA'!L8-1))/(('TFA Prevalences'!AJ74*('RR TFA'!L8-1)+1))</f>
        <v>0</v>
      </c>
      <c r="L42" s="49">
        <f ca="1">('TFA Prevalences'!AK74*('RR TFA'!M8-1))/(('TFA Prevalences'!AK74*('RR TFA'!M8-1)+1))</f>
        <v>0</v>
      </c>
      <c r="M42" s="49">
        <f ca="1">('TFA Prevalences'!AL74*('RR TFA'!N8-1))/(('TFA Prevalences'!AL74*('RR TFA'!N8-1)+1))</f>
        <v>0</v>
      </c>
      <c r="N42" s="49">
        <f ca="1">('TFA Prevalences'!AM74*('RR TFA'!O8-1))/(('TFA Prevalences'!AM74*('RR TFA'!O8-1)+1))</f>
        <v>0</v>
      </c>
      <c r="O42" s="49">
        <f ca="1">('TFA Prevalences'!AN74*('RR TFA'!P8-1))/(('TFA Prevalences'!AN74*('RR TFA'!P8-1)+1))</f>
        <v>0</v>
      </c>
      <c r="P42" s="49">
        <f ca="1">('TFA Prevalences'!AO74*('RR TFA'!Q8-1))/(('TFA Prevalences'!AO74*('RR TFA'!Q8-1)+1))</f>
        <v>0</v>
      </c>
      <c r="Q42" s="49">
        <f ca="1">('TFA Prevalences'!AP74*('RR TFA'!R8-1))/(('TFA Prevalences'!AP74*('RR TFA'!R8-1)+1))</f>
        <v>0</v>
      </c>
      <c r="R42" s="49">
        <f ca="1">('TFA Prevalences'!AQ74*('RR TFA'!S8-1))/(('TFA Prevalences'!AQ74*('RR TFA'!S8-1)+1))</f>
        <v>0</v>
      </c>
      <c r="S42" s="49">
        <f ca="1">('TFA Prevalences'!AR74*('RR TFA'!T8-1))/(('TFA Prevalences'!AR74*('RR TFA'!T8-1)+1))</f>
        <v>0</v>
      </c>
      <c r="T42" s="49">
        <f ca="1">('TFA Prevalences'!AS74*('RR TFA'!U8-1))/(('TFA Prevalences'!AS74*('RR TFA'!U8-1)+1))</f>
        <v>0</v>
      </c>
      <c r="U42" s="49">
        <f ca="1">('TFA Prevalences'!AT74*('RR TFA'!V8-1))/(('TFA Prevalences'!AT74*('RR TFA'!V8-1)+1))</f>
        <v>0</v>
      </c>
      <c r="V42" s="49">
        <f ca="1">('TFA Prevalences'!AU74*('RR TFA'!W8-1))/(('TFA Prevalences'!AU74*('RR TFA'!W8-1)+1))</f>
        <v>0</v>
      </c>
      <c r="W42" s="49">
        <f ca="1">('TFA Prevalences'!AV74*('RR TFA'!X8-1))/(('TFA Prevalences'!AV74*('RR TFA'!X8-1)+1))</f>
        <v>0</v>
      </c>
      <c r="X42" s="49">
        <f ca="1">('TFA Prevalences'!AW74*('RR TFA'!Y8-1))/(('TFA Prevalences'!AW74*('RR TFA'!Y8-1)+1))</f>
        <v>0</v>
      </c>
      <c r="Y42" s="49">
        <f ca="1">('TFA Prevalences'!AX74*('RR TFA'!Z8-1))/(('TFA Prevalences'!AX74*('RR TFA'!Z8-1)+1))</f>
        <v>0</v>
      </c>
      <c r="Z42" s="49">
        <f ca="1">('TFA Prevalences'!AY74*('RR TFA'!AA8-1))/(('TFA Prevalences'!AY74*('RR TFA'!AA8-1)+1))</f>
        <v>0</v>
      </c>
      <c r="AA42">
        <f t="shared" ca="1" si="27"/>
        <v>0</v>
      </c>
    </row>
    <row r="43" spans="1:27" ht="15.5" x14ac:dyDescent="0.35">
      <c r="A43" s="43" t="s">
        <v>50</v>
      </c>
      <c r="B43" s="49">
        <f ca="1">('TFA Prevalences'!AA75*('RR TFA'!C9-1))/(('TFA Prevalences'!AA75*('RR TFA'!C9-1)+1))</f>
        <v>0</v>
      </c>
      <c r="C43" s="49">
        <f ca="1">('TFA Prevalences'!AB75*('RR TFA'!D9-1))/(('TFA Prevalences'!AB75*('RR TFA'!D9-1)+1))</f>
        <v>0</v>
      </c>
      <c r="D43" s="49">
        <f ca="1">('TFA Prevalences'!AC75*('RR TFA'!E9-1))/(('TFA Prevalences'!AC75*('RR TFA'!E9-1)+1))</f>
        <v>0</v>
      </c>
      <c r="E43" s="49">
        <f ca="1">('TFA Prevalences'!AD75*('RR TFA'!F9-1))/(('TFA Prevalences'!AD75*('RR TFA'!F9-1)+1))</f>
        <v>0</v>
      </c>
      <c r="F43" s="49">
        <f ca="1">('TFA Prevalences'!AE75*('RR TFA'!G9-1))/(('TFA Prevalences'!AE75*('RR TFA'!G9-1)+1))</f>
        <v>0</v>
      </c>
      <c r="G43" s="49">
        <f ca="1">('TFA Prevalences'!AF75*('RR TFA'!H9-1))/(('TFA Prevalences'!AF75*('RR TFA'!H9-1)+1))</f>
        <v>0</v>
      </c>
      <c r="H43" s="19">
        <f ca="1">('TFA Prevalences'!AG75*('RR TFA'!I9-1))/(('TFA Prevalences'!AG75*('RR TFA'!I9-1)+1))</f>
        <v>0</v>
      </c>
      <c r="I43" s="49">
        <f ca="1">('TFA Prevalences'!AH75*('RR TFA'!J9-1))/(('TFA Prevalences'!AH75*('RR TFA'!J9-1)+1))</f>
        <v>0</v>
      </c>
      <c r="J43" s="49">
        <f ca="1">('TFA Prevalences'!AI75*('RR TFA'!K9-1))/(('TFA Prevalences'!AI75*('RR TFA'!K9-1)+1))</f>
        <v>0</v>
      </c>
      <c r="K43" s="49">
        <f ca="1">('TFA Prevalences'!AJ75*('RR TFA'!L9-1))/(('TFA Prevalences'!AJ75*('RR TFA'!L9-1)+1))</f>
        <v>0</v>
      </c>
      <c r="L43" s="49">
        <f ca="1">('TFA Prevalences'!AK75*('RR TFA'!M9-1))/(('TFA Prevalences'!AK75*('RR TFA'!M9-1)+1))</f>
        <v>0</v>
      </c>
      <c r="M43" s="49">
        <f ca="1">('TFA Prevalences'!AL75*('RR TFA'!N9-1))/(('TFA Prevalences'!AL75*('RR TFA'!N9-1)+1))</f>
        <v>0</v>
      </c>
      <c r="N43" s="49">
        <f ca="1">('TFA Prevalences'!AM75*('RR TFA'!O9-1))/(('TFA Prevalences'!AM75*('RR TFA'!O9-1)+1))</f>
        <v>0</v>
      </c>
      <c r="O43" s="49">
        <f ca="1">('TFA Prevalences'!AN75*('RR TFA'!P9-1))/(('TFA Prevalences'!AN75*('RR TFA'!P9-1)+1))</f>
        <v>0</v>
      </c>
      <c r="P43" s="49">
        <f ca="1">('TFA Prevalences'!AO75*('RR TFA'!Q9-1))/(('TFA Prevalences'!AO75*('RR TFA'!Q9-1)+1))</f>
        <v>0</v>
      </c>
      <c r="Q43" s="49">
        <f ca="1">('TFA Prevalences'!AP75*('RR TFA'!R9-1))/(('TFA Prevalences'!AP75*('RR TFA'!R9-1)+1))</f>
        <v>0</v>
      </c>
      <c r="R43" s="49">
        <f ca="1">('TFA Prevalences'!AQ75*('RR TFA'!S9-1))/(('TFA Prevalences'!AQ75*('RR TFA'!S9-1)+1))</f>
        <v>0</v>
      </c>
      <c r="S43" s="49">
        <f ca="1">('TFA Prevalences'!AR75*('RR TFA'!T9-1))/(('TFA Prevalences'!AR75*('RR TFA'!T9-1)+1))</f>
        <v>0</v>
      </c>
      <c r="T43" s="49">
        <f ca="1">('TFA Prevalences'!AS75*('RR TFA'!U9-1))/(('TFA Prevalences'!AS75*('RR TFA'!U9-1)+1))</f>
        <v>0</v>
      </c>
      <c r="U43" s="49">
        <f ca="1">('TFA Prevalences'!AT75*('RR TFA'!V9-1))/(('TFA Prevalences'!AT75*('RR TFA'!V9-1)+1))</f>
        <v>0</v>
      </c>
      <c r="V43" s="49">
        <f ca="1">('TFA Prevalences'!AU75*('RR TFA'!W9-1))/(('TFA Prevalences'!AU75*('RR TFA'!W9-1)+1))</f>
        <v>0</v>
      </c>
      <c r="W43" s="49">
        <f ca="1">('TFA Prevalences'!AV75*('RR TFA'!X9-1))/(('TFA Prevalences'!AV75*('RR TFA'!X9-1)+1))</f>
        <v>0</v>
      </c>
      <c r="X43" s="49">
        <f ca="1">('TFA Prevalences'!AW75*('RR TFA'!Y9-1))/(('TFA Prevalences'!AW75*('RR TFA'!Y9-1)+1))</f>
        <v>0</v>
      </c>
      <c r="Y43" s="49">
        <f ca="1">('TFA Prevalences'!AX75*('RR TFA'!Z9-1))/(('TFA Prevalences'!AX75*('RR TFA'!Z9-1)+1))</f>
        <v>0</v>
      </c>
      <c r="Z43" s="49">
        <f ca="1">('TFA Prevalences'!AY75*('RR TFA'!AA9-1))/(('TFA Prevalences'!AY75*('RR TFA'!AA9-1)+1))</f>
        <v>0</v>
      </c>
      <c r="AA43">
        <f t="shared" ca="1" si="27"/>
        <v>0</v>
      </c>
    </row>
    <row r="44" spans="1:27" ht="15.5" x14ac:dyDescent="0.35">
      <c r="A44" s="43" t="s">
        <v>51</v>
      </c>
      <c r="B44" s="49">
        <f ca="1">('TFA Prevalences'!AA76*('RR TFA'!C10-1))/(('TFA Prevalences'!AA76*('RR TFA'!C10-1)+1))</f>
        <v>0</v>
      </c>
      <c r="C44" s="49">
        <f ca="1">('TFA Prevalences'!AB76*('RR TFA'!D10-1))/(('TFA Prevalences'!AB76*('RR TFA'!D10-1)+1))</f>
        <v>0</v>
      </c>
      <c r="D44" s="49">
        <f ca="1">('TFA Prevalences'!AC76*('RR TFA'!E10-1))/(('TFA Prevalences'!AC76*('RR TFA'!E10-1)+1))</f>
        <v>0</v>
      </c>
      <c r="E44" s="49">
        <f ca="1">('TFA Prevalences'!AD76*('RR TFA'!F10-1))/(('TFA Prevalences'!AD76*('RR TFA'!F10-1)+1))</f>
        <v>0</v>
      </c>
      <c r="F44" s="49">
        <f ca="1">('TFA Prevalences'!AE76*('RR TFA'!G10-1))/(('TFA Prevalences'!AE76*('RR TFA'!G10-1)+1))</f>
        <v>0</v>
      </c>
      <c r="G44" s="49">
        <f ca="1">('TFA Prevalences'!AF76*('RR TFA'!H10-1))/(('TFA Prevalences'!AF76*('RR TFA'!H10-1)+1))</f>
        <v>0</v>
      </c>
      <c r="H44" s="19">
        <f ca="1">('TFA Prevalences'!AG76*('RR TFA'!I10-1))/(('TFA Prevalences'!AG76*('RR TFA'!I10-1)+1))</f>
        <v>0</v>
      </c>
      <c r="I44" s="49">
        <f ca="1">('TFA Prevalences'!AH76*('RR TFA'!J10-1))/(('TFA Prevalences'!AH76*('RR TFA'!J10-1)+1))</f>
        <v>0</v>
      </c>
      <c r="J44" s="49">
        <f ca="1">('TFA Prevalences'!AI76*('RR TFA'!K10-1))/(('TFA Prevalences'!AI76*('RR TFA'!K10-1)+1))</f>
        <v>0</v>
      </c>
      <c r="K44" s="49">
        <f ca="1">('TFA Prevalences'!AJ76*('RR TFA'!L10-1))/(('TFA Prevalences'!AJ76*('RR TFA'!L10-1)+1))</f>
        <v>0</v>
      </c>
      <c r="L44" s="49">
        <f ca="1">('TFA Prevalences'!AK76*('RR TFA'!M10-1))/(('TFA Prevalences'!AK76*('RR TFA'!M10-1)+1))</f>
        <v>0</v>
      </c>
      <c r="M44" s="49">
        <f ca="1">('TFA Prevalences'!AL76*('RR TFA'!N10-1))/(('TFA Prevalences'!AL76*('RR TFA'!N10-1)+1))</f>
        <v>0</v>
      </c>
      <c r="N44" s="49">
        <f ca="1">('TFA Prevalences'!AM76*('RR TFA'!O10-1))/(('TFA Prevalences'!AM76*('RR TFA'!O10-1)+1))</f>
        <v>0</v>
      </c>
      <c r="O44" s="49">
        <f ca="1">('TFA Prevalences'!AN76*('RR TFA'!P10-1))/(('TFA Prevalences'!AN76*('RR TFA'!P10-1)+1))</f>
        <v>0</v>
      </c>
      <c r="P44" s="49">
        <f ca="1">('TFA Prevalences'!AO76*('RR TFA'!Q10-1))/(('TFA Prevalences'!AO76*('RR TFA'!Q10-1)+1))</f>
        <v>0</v>
      </c>
      <c r="Q44" s="49">
        <f ca="1">('TFA Prevalences'!AP76*('RR TFA'!R10-1))/(('TFA Prevalences'!AP76*('RR TFA'!R10-1)+1))</f>
        <v>0</v>
      </c>
      <c r="R44" s="49">
        <f ca="1">('TFA Prevalences'!AQ76*('RR TFA'!S10-1))/(('TFA Prevalences'!AQ76*('RR TFA'!S10-1)+1))</f>
        <v>0</v>
      </c>
      <c r="S44" s="49">
        <f ca="1">('TFA Prevalences'!AR76*('RR TFA'!T10-1))/(('TFA Prevalences'!AR76*('RR TFA'!T10-1)+1))</f>
        <v>0</v>
      </c>
      <c r="T44" s="49">
        <f ca="1">('TFA Prevalences'!AS76*('RR TFA'!U10-1))/(('TFA Prevalences'!AS76*('RR TFA'!U10-1)+1))</f>
        <v>0</v>
      </c>
      <c r="U44" s="49">
        <f ca="1">('TFA Prevalences'!AT76*('RR TFA'!V10-1))/(('TFA Prevalences'!AT76*('RR TFA'!V10-1)+1))</f>
        <v>0</v>
      </c>
      <c r="V44" s="49">
        <f ca="1">('TFA Prevalences'!AU76*('RR TFA'!W10-1))/(('TFA Prevalences'!AU76*('RR TFA'!W10-1)+1))</f>
        <v>0</v>
      </c>
      <c r="W44" s="49">
        <f ca="1">('TFA Prevalences'!AV76*('RR TFA'!X10-1))/(('TFA Prevalences'!AV76*('RR TFA'!X10-1)+1))</f>
        <v>0</v>
      </c>
      <c r="X44" s="49">
        <f ca="1">('TFA Prevalences'!AW76*('RR TFA'!Y10-1))/(('TFA Prevalences'!AW76*('RR TFA'!Y10-1)+1))</f>
        <v>0</v>
      </c>
      <c r="Y44" s="49">
        <f ca="1">('TFA Prevalences'!AX76*('RR TFA'!Z10-1))/(('TFA Prevalences'!AX76*('RR TFA'!Z10-1)+1))</f>
        <v>0</v>
      </c>
      <c r="Z44" s="49">
        <f ca="1">('TFA Prevalences'!AY76*('RR TFA'!AA10-1))/(('TFA Prevalences'!AY76*('RR TFA'!AA10-1)+1))</f>
        <v>0</v>
      </c>
      <c r="AA44">
        <f t="shared" ca="1" si="27"/>
        <v>0</v>
      </c>
    </row>
    <row r="45" spans="1:27" ht="15.5" x14ac:dyDescent="0.35">
      <c r="A45" s="43" t="s">
        <v>52</v>
      </c>
      <c r="B45" s="49">
        <f ca="1">('TFA Prevalences'!AA77*('RR TFA'!C11-1))/(('TFA Prevalences'!AA77*('RR TFA'!C11-1)+1))</f>
        <v>0</v>
      </c>
      <c r="C45" s="49">
        <f ca="1">('TFA Prevalences'!AB77*('RR TFA'!D11-1))/(('TFA Prevalences'!AB77*('RR TFA'!D11-1)+1))</f>
        <v>0</v>
      </c>
      <c r="D45" s="49">
        <f ca="1">('TFA Prevalences'!AC77*('RR TFA'!E11-1))/(('TFA Prevalences'!AC77*('RR TFA'!E11-1)+1))</f>
        <v>0</v>
      </c>
      <c r="E45" s="49">
        <f ca="1">('TFA Prevalences'!AD77*('RR TFA'!F11-1))/(('TFA Prevalences'!AD77*('RR TFA'!F11-1)+1))</f>
        <v>0</v>
      </c>
      <c r="F45" s="49">
        <f ca="1">('TFA Prevalences'!AE77*('RR TFA'!G11-1))/(('TFA Prevalences'!AE77*('RR TFA'!G11-1)+1))</f>
        <v>0</v>
      </c>
      <c r="G45" s="49">
        <f ca="1">('TFA Prevalences'!AF77*('RR TFA'!H11-1))/(('TFA Prevalences'!AF77*('RR TFA'!H11-1)+1))</f>
        <v>0</v>
      </c>
      <c r="H45" s="19">
        <f ca="1">('TFA Prevalences'!AG77*('RR TFA'!I11-1))/(('TFA Prevalences'!AG77*('RR TFA'!I11-1)+1))</f>
        <v>0</v>
      </c>
      <c r="I45" s="49">
        <f ca="1">('TFA Prevalences'!AH77*('RR TFA'!J11-1))/(('TFA Prevalences'!AH77*('RR TFA'!J11-1)+1))</f>
        <v>0</v>
      </c>
      <c r="J45" s="49">
        <f ca="1">('TFA Prevalences'!AI77*('RR TFA'!K11-1))/(('TFA Prevalences'!AI77*('RR TFA'!K11-1)+1))</f>
        <v>0</v>
      </c>
      <c r="K45" s="49">
        <f ca="1">('TFA Prevalences'!AJ77*('RR TFA'!L11-1))/(('TFA Prevalences'!AJ77*('RR TFA'!L11-1)+1))</f>
        <v>0</v>
      </c>
      <c r="L45" s="49">
        <f ca="1">('TFA Prevalences'!AK77*('RR TFA'!M11-1))/(('TFA Prevalences'!AK77*('RR TFA'!M11-1)+1))</f>
        <v>0</v>
      </c>
      <c r="M45" s="49">
        <f ca="1">('TFA Prevalences'!AL77*('RR TFA'!N11-1))/(('TFA Prevalences'!AL77*('RR TFA'!N11-1)+1))</f>
        <v>0</v>
      </c>
      <c r="N45" s="49">
        <f ca="1">('TFA Prevalences'!AM77*('RR TFA'!O11-1))/(('TFA Prevalences'!AM77*('RR TFA'!O11-1)+1))</f>
        <v>0</v>
      </c>
      <c r="O45" s="49">
        <f ca="1">('TFA Prevalences'!AN77*('RR TFA'!P11-1))/(('TFA Prevalences'!AN77*('RR TFA'!P11-1)+1))</f>
        <v>0</v>
      </c>
      <c r="P45" s="49">
        <f ca="1">('TFA Prevalences'!AO77*('RR TFA'!Q11-1))/(('TFA Prevalences'!AO77*('RR TFA'!Q11-1)+1))</f>
        <v>0</v>
      </c>
      <c r="Q45" s="49">
        <f ca="1">('TFA Prevalences'!AP77*('RR TFA'!R11-1))/(('TFA Prevalences'!AP77*('RR TFA'!R11-1)+1))</f>
        <v>0</v>
      </c>
      <c r="R45" s="49">
        <f ca="1">('TFA Prevalences'!AQ77*('RR TFA'!S11-1))/(('TFA Prevalences'!AQ77*('RR TFA'!S11-1)+1))</f>
        <v>0</v>
      </c>
      <c r="S45" s="49">
        <f ca="1">('TFA Prevalences'!AR77*('RR TFA'!T11-1))/(('TFA Prevalences'!AR77*('RR TFA'!T11-1)+1))</f>
        <v>0</v>
      </c>
      <c r="T45" s="49">
        <f ca="1">('TFA Prevalences'!AS77*('RR TFA'!U11-1))/(('TFA Prevalences'!AS77*('RR TFA'!U11-1)+1))</f>
        <v>0</v>
      </c>
      <c r="U45" s="49">
        <f ca="1">('TFA Prevalences'!AT77*('RR TFA'!V11-1))/(('TFA Prevalences'!AT77*('RR TFA'!V11-1)+1))</f>
        <v>0</v>
      </c>
      <c r="V45" s="49">
        <f ca="1">('TFA Prevalences'!AU77*('RR TFA'!W11-1))/(('TFA Prevalences'!AU77*('RR TFA'!W11-1)+1))</f>
        <v>0</v>
      </c>
      <c r="W45" s="49">
        <f ca="1">('TFA Prevalences'!AV77*('RR TFA'!X11-1))/(('TFA Prevalences'!AV77*('RR TFA'!X11-1)+1))</f>
        <v>0</v>
      </c>
      <c r="X45" s="49">
        <f ca="1">('TFA Prevalences'!AW77*('RR TFA'!Y11-1))/(('TFA Prevalences'!AW77*('RR TFA'!Y11-1)+1))</f>
        <v>0</v>
      </c>
      <c r="Y45" s="49">
        <f ca="1">('TFA Prevalences'!AX77*('RR TFA'!Z11-1))/(('TFA Prevalences'!AX77*('RR TFA'!Z11-1)+1))</f>
        <v>0</v>
      </c>
      <c r="Z45" s="49">
        <f ca="1">('TFA Prevalences'!AY77*('RR TFA'!AA11-1))/(('TFA Prevalences'!AY77*('RR TFA'!AA11-1)+1))</f>
        <v>0</v>
      </c>
      <c r="AA45">
        <f t="shared" ca="1" si="27"/>
        <v>0</v>
      </c>
    </row>
    <row r="46" spans="1:27" ht="15.5" x14ac:dyDescent="0.35">
      <c r="A46" s="43" t="s">
        <v>53</v>
      </c>
      <c r="B46" s="49">
        <f ca="1">('TFA Prevalences'!AA78*('RR TFA'!C12-1))/(('TFA Prevalences'!AA78*('RR TFA'!C12-1)+1))</f>
        <v>0</v>
      </c>
      <c r="C46" s="49">
        <f ca="1">('TFA Prevalences'!AB78*('RR TFA'!D12-1))/(('TFA Prevalences'!AB78*('RR TFA'!D12-1)+1))</f>
        <v>0</v>
      </c>
      <c r="D46" s="49">
        <f ca="1">('TFA Prevalences'!AC78*('RR TFA'!E12-1))/(('TFA Prevalences'!AC78*('RR TFA'!E12-1)+1))</f>
        <v>0</v>
      </c>
      <c r="E46" s="49">
        <f ca="1">('TFA Prevalences'!AD78*('RR TFA'!F12-1))/(('TFA Prevalences'!AD78*('RR TFA'!F12-1)+1))</f>
        <v>0</v>
      </c>
      <c r="F46" s="49">
        <f ca="1">('TFA Prevalences'!AE78*('RR TFA'!G12-1))/(('TFA Prevalences'!AE78*('RR TFA'!G12-1)+1))</f>
        <v>0</v>
      </c>
      <c r="G46" s="49">
        <f ca="1">('TFA Prevalences'!AF78*('RR TFA'!H12-1))/(('TFA Prevalences'!AF78*('RR TFA'!H12-1)+1))</f>
        <v>0</v>
      </c>
      <c r="H46" s="19">
        <f ca="1">('TFA Prevalences'!AG78*('RR TFA'!I12-1))/(('TFA Prevalences'!AG78*('RR TFA'!I12-1)+1))</f>
        <v>0</v>
      </c>
      <c r="I46" s="49">
        <f ca="1">('TFA Prevalences'!AH78*('RR TFA'!J12-1))/(('TFA Prevalences'!AH78*('RR TFA'!J12-1)+1))</f>
        <v>0</v>
      </c>
      <c r="J46" s="49">
        <f ca="1">('TFA Prevalences'!AI78*('RR TFA'!K12-1))/(('TFA Prevalences'!AI78*('RR TFA'!K12-1)+1))</f>
        <v>0</v>
      </c>
      <c r="K46" s="49">
        <f ca="1">('TFA Prevalences'!AJ78*('RR TFA'!L12-1))/(('TFA Prevalences'!AJ78*('RR TFA'!L12-1)+1))</f>
        <v>0</v>
      </c>
      <c r="L46" s="49">
        <f ca="1">('TFA Prevalences'!AK78*('RR TFA'!M12-1))/(('TFA Prevalences'!AK78*('RR TFA'!M12-1)+1))</f>
        <v>0</v>
      </c>
      <c r="M46" s="49">
        <f ca="1">('TFA Prevalences'!AL78*('RR TFA'!N12-1))/(('TFA Prevalences'!AL78*('RR TFA'!N12-1)+1))</f>
        <v>0</v>
      </c>
      <c r="N46" s="49">
        <f ca="1">('TFA Prevalences'!AM78*('RR TFA'!O12-1))/(('TFA Prevalences'!AM78*('RR TFA'!O12-1)+1))</f>
        <v>0</v>
      </c>
      <c r="O46" s="49">
        <f ca="1">('TFA Prevalences'!AN78*('RR TFA'!P12-1))/(('TFA Prevalences'!AN78*('RR TFA'!P12-1)+1))</f>
        <v>0</v>
      </c>
      <c r="P46" s="49">
        <f ca="1">('TFA Prevalences'!AO78*('RR TFA'!Q12-1))/(('TFA Prevalences'!AO78*('RR TFA'!Q12-1)+1))</f>
        <v>0</v>
      </c>
      <c r="Q46" s="49">
        <f ca="1">('TFA Prevalences'!AP78*('RR TFA'!R12-1))/(('TFA Prevalences'!AP78*('RR TFA'!R12-1)+1))</f>
        <v>0</v>
      </c>
      <c r="R46" s="49">
        <f ca="1">('TFA Prevalences'!AQ78*('RR TFA'!S12-1))/(('TFA Prevalences'!AQ78*('RR TFA'!S12-1)+1))</f>
        <v>0</v>
      </c>
      <c r="S46" s="49">
        <f ca="1">('TFA Prevalences'!AR78*('RR TFA'!T12-1))/(('TFA Prevalences'!AR78*('RR TFA'!T12-1)+1))</f>
        <v>0</v>
      </c>
      <c r="T46" s="49">
        <f ca="1">('TFA Prevalences'!AS78*('RR TFA'!U12-1))/(('TFA Prevalences'!AS78*('RR TFA'!U12-1)+1))</f>
        <v>0</v>
      </c>
      <c r="U46" s="49">
        <f ca="1">('TFA Prevalences'!AT78*('RR TFA'!V12-1))/(('TFA Prevalences'!AT78*('RR TFA'!V12-1)+1))</f>
        <v>0</v>
      </c>
      <c r="V46" s="49">
        <f ca="1">('TFA Prevalences'!AU78*('RR TFA'!W12-1))/(('TFA Prevalences'!AU78*('RR TFA'!W12-1)+1))</f>
        <v>0</v>
      </c>
      <c r="W46" s="49">
        <f ca="1">('TFA Prevalences'!AV78*('RR TFA'!X12-1))/(('TFA Prevalences'!AV78*('RR TFA'!X12-1)+1))</f>
        <v>0</v>
      </c>
      <c r="X46" s="49">
        <f ca="1">('TFA Prevalences'!AW78*('RR TFA'!Y12-1))/(('TFA Prevalences'!AW78*('RR TFA'!Y12-1)+1))</f>
        <v>0</v>
      </c>
      <c r="Y46" s="49">
        <f ca="1">('TFA Prevalences'!AX78*('RR TFA'!Z12-1))/(('TFA Prevalences'!AX78*('RR TFA'!Z12-1)+1))</f>
        <v>0</v>
      </c>
      <c r="Z46" s="49">
        <f ca="1">('TFA Prevalences'!AY78*('RR TFA'!AA12-1))/(('TFA Prevalences'!AY78*('RR TFA'!AA12-1)+1))</f>
        <v>0</v>
      </c>
      <c r="AA46">
        <f t="shared" ca="1" si="27"/>
        <v>0</v>
      </c>
    </row>
    <row r="47" spans="1:27" ht="15.5" x14ac:dyDescent="0.35">
      <c r="A47" s="43" t="s">
        <v>54</v>
      </c>
      <c r="B47" s="49">
        <f ca="1">('TFA Prevalences'!AA79*('RR TFA'!C13-1))/(('TFA Prevalences'!AA79*('RR TFA'!C13-1)+1))</f>
        <v>0</v>
      </c>
      <c r="C47" s="49">
        <f ca="1">('TFA Prevalences'!AB79*('RR TFA'!D13-1))/(('TFA Prevalences'!AB79*('RR TFA'!D13-1)+1))</f>
        <v>0</v>
      </c>
      <c r="D47" s="49">
        <f ca="1">('TFA Prevalences'!AC79*('RR TFA'!E13-1))/(('TFA Prevalences'!AC79*('RR TFA'!E13-1)+1))</f>
        <v>0</v>
      </c>
      <c r="E47" s="49">
        <f ca="1">('TFA Prevalences'!AD79*('RR TFA'!F13-1))/(('TFA Prevalences'!AD79*('RR TFA'!F13-1)+1))</f>
        <v>0</v>
      </c>
      <c r="F47" s="49">
        <f ca="1">('TFA Prevalences'!AE79*('RR TFA'!G13-1))/(('TFA Prevalences'!AE79*('RR TFA'!G13-1)+1))</f>
        <v>0</v>
      </c>
      <c r="G47" s="49">
        <f ca="1">('TFA Prevalences'!AF79*('RR TFA'!H13-1))/(('TFA Prevalences'!AF79*('RR TFA'!H13-1)+1))</f>
        <v>0</v>
      </c>
      <c r="H47" s="49">
        <f ca="1">('TFA Prevalences'!AG79*('RR TFA'!I13-1))/(('TFA Prevalences'!AG79*('RR TFA'!I13-1)+1))</f>
        <v>0</v>
      </c>
      <c r="I47" s="49">
        <f ca="1">('TFA Prevalences'!AH79*('RR TFA'!J13-1))/(('TFA Prevalences'!AH79*('RR TFA'!J13-1)+1))</f>
        <v>0</v>
      </c>
      <c r="J47" s="49">
        <f ca="1">('TFA Prevalences'!AI79*('RR TFA'!K13-1))/(('TFA Prevalences'!AI79*('RR TFA'!K13-1)+1))</f>
        <v>0</v>
      </c>
      <c r="K47" s="49">
        <f ca="1">('TFA Prevalences'!AJ79*('RR TFA'!L13-1))/(('TFA Prevalences'!AJ79*('RR TFA'!L13-1)+1))</f>
        <v>0</v>
      </c>
      <c r="L47" s="49">
        <f ca="1">('TFA Prevalences'!AK79*('RR TFA'!M13-1))/(('TFA Prevalences'!AK79*('RR TFA'!M13-1)+1))</f>
        <v>0</v>
      </c>
      <c r="M47" s="49">
        <f ca="1">('TFA Prevalences'!AL79*('RR TFA'!N13-1))/(('TFA Prevalences'!AL79*('RR TFA'!N13-1)+1))</f>
        <v>0</v>
      </c>
      <c r="N47" s="49">
        <f ca="1">('TFA Prevalences'!AM79*('RR TFA'!O13-1))/(('TFA Prevalences'!AM79*('RR TFA'!O13-1)+1))</f>
        <v>0</v>
      </c>
      <c r="O47" s="49">
        <f ca="1">('TFA Prevalences'!AN79*('RR TFA'!P13-1))/(('TFA Prevalences'!AN79*('RR TFA'!P13-1)+1))</f>
        <v>0</v>
      </c>
      <c r="P47" s="49">
        <f ca="1">('TFA Prevalences'!AO79*('RR TFA'!Q13-1))/(('TFA Prevalences'!AO79*('RR TFA'!Q13-1)+1))</f>
        <v>0</v>
      </c>
      <c r="Q47" s="49">
        <f ca="1">('TFA Prevalences'!AP79*('RR TFA'!R13-1))/(('TFA Prevalences'!AP79*('RR TFA'!R13-1)+1))</f>
        <v>0</v>
      </c>
      <c r="R47" s="49">
        <f ca="1">('TFA Prevalences'!AQ79*('RR TFA'!S13-1))/(('TFA Prevalences'!AQ79*('RR TFA'!S13-1)+1))</f>
        <v>0</v>
      </c>
      <c r="S47" s="49">
        <f ca="1">('TFA Prevalences'!AR79*('RR TFA'!T13-1))/(('TFA Prevalences'!AR79*('RR TFA'!T13-1)+1))</f>
        <v>0</v>
      </c>
      <c r="T47" s="49">
        <f ca="1">('TFA Prevalences'!AS79*('RR TFA'!U13-1))/(('TFA Prevalences'!AS79*('RR TFA'!U13-1)+1))</f>
        <v>0</v>
      </c>
      <c r="U47" s="49">
        <f ca="1">('TFA Prevalences'!AT79*('RR TFA'!V13-1))/(('TFA Prevalences'!AT79*('RR TFA'!V13-1)+1))</f>
        <v>0</v>
      </c>
      <c r="V47" s="49">
        <f ca="1">('TFA Prevalences'!AU79*('RR TFA'!W13-1))/(('TFA Prevalences'!AU79*('RR TFA'!W13-1)+1))</f>
        <v>0</v>
      </c>
      <c r="W47" s="49">
        <f ca="1">('TFA Prevalences'!AV79*('RR TFA'!X13-1))/(('TFA Prevalences'!AV79*('RR TFA'!X13-1)+1))</f>
        <v>0</v>
      </c>
      <c r="X47" s="49">
        <f ca="1">('TFA Prevalences'!AW79*('RR TFA'!Y13-1))/(('TFA Prevalences'!AW79*('RR TFA'!Y13-1)+1))</f>
        <v>0</v>
      </c>
      <c r="Y47" s="49">
        <f ca="1">('TFA Prevalences'!AX79*('RR TFA'!Z13-1))/(('TFA Prevalences'!AX79*('RR TFA'!Z13-1)+1))</f>
        <v>0</v>
      </c>
      <c r="Z47" s="49">
        <f ca="1">('TFA Prevalences'!AY79*('RR TFA'!AA13-1))/(('TFA Prevalences'!AY79*('RR TFA'!AA13-1)+1))</f>
        <v>0</v>
      </c>
      <c r="AA47">
        <f t="shared" ca="1" si="27"/>
        <v>0</v>
      </c>
    </row>
    <row r="48" spans="1:27" ht="15.5" x14ac:dyDescent="0.35">
      <c r="A48" s="43" t="s">
        <v>55</v>
      </c>
      <c r="B48" s="49">
        <f ca="1">('TFA Prevalences'!AA80*('RR TFA'!C14-1))/(('TFA Prevalences'!AA80*('RR TFA'!C14-1)+1))</f>
        <v>0</v>
      </c>
      <c r="C48" s="49">
        <f ca="1">('TFA Prevalences'!AB80*('RR TFA'!D14-1))/(('TFA Prevalences'!AB80*('RR TFA'!D14-1)+1))</f>
        <v>0</v>
      </c>
      <c r="D48" s="49">
        <f ca="1">('TFA Prevalences'!AC80*('RR TFA'!E14-1))/(('TFA Prevalences'!AC80*('RR TFA'!E14-1)+1))</f>
        <v>0</v>
      </c>
      <c r="E48" s="49">
        <f ca="1">('TFA Prevalences'!AD80*('RR TFA'!F14-1))/(('TFA Prevalences'!AD80*('RR TFA'!F14-1)+1))</f>
        <v>0</v>
      </c>
      <c r="F48" s="49">
        <f ca="1">('TFA Prevalences'!AE80*('RR TFA'!G14-1))/(('TFA Prevalences'!AE80*('RR TFA'!G14-1)+1))</f>
        <v>0</v>
      </c>
      <c r="G48" s="49">
        <f ca="1">('TFA Prevalences'!AF80*('RR TFA'!H14-1))/(('TFA Prevalences'!AF80*('RR TFA'!H14-1)+1))</f>
        <v>0</v>
      </c>
      <c r="H48" s="49">
        <f ca="1">('TFA Prevalences'!AG80*('RR TFA'!I14-1))/(('TFA Prevalences'!AG80*('RR TFA'!I14-1)+1))</f>
        <v>0</v>
      </c>
      <c r="I48" s="49">
        <f ca="1">('TFA Prevalences'!AH80*('RR TFA'!J14-1))/(('TFA Prevalences'!AH80*('RR TFA'!J14-1)+1))</f>
        <v>0</v>
      </c>
      <c r="J48" s="49">
        <f ca="1">('TFA Prevalences'!AI80*('RR TFA'!K14-1))/(('TFA Prevalences'!AI80*('RR TFA'!K14-1)+1))</f>
        <v>0</v>
      </c>
      <c r="K48" s="49">
        <f ca="1">('TFA Prevalences'!AJ80*('RR TFA'!L14-1))/(('TFA Prevalences'!AJ80*('RR TFA'!L14-1)+1))</f>
        <v>0</v>
      </c>
      <c r="L48" s="49">
        <f ca="1">('TFA Prevalences'!AK80*('RR TFA'!M14-1))/(('TFA Prevalences'!AK80*('RR TFA'!M14-1)+1))</f>
        <v>0</v>
      </c>
      <c r="M48" s="49">
        <f ca="1">('TFA Prevalences'!AL80*('RR TFA'!N14-1))/(('TFA Prevalences'!AL80*('RR TFA'!N14-1)+1))</f>
        <v>0</v>
      </c>
      <c r="N48" s="49">
        <f ca="1">('TFA Prevalences'!AM80*('RR TFA'!O14-1))/(('TFA Prevalences'!AM80*('RR TFA'!O14-1)+1))</f>
        <v>0</v>
      </c>
      <c r="O48" s="49">
        <f ca="1">('TFA Prevalences'!AN80*('RR TFA'!P14-1))/(('TFA Prevalences'!AN80*('RR TFA'!P14-1)+1))</f>
        <v>0</v>
      </c>
      <c r="P48" s="49">
        <f ca="1">('TFA Prevalences'!AO80*('RR TFA'!Q14-1))/(('TFA Prevalences'!AO80*('RR TFA'!Q14-1)+1))</f>
        <v>0</v>
      </c>
      <c r="Q48" s="49">
        <f ca="1">('TFA Prevalences'!AP80*('RR TFA'!R14-1))/(('TFA Prevalences'!AP80*('RR TFA'!R14-1)+1))</f>
        <v>0</v>
      </c>
      <c r="R48" s="49">
        <f ca="1">('TFA Prevalences'!AQ80*('RR TFA'!S14-1))/(('TFA Prevalences'!AQ80*('RR TFA'!S14-1)+1))</f>
        <v>0</v>
      </c>
      <c r="S48" s="49">
        <f ca="1">('TFA Prevalences'!AR80*('RR TFA'!T14-1))/(('TFA Prevalences'!AR80*('RR TFA'!T14-1)+1))</f>
        <v>0</v>
      </c>
      <c r="T48" s="49">
        <f ca="1">('TFA Prevalences'!AS80*('RR TFA'!U14-1))/(('TFA Prevalences'!AS80*('RR TFA'!U14-1)+1))</f>
        <v>0</v>
      </c>
      <c r="U48" s="49">
        <f ca="1">('TFA Prevalences'!AT80*('RR TFA'!V14-1))/(('TFA Prevalences'!AT80*('RR TFA'!V14-1)+1))</f>
        <v>0</v>
      </c>
      <c r="V48" s="49">
        <f ca="1">('TFA Prevalences'!AU80*('RR TFA'!W14-1))/(('TFA Prevalences'!AU80*('RR TFA'!W14-1)+1))</f>
        <v>0</v>
      </c>
      <c r="W48" s="49">
        <f ca="1">('TFA Prevalences'!AV80*('RR TFA'!X14-1))/(('TFA Prevalences'!AV80*('RR TFA'!X14-1)+1))</f>
        <v>0</v>
      </c>
      <c r="X48" s="49">
        <f ca="1">('TFA Prevalences'!AW80*('RR TFA'!Y14-1))/(('TFA Prevalences'!AW80*('RR TFA'!Y14-1)+1))</f>
        <v>0</v>
      </c>
      <c r="Y48" s="49">
        <f ca="1">('TFA Prevalences'!AX80*('RR TFA'!Z14-1))/(('TFA Prevalences'!AX80*('RR TFA'!Z14-1)+1))</f>
        <v>0</v>
      </c>
      <c r="Z48" s="49">
        <f ca="1">('TFA Prevalences'!AY80*('RR TFA'!AA14-1))/(('TFA Prevalences'!AY80*('RR TFA'!AA14-1)+1))</f>
        <v>0</v>
      </c>
      <c r="AA48">
        <f t="shared" ca="1" si="27"/>
        <v>0</v>
      </c>
    </row>
    <row r="49" spans="1:27" ht="15.5" x14ac:dyDescent="0.35">
      <c r="A49" s="43" t="s">
        <v>56</v>
      </c>
      <c r="B49" s="49">
        <f ca="1">('TFA Prevalences'!AA81*('RR TFA'!C15-1))/(('TFA Prevalences'!AA81*('RR TFA'!C15-1)+1))</f>
        <v>0</v>
      </c>
      <c r="C49" s="49">
        <f ca="1">('TFA Prevalences'!AB81*('RR TFA'!D15-1))/(('TFA Prevalences'!AB81*('RR TFA'!D15-1)+1))</f>
        <v>0</v>
      </c>
      <c r="D49" s="49">
        <f ca="1">('TFA Prevalences'!AC81*('RR TFA'!E15-1))/(('TFA Prevalences'!AC81*('RR TFA'!E15-1)+1))</f>
        <v>0</v>
      </c>
      <c r="E49" s="49">
        <f ca="1">('TFA Prevalences'!AD81*('RR TFA'!F15-1))/(('TFA Prevalences'!AD81*('RR TFA'!F15-1)+1))</f>
        <v>0</v>
      </c>
      <c r="F49" s="49">
        <f ca="1">('TFA Prevalences'!AE81*('RR TFA'!G15-1))/(('TFA Prevalences'!AE81*('RR TFA'!G15-1)+1))</f>
        <v>0</v>
      </c>
      <c r="G49" s="49">
        <f ca="1">('TFA Prevalences'!AF81*('RR TFA'!H15-1))/(('TFA Prevalences'!AF81*('RR TFA'!H15-1)+1))</f>
        <v>0</v>
      </c>
      <c r="H49" s="49">
        <f ca="1">('TFA Prevalences'!AG81*('RR TFA'!I15-1))/(('TFA Prevalences'!AG81*('RR TFA'!I15-1)+1))</f>
        <v>0</v>
      </c>
      <c r="I49" s="49">
        <f ca="1">('TFA Prevalences'!AH81*('RR TFA'!J15-1))/(('TFA Prevalences'!AH81*('RR TFA'!J15-1)+1))</f>
        <v>0</v>
      </c>
      <c r="J49" s="49">
        <f ca="1">('TFA Prevalences'!AI81*('RR TFA'!K15-1))/(('TFA Prevalences'!AI81*('RR TFA'!K15-1)+1))</f>
        <v>0</v>
      </c>
      <c r="K49" s="49">
        <f ca="1">('TFA Prevalences'!AJ81*('RR TFA'!L15-1))/(('TFA Prevalences'!AJ81*('RR TFA'!L15-1)+1))</f>
        <v>0</v>
      </c>
      <c r="L49" s="49">
        <f ca="1">('TFA Prevalences'!AK81*('RR TFA'!M15-1))/(('TFA Prevalences'!AK81*('RR TFA'!M15-1)+1))</f>
        <v>0</v>
      </c>
      <c r="M49" s="49">
        <f ca="1">('TFA Prevalences'!AL81*('RR TFA'!N15-1))/(('TFA Prevalences'!AL81*('RR TFA'!N15-1)+1))</f>
        <v>0</v>
      </c>
      <c r="N49" s="49">
        <f ca="1">('TFA Prevalences'!AM81*('RR TFA'!O15-1))/(('TFA Prevalences'!AM81*('RR TFA'!O15-1)+1))</f>
        <v>0</v>
      </c>
      <c r="O49" s="49">
        <f ca="1">('TFA Prevalences'!AN81*('RR TFA'!P15-1))/(('TFA Prevalences'!AN81*('RR TFA'!P15-1)+1))</f>
        <v>0</v>
      </c>
      <c r="P49" s="49">
        <f ca="1">('TFA Prevalences'!AO81*('RR TFA'!Q15-1))/(('TFA Prevalences'!AO81*('RR TFA'!Q15-1)+1))</f>
        <v>0</v>
      </c>
      <c r="Q49" s="49">
        <f ca="1">('TFA Prevalences'!AP81*('RR TFA'!R15-1))/(('TFA Prevalences'!AP81*('RR TFA'!R15-1)+1))</f>
        <v>0</v>
      </c>
      <c r="R49" s="49">
        <f ca="1">('TFA Prevalences'!AQ81*('RR TFA'!S15-1))/(('TFA Prevalences'!AQ81*('RR TFA'!S15-1)+1))</f>
        <v>0</v>
      </c>
      <c r="S49" s="49">
        <f ca="1">('TFA Prevalences'!AR81*('RR TFA'!T15-1))/(('TFA Prevalences'!AR81*('RR TFA'!T15-1)+1))</f>
        <v>0</v>
      </c>
      <c r="T49" s="49">
        <f ca="1">('TFA Prevalences'!AS81*('RR TFA'!U15-1))/(('TFA Prevalences'!AS81*('RR TFA'!U15-1)+1))</f>
        <v>0</v>
      </c>
      <c r="U49" s="49">
        <f ca="1">('TFA Prevalences'!AT81*('RR TFA'!V15-1))/(('TFA Prevalences'!AT81*('RR TFA'!V15-1)+1))</f>
        <v>0</v>
      </c>
      <c r="V49" s="49">
        <f ca="1">('TFA Prevalences'!AU81*('RR TFA'!W15-1))/(('TFA Prevalences'!AU81*('RR TFA'!W15-1)+1))</f>
        <v>0</v>
      </c>
      <c r="W49" s="49">
        <f ca="1">('TFA Prevalences'!AV81*('RR TFA'!X15-1))/(('TFA Prevalences'!AV81*('RR TFA'!X15-1)+1))</f>
        <v>0</v>
      </c>
      <c r="X49" s="49">
        <f ca="1">('TFA Prevalences'!AW81*('RR TFA'!Y15-1))/(('TFA Prevalences'!AW81*('RR TFA'!Y15-1)+1))</f>
        <v>0</v>
      </c>
      <c r="Y49" s="49">
        <f ca="1">('TFA Prevalences'!AX81*('RR TFA'!Z15-1))/(('TFA Prevalences'!AX81*('RR TFA'!Z15-1)+1))</f>
        <v>0</v>
      </c>
      <c r="Z49" s="49">
        <f ca="1">('TFA Prevalences'!AY81*('RR TFA'!AA15-1))/(('TFA Prevalences'!AY81*('RR TFA'!AA15-1)+1))</f>
        <v>0</v>
      </c>
      <c r="AA49">
        <f t="shared" ca="1" si="27"/>
        <v>0</v>
      </c>
    </row>
    <row r="50" spans="1:27" ht="15.5" x14ac:dyDescent="0.35">
      <c r="A50" s="43" t="s">
        <v>57</v>
      </c>
      <c r="B50" s="49">
        <f ca="1">('TFA Prevalences'!AA82*('RR TFA'!C16-1))/(('TFA Prevalences'!AA82*('RR TFA'!C16-1)+1))</f>
        <v>0</v>
      </c>
      <c r="C50" s="49">
        <f ca="1">('TFA Prevalences'!AB82*('RR TFA'!D16-1))/(('TFA Prevalences'!AB82*('RR TFA'!D16-1)+1))</f>
        <v>0</v>
      </c>
      <c r="D50" s="49">
        <f ca="1">('TFA Prevalences'!AC82*('RR TFA'!E16-1))/(('TFA Prevalences'!AC82*('RR TFA'!E16-1)+1))</f>
        <v>0</v>
      </c>
      <c r="E50" s="49">
        <f ca="1">('TFA Prevalences'!AD82*('RR TFA'!F16-1))/(('TFA Prevalences'!AD82*('RR TFA'!F16-1)+1))</f>
        <v>0</v>
      </c>
      <c r="F50" s="49">
        <f ca="1">('TFA Prevalences'!AE82*('RR TFA'!G16-1))/(('TFA Prevalences'!AE82*('RR TFA'!G16-1)+1))</f>
        <v>0</v>
      </c>
      <c r="G50" s="49">
        <f ca="1">('TFA Prevalences'!AF82*('RR TFA'!H16-1))/(('TFA Prevalences'!AF82*('RR TFA'!H16-1)+1))</f>
        <v>0</v>
      </c>
      <c r="H50" s="49">
        <f ca="1">('TFA Prevalences'!AG82*('RR TFA'!I16-1))/(('TFA Prevalences'!AG82*('RR TFA'!I16-1)+1))</f>
        <v>0</v>
      </c>
      <c r="I50" s="49">
        <f ca="1">('TFA Prevalences'!AH82*('RR TFA'!J16-1))/(('TFA Prevalences'!AH82*('RR TFA'!J16-1)+1))</f>
        <v>0</v>
      </c>
      <c r="J50" s="49">
        <f ca="1">('TFA Prevalences'!AI82*('RR TFA'!K16-1))/(('TFA Prevalences'!AI82*('RR TFA'!K16-1)+1))</f>
        <v>0</v>
      </c>
      <c r="K50" s="49">
        <f ca="1">('TFA Prevalences'!AJ82*('RR TFA'!L16-1))/(('TFA Prevalences'!AJ82*('RR TFA'!L16-1)+1))</f>
        <v>0</v>
      </c>
      <c r="L50" s="49">
        <f ca="1">('TFA Prevalences'!AK82*('RR TFA'!M16-1))/(('TFA Prevalences'!AK82*('RR TFA'!M16-1)+1))</f>
        <v>0</v>
      </c>
      <c r="M50" s="49">
        <f ca="1">('TFA Prevalences'!AL82*('RR TFA'!N16-1))/(('TFA Prevalences'!AL82*('RR TFA'!N16-1)+1))</f>
        <v>0</v>
      </c>
      <c r="N50" s="49">
        <f ca="1">('TFA Prevalences'!AM82*('RR TFA'!O16-1))/(('TFA Prevalences'!AM82*('RR TFA'!O16-1)+1))</f>
        <v>0</v>
      </c>
      <c r="O50" s="49">
        <f ca="1">('TFA Prevalences'!AN82*('RR TFA'!P16-1))/(('TFA Prevalences'!AN82*('RR TFA'!P16-1)+1))</f>
        <v>0</v>
      </c>
      <c r="P50" s="49">
        <f ca="1">('TFA Prevalences'!AO82*('RR TFA'!Q16-1))/(('TFA Prevalences'!AO82*('RR TFA'!Q16-1)+1))</f>
        <v>0</v>
      </c>
      <c r="Q50" s="49">
        <f ca="1">('TFA Prevalences'!AP82*('RR TFA'!R16-1))/(('TFA Prevalences'!AP82*('RR TFA'!R16-1)+1))</f>
        <v>0</v>
      </c>
      <c r="R50" s="49">
        <f ca="1">('TFA Prevalences'!AQ82*('RR TFA'!S16-1))/(('TFA Prevalences'!AQ82*('RR TFA'!S16-1)+1))</f>
        <v>0</v>
      </c>
      <c r="S50" s="49">
        <f ca="1">('TFA Prevalences'!AR82*('RR TFA'!T16-1))/(('TFA Prevalences'!AR82*('RR TFA'!T16-1)+1))</f>
        <v>0</v>
      </c>
      <c r="T50" s="49">
        <f ca="1">('TFA Prevalences'!AS82*('RR TFA'!U16-1))/(('TFA Prevalences'!AS82*('RR TFA'!U16-1)+1))</f>
        <v>0</v>
      </c>
      <c r="U50" s="49">
        <f ca="1">('TFA Prevalences'!AT82*('RR TFA'!V16-1))/(('TFA Prevalences'!AT82*('RR TFA'!V16-1)+1))</f>
        <v>0</v>
      </c>
      <c r="V50" s="49">
        <f ca="1">('TFA Prevalences'!AU82*('RR TFA'!W16-1))/(('TFA Prevalences'!AU82*('RR TFA'!W16-1)+1))</f>
        <v>0</v>
      </c>
      <c r="W50" s="49">
        <f ca="1">('TFA Prevalences'!AV82*('RR TFA'!X16-1))/(('TFA Prevalences'!AV82*('RR TFA'!X16-1)+1))</f>
        <v>0</v>
      </c>
      <c r="X50" s="49">
        <f ca="1">('TFA Prevalences'!AW82*('RR TFA'!Y16-1))/(('TFA Prevalences'!AW82*('RR TFA'!Y16-1)+1))</f>
        <v>0</v>
      </c>
      <c r="Y50" s="49">
        <f ca="1">('TFA Prevalences'!AX82*('RR TFA'!Z16-1))/(('TFA Prevalences'!AX82*('RR TFA'!Z16-1)+1))</f>
        <v>0</v>
      </c>
      <c r="Z50" s="49">
        <f ca="1">('TFA Prevalences'!AY82*('RR TFA'!AA16-1))/(('TFA Prevalences'!AY82*('RR TFA'!AA16-1)+1))</f>
        <v>0</v>
      </c>
      <c r="AA50">
        <f t="shared" ca="1" si="27"/>
        <v>0</v>
      </c>
    </row>
    <row r="51" spans="1:27" ht="15.5" x14ac:dyDescent="0.35">
      <c r="A51" s="43" t="s">
        <v>77</v>
      </c>
      <c r="B51" s="49">
        <f ca="1">('TFA Prevalences'!AA83*('RR TFA'!C17-1))/(('TFA Prevalences'!AA83*('RR TFA'!C17-1)+1))</f>
        <v>0</v>
      </c>
      <c r="C51" s="49">
        <f ca="1">('TFA Prevalences'!AB83*('RR TFA'!D17-1))/(('TFA Prevalences'!AB83*('RR TFA'!D17-1)+1))</f>
        <v>0</v>
      </c>
      <c r="D51" s="49">
        <f ca="1">('TFA Prevalences'!AC83*('RR TFA'!E17-1))/(('TFA Prevalences'!AC83*('RR TFA'!E17-1)+1))</f>
        <v>0</v>
      </c>
      <c r="E51" s="49">
        <f ca="1">('TFA Prevalences'!AD83*('RR TFA'!F17-1))/(('TFA Prevalences'!AD83*('RR TFA'!F17-1)+1))</f>
        <v>0</v>
      </c>
      <c r="F51" s="49">
        <f ca="1">('TFA Prevalences'!AE83*('RR TFA'!G17-1))/(('TFA Prevalences'!AE83*('RR TFA'!G17-1)+1))</f>
        <v>0</v>
      </c>
      <c r="G51" s="49">
        <f ca="1">('TFA Prevalences'!AF83*('RR TFA'!H17-1))/(('TFA Prevalences'!AF83*('RR TFA'!H17-1)+1))</f>
        <v>0</v>
      </c>
      <c r="H51" s="49">
        <f ca="1">('TFA Prevalences'!AG83*('RR TFA'!I17-1))/(('TFA Prevalences'!AG83*('RR TFA'!I17-1)+1))</f>
        <v>0</v>
      </c>
      <c r="I51" s="49">
        <f ca="1">('TFA Prevalences'!AH83*('RR TFA'!J17-1))/(('TFA Prevalences'!AH83*('RR TFA'!J17-1)+1))</f>
        <v>0</v>
      </c>
      <c r="J51" s="49">
        <f ca="1">('TFA Prevalences'!AI83*('RR TFA'!K17-1))/(('TFA Prevalences'!AI83*('RR TFA'!K17-1)+1))</f>
        <v>0</v>
      </c>
      <c r="K51" s="49">
        <f ca="1">('TFA Prevalences'!AJ83*('RR TFA'!L17-1))/(('TFA Prevalences'!AJ83*('RR TFA'!L17-1)+1))</f>
        <v>0</v>
      </c>
      <c r="L51" s="49">
        <f ca="1">('TFA Prevalences'!AK83*('RR TFA'!M17-1))/(('TFA Prevalences'!AK83*('RR TFA'!M17-1)+1))</f>
        <v>0</v>
      </c>
      <c r="M51" s="49">
        <f ca="1">('TFA Prevalences'!AL83*('RR TFA'!N17-1))/(('TFA Prevalences'!AL83*('RR TFA'!N17-1)+1))</f>
        <v>0</v>
      </c>
      <c r="N51" s="49">
        <f ca="1">('TFA Prevalences'!AM83*('RR TFA'!O17-1))/(('TFA Prevalences'!AM83*('RR TFA'!O17-1)+1))</f>
        <v>0</v>
      </c>
      <c r="O51" s="49">
        <f ca="1">('TFA Prevalences'!AN83*('RR TFA'!P17-1))/(('TFA Prevalences'!AN83*('RR TFA'!P17-1)+1))</f>
        <v>0</v>
      </c>
      <c r="P51" s="49">
        <f ca="1">('TFA Prevalences'!AO83*('RR TFA'!Q17-1))/(('TFA Prevalences'!AO83*('RR TFA'!Q17-1)+1))</f>
        <v>0</v>
      </c>
      <c r="Q51" s="49">
        <f ca="1">('TFA Prevalences'!AP83*('RR TFA'!R17-1))/(('TFA Prevalences'!AP83*('RR TFA'!R17-1)+1))</f>
        <v>0</v>
      </c>
      <c r="R51" s="49">
        <f ca="1">('TFA Prevalences'!AQ83*('RR TFA'!S17-1))/(('TFA Prevalences'!AQ83*('RR TFA'!S17-1)+1))</f>
        <v>0</v>
      </c>
      <c r="S51" s="49">
        <f ca="1">('TFA Prevalences'!AR83*('RR TFA'!T17-1))/(('TFA Prevalences'!AR83*('RR TFA'!T17-1)+1))</f>
        <v>0</v>
      </c>
      <c r="T51" s="49">
        <f ca="1">('TFA Prevalences'!AS83*('RR TFA'!U17-1))/(('TFA Prevalences'!AS83*('RR TFA'!U17-1)+1))</f>
        <v>0</v>
      </c>
      <c r="U51" s="49">
        <f ca="1">('TFA Prevalences'!AT83*('RR TFA'!V17-1))/(('TFA Prevalences'!AT83*('RR TFA'!V17-1)+1))</f>
        <v>0</v>
      </c>
      <c r="V51" s="49">
        <f ca="1">('TFA Prevalences'!AU83*('RR TFA'!W17-1))/(('TFA Prevalences'!AU83*('RR TFA'!W17-1)+1))</f>
        <v>0</v>
      </c>
      <c r="W51" s="49">
        <f ca="1">('TFA Prevalences'!AV83*('RR TFA'!X17-1))/(('TFA Prevalences'!AV83*('RR TFA'!X17-1)+1))</f>
        <v>0</v>
      </c>
      <c r="X51" s="49">
        <f ca="1">('TFA Prevalences'!AW83*('RR TFA'!Y17-1))/(('TFA Prevalences'!AW83*('RR TFA'!Y17-1)+1))</f>
        <v>0</v>
      </c>
      <c r="Y51" s="49">
        <f ca="1">('TFA Prevalences'!AX83*('RR TFA'!Z17-1))/(('TFA Prevalences'!AX83*('RR TFA'!Z17-1)+1))</f>
        <v>0</v>
      </c>
      <c r="Z51" s="49">
        <f ca="1">('TFA Prevalences'!AY83*('RR TFA'!AA17-1))/(('TFA Prevalences'!AY83*('RR TFA'!AA17-1)+1))</f>
        <v>0</v>
      </c>
      <c r="AA51">
        <f t="shared" ca="1" si="27"/>
        <v>0</v>
      </c>
    </row>
    <row r="52" spans="1:27" ht="15.5" x14ac:dyDescent="0.35">
      <c r="A52" s="4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</row>
    <row r="53" spans="1:27" ht="15.5" x14ac:dyDescent="0.35">
      <c r="A53" s="43" t="s">
        <v>60</v>
      </c>
      <c r="B53" s="49">
        <f ca="1">('TFA Prevalences'!AA85*('RR TFA'!C4-1))/(('TFA Prevalences'!AA85*('RR TFA'!C4-1)+1))</f>
        <v>0</v>
      </c>
      <c r="C53" s="49">
        <f ca="1">('TFA Prevalences'!AB85*('RR TFA'!D4-1))/(('TFA Prevalences'!AB85*('RR TFA'!D4-1)+1))</f>
        <v>0</v>
      </c>
      <c r="D53" s="49">
        <f ca="1">('TFA Prevalences'!AC85*('RR TFA'!E4-1))/(('TFA Prevalences'!AC85*('RR TFA'!E4-1)+1))</f>
        <v>0</v>
      </c>
      <c r="E53" s="49">
        <f ca="1">('TFA Prevalences'!AD85*('RR TFA'!F4-1))/(('TFA Prevalences'!AD85*('RR TFA'!F4-1)+1))</f>
        <v>0</v>
      </c>
      <c r="F53" s="49">
        <f ca="1">('TFA Prevalences'!AE85*('RR TFA'!G4-1))/(('TFA Prevalences'!AE85*('RR TFA'!G4-1)+1))</f>
        <v>0</v>
      </c>
      <c r="G53" s="49">
        <f ca="1">('TFA Prevalences'!AF85*('RR TFA'!H4-1))/(('TFA Prevalences'!AF85*('RR TFA'!H4-1)+1))</f>
        <v>0</v>
      </c>
      <c r="H53" s="49">
        <f ca="1">('TFA Prevalences'!AG85*('RR TFA'!I4-1))/(('TFA Prevalences'!AG85*('RR TFA'!I4-1)+1))</f>
        <v>0</v>
      </c>
      <c r="I53" s="49">
        <f ca="1">('TFA Prevalences'!AH85*('RR TFA'!J4-1))/(('TFA Prevalences'!AH85*('RR TFA'!J4-1)+1))</f>
        <v>0</v>
      </c>
      <c r="J53" s="49">
        <f ca="1">('TFA Prevalences'!AI85*('RR TFA'!K4-1))/(('TFA Prevalences'!AI85*('RR TFA'!K4-1)+1))</f>
        <v>0</v>
      </c>
      <c r="K53" s="49">
        <f ca="1">('TFA Prevalences'!AJ85*('RR TFA'!L4-1))/(('TFA Prevalences'!AJ85*('RR TFA'!L4-1)+1))</f>
        <v>0</v>
      </c>
      <c r="L53" s="49">
        <f ca="1">('TFA Prevalences'!AK85*('RR TFA'!M4-1))/(('TFA Prevalences'!AK85*('RR TFA'!M4-1)+1))</f>
        <v>0</v>
      </c>
      <c r="M53" s="49">
        <f ca="1">('TFA Prevalences'!AL85*('RR TFA'!N4-1))/(('TFA Prevalences'!AL85*('RR TFA'!N4-1)+1))</f>
        <v>0</v>
      </c>
      <c r="N53" s="49">
        <f ca="1">('TFA Prevalences'!AM85*('RR TFA'!O4-1))/(('TFA Prevalences'!AM85*('RR TFA'!O4-1)+1))</f>
        <v>0</v>
      </c>
      <c r="O53" s="49">
        <f ca="1">('TFA Prevalences'!AN85*('RR TFA'!P4-1))/(('TFA Prevalences'!AN85*('RR TFA'!P4-1)+1))</f>
        <v>0</v>
      </c>
      <c r="P53" s="49">
        <f ca="1">('TFA Prevalences'!AO85*('RR TFA'!Q4-1))/(('TFA Prevalences'!AO85*('RR TFA'!Q4-1)+1))</f>
        <v>0</v>
      </c>
      <c r="Q53" s="49">
        <f ca="1">('TFA Prevalences'!AP85*('RR TFA'!R4-1))/(('TFA Prevalences'!AP85*('RR TFA'!R4-1)+1))</f>
        <v>0</v>
      </c>
      <c r="R53" s="49">
        <f ca="1">('TFA Prevalences'!AQ85*('RR TFA'!S4-1))/(('TFA Prevalences'!AQ85*('RR TFA'!S4-1)+1))</f>
        <v>0</v>
      </c>
      <c r="S53" s="49">
        <f ca="1">('TFA Prevalences'!AR85*('RR TFA'!T4-1))/(('TFA Prevalences'!AR85*('RR TFA'!T4-1)+1))</f>
        <v>0</v>
      </c>
      <c r="T53" s="49">
        <f ca="1">('TFA Prevalences'!AS85*('RR TFA'!U4-1))/(('TFA Prevalences'!AS85*('RR TFA'!U4-1)+1))</f>
        <v>0</v>
      </c>
      <c r="U53" s="49">
        <f ca="1">('TFA Prevalences'!AT85*('RR TFA'!V4-1))/(('TFA Prevalences'!AT85*('RR TFA'!V4-1)+1))</f>
        <v>0</v>
      </c>
      <c r="V53" s="49">
        <f ca="1">('TFA Prevalences'!AU85*('RR TFA'!W4-1))/(('TFA Prevalences'!AU85*('RR TFA'!W4-1)+1))</f>
        <v>0</v>
      </c>
      <c r="W53" s="49">
        <f ca="1">('TFA Prevalences'!AV85*('RR TFA'!X4-1))/(('TFA Prevalences'!AV85*('RR TFA'!X4-1)+1))</f>
        <v>0</v>
      </c>
      <c r="X53" s="49">
        <f ca="1">('TFA Prevalences'!AW85*('RR TFA'!Y4-1))/(('TFA Prevalences'!AW85*('RR TFA'!Y4-1)+1))</f>
        <v>0</v>
      </c>
      <c r="Y53" s="49">
        <f ca="1">('TFA Prevalences'!AX85*('RR TFA'!Z4-1))/(('TFA Prevalences'!AX85*('RR TFA'!Z4-1)+1))</f>
        <v>0</v>
      </c>
      <c r="Z53" s="49">
        <f ca="1">('TFA Prevalences'!AY85*('RR TFA'!AA4-1))/(('TFA Prevalences'!AY85*('RR TFA'!AA4-1)+1))</f>
        <v>0</v>
      </c>
      <c r="AA53">
        <f ca="1">SUM(B53:Z53)</f>
        <v>0</v>
      </c>
    </row>
    <row r="54" spans="1:27" ht="15.5" x14ac:dyDescent="0.35">
      <c r="A54" s="43" t="s">
        <v>61</v>
      </c>
      <c r="B54" s="49">
        <f ca="1">('TFA Prevalences'!AA86*('RR TFA'!C5-1))/(('TFA Prevalences'!AA86*('RR TFA'!C5-1)+1))</f>
        <v>0</v>
      </c>
      <c r="C54" s="49">
        <f ca="1">('TFA Prevalences'!AB86*('RR TFA'!D5-1))/(('TFA Prevalences'!AB86*('RR TFA'!D5-1)+1))</f>
        <v>0</v>
      </c>
      <c r="D54" s="49">
        <f ca="1">('TFA Prevalences'!AC86*('RR TFA'!E5-1))/(('TFA Prevalences'!AC86*('RR TFA'!E5-1)+1))</f>
        <v>0</v>
      </c>
      <c r="E54" s="49">
        <f ca="1">('TFA Prevalences'!AD86*('RR TFA'!F5-1))/(('TFA Prevalences'!AD86*('RR TFA'!F5-1)+1))</f>
        <v>0</v>
      </c>
      <c r="F54" s="49">
        <f ca="1">('TFA Prevalences'!AE86*('RR TFA'!G5-1))/(('TFA Prevalences'!AE86*('RR TFA'!G5-1)+1))</f>
        <v>0</v>
      </c>
      <c r="G54" s="49">
        <f ca="1">('TFA Prevalences'!AF86*('RR TFA'!H5-1))/(('TFA Prevalences'!AF86*('RR TFA'!H5-1)+1))</f>
        <v>0</v>
      </c>
      <c r="H54" s="49">
        <f ca="1">('TFA Prevalences'!AG86*('RR TFA'!I5-1))/(('TFA Prevalences'!AG86*('RR TFA'!I5-1)+1))</f>
        <v>0</v>
      </c>
      <c r="I54" s="49">
        <f ca="1">('TFA Prevalences'!AH86*('RR TFA'!J5-1))/(('TFA Prevalences'!AH86*('RR TFA'!J5-1)+1))</f>
        <v>0</v>
      </c>
      <c r="J54" s="49">
        <f ca="1">('TFA Prevalences'!AI86*('RR TFA'!K5-1))/(('TFA Prevalences'!AI86*('RR TFA'!K5-1)+1))</f>
        <v>0</v>
      </c>
      <c r="K54" s="49">
        <f ca="1">('TFA Prevalences'!AJ86*('RR TFA'!L5-1))/(('TFA Prevalences'!AJ86*('RR TFA'!L5-1)+1))</f>
        <v>0</v>
      </c>
      <c r="L54" s="49">
        <f ca="1">('TFA Prevalences'!AK86*('RR TFA'!M5-1))/(('TFA Prevalences'!AK86*('RR TFA'!M5-1)+1))</f>
        <v>0</v>
      </c>
      <c r="M54" s="49">
        <f ca="1">('TFA Prevalences'!AL86*('RR TFA'!N5-1))/(('TFA Prevalences'!AL86*('RR TFA'!N5-1)+1))</f>
        <v>0</v>
      </c>
      <c r="N54" s="49">
        <f ca="1">('TFA Prevalences'!AM86*('RR TFA'!O5-1))/(('TFA Prevalences'!AM86*('RR TFA'!O5-1)+1))</f>
        <v>0</v>
      </c>
      <c r="O54" s="49">
        <f ca="1">('TFA Prevalences'!AN86*('RR TFA'!P5-1))/(('TFA Prevalences'!AN86*('RR TFA'!P5-1)+1))</f>
        <v>0</v>
      </c>
      <c r="P54" s="49">
        <f ca="1">('TFA Prevalences'!AO86*('RR TFA'!Q5-1))/(('TFA Prevalences'!AO86*('RR TFA'!Q5-1)+1))</f>
        <v>0</v>
      </c>
      <c r="Q54" s="49">
        <f ca="1">('TFA Prevalences'!AP86*('RR TFA'!R5-1))/(('TFA Prevalences'!AP86*('RR TFA'!R5-1)+1))</f>
        <v>0</v>
      </c>
      <c r="R54" s="49">
        <f ca="1">('TFA Prevalences'!AQ86*('RR TFA'!S5-1))/(('TFA Prevalences'!AQ86*('RR TFA'!S5-1)+1))</f>
        <v>0</v>
      </c>
      <c r="S54" s="49">
        <f ca="1">('TFA Prevalences'!AR86*('RR TFA'!T5-1))/(('TFA Prevalences'!AR86*('RR TFA'!T5-1)+1))</f>
        <v>0</v>
      </c>
      <c r="T54" s="49">
        <f ca="1">('TFA Prevalences'!AS86*('RR TFA'!U5-1))/(('TFA Prevalences'!AS86*('RR TFA'!U5-1)+1))</f>
        <v>0</v>
      </c>
      <c r="U54" s="49">
        <f ca="1">('TFA Prevalences'!AT86*('RR TFA'!V5-1))/(('TFA Prevalences'!AT86*('RR TFA'!V5-1)+1))</f>
        <v>0</v>
      </c>
      <c r="V54" s="49">
        <f ca="1">('TFA Prevalences'!AU86*('RR TFA'!W5-1))/(('TFA Prevalences'!AU86*('RR TFA'!W5-1)+1))</f>
        <v>0</v>
      </c>
      <c r="W54" s="49">
        <f ca="1">('TFA Prevalences'!AV86*('RR TFA'!X5-1))/(('TFA Prevalences'!AV86*('RR TFA'!X5-1)+1))</f>
        <v>0</v>
      </c>
      <c r="X54" s="49">
        <f ca="1">('TFA Prevalences'!AW86*('RR TFA'!Y5-1))/(('TFA Prevalences'!AW86*('RR TFA'!Y5-1)+1))</f>
        <v>0</v>
      </c>
      <c r="Y54" s="49">
        <f ca="1">('TFA Prevalences'!AX86*('RR TFA'!Z5-1))/(('TFA Prevalences'!AX86*('RR TFA'!Z5-1)+1))</f>
        <v>0</v>
      </c>
      <c r="Z54" s="49">
        <f ca="1">('TFA Prevalences'!AY86*('RR TFA'!AA5-1))/(('TFA Prevalences'!AY86*('RR TFA'!AA5-1)+1))</f>
        <v>0</v>
      </c>
      <c r="AA54">
        <f t="shared" ref="AA54:AA66" ca="1" si="28">SUM(B54:Z54)</f>
        <v>0</v>
      </c>
    </row>
    <row r="55" spans="1:27" ht="15.5" x14ac:dyDescent="0.35">
      <c r="A55" s="43" t="s">
        <v>62</v>
      </c>
      <c r="B55" s="49">
        <f ca="1">('TFA Prevalences'!AA87*('RR TFA'!C6-1))/(('TFA Prevalences'!AA87*('RR TFA'!C6-1)+1))</f>
        <v>0</v>
      </c>
      <c r="C55" s="49">
        <f ca="1">('TFA Prevalences'!AB87*('RR TFA'!D6-1))/(('TFA Prevalences'!AB87*('RR TFA'!D6-1)+1))</f>
        <v>0</v>
      </c>
      <c r="D55" s="49">
        <f ca="1">('TFA Prevalences'!AC87*('RR TFA'!E6-1))/(('TFA Prevalences'!AC87*('RR TFA'!E6-1)+1))</f>
        <v>0</v>
      </c>
      <c r="E55" s="49">
        <f ca="1">('TFA Prevalences'!AD87*('RR TFA'!F6-1))/(('TFA Prevalences'!AD87*('RR TFA'!F6-1)+1))</f>
        <v>0</v>
      </c>
      <c r="F55" s="49">
        <f ca="1">('TFA Prevalences'!AE87*('RR TFA'!G6-1))/(('TFA Prevalences'!AE87*('RR TFA'!G6-1)+1))</f>
        <v>0</v>
      </c>
      <c r="G55" s="49">
        <f ca="1">('TFA Prevalences'!AF87*('RR TFA'!H6-1))/(('TFA Prevalences'!AF87*('RR TFA'!H6-1)+1))</f>
        <v>0</v>
      </c>
      <c r="H55" s="49">
        <f ca="1">('TFA Prevalences'!AG87*('RR TFA'!I6-1))/(('TFA Prevalences'!AG87*('RR TFA'!I6-1)+1))</f>
        <v>0</v>
      </c>
      <c r="I55" s="49">
        <f ca="1">('TFA Prevalences'!AH87*('RR TFA'!J6-1))/(('TFA Prevalences'!AH87*('RR TFA'!J6-1)+1))</f>
        <v>0</v>
      </c>
      <c r="J55" s="49">
        <f ca="1">('TFA Prevalences'!AI87*('RR TFA'!K6-1))/(('TFA Prevalences'!AI87*('RR TFA'!K6-1)+1))</f>
        <v>0</v>
      </c>
      <c r="K55" s="49">
        <f ca="1">('TFA Prevalences'!AJ87*('RR TFA'!L6-1))/(('TFA Prevalences'!AJ87*('RR TFA'!L6-1)+1))</f>
        <v>0</v>
      </c>
      <c r="L55" s="49">
        <f ca="1">('TFA Prevalences'!AK87*('RR TFA'!M6-1))/(('TFA Prevalences'!AK87*('RR TFA'!M6-1)+1))</f>
        <v>0</v>
      </c>
      <c r="M55" s="49">
        <f ca="1">('TFA Prevalences'!AL87*('RR TFA'!N6-1))/(('TFA Prevalences'!AL87*('RR TFA'!N6-1)+1))</f>
        <v>0</v>
      </c>
      <c r="N55" s="49">
        <f ca="1">('TFA Prevalences'!AM87*('RR TFA'!O6-1))/(('TFA Prevalences'!AM87*('RR TFA'!O6-1)+1))</f>
        <v>0</v>
      </c>
      <c r="O55" s="49">
        <f ca="1">('TFA Prevalences'!AN87*('RR TFA'!P6-1))/(('TFA Prevalences'!AN87*('RR TFA'!P6-1)+1))</f>
        <v>0</v>
      </c>
      <c r="P55" s="49">
        <f ca="1">('TFA Prevalences'!AO87*('RR TFA'!Q6-1))/(('TFA Prevalences'!AO87*('RR TFA'!Q6-1)+1))</f>
        <v>0</v>
      </c>
      <c r="Q55" s="49">
        <f ca="1">('TFA Prevalences'!AP87*('RR TFA'!R6-1))/(('TFA Prevalences'!AP87*('RR TFA'!R6-1)+1))</f>
        <v>0</v>
      </c>
      <c r="R55" s="49">
        <f ca="1">('TFA Prevalences'!AQ87*('RR TFA'!S6-1))/(('TFA Prevalences'!AQ87*('RR TFA'!S6-1)+1))</f>
        <v>0</v>
      </c>
      <c r="S55" s="49">
        <f ca="1">('TFA Prevalences'!AR87*('RR TFA'!T6-1))/(('TFA Prevalences'!AR87*('RR TFA'!T6-1)+1))</f>
        <v>0</v>
      </c>
      <c r="T55" s="49">
        <f ca="1">('TFA Prevalences'!AS87*('RR TFA'!U6-1))/(('TFA Prevalences'!AS87*('RR TFA'!U6-1)+1))</f>
        <v>0</v>
      </c>
      <c r="U55" s="49">
        <f ca="1">('TFA Prevalences'!AT87*('RR TFA'!V6-1))/(('TFA Prevalences'!AT87*('RR TFA'!V6-1)+1))</f>
        <v>0</v>
      </c>
      <c r="V55" s="49">
        <f ca="1">('TFA Prevalences'!AU87*('RR TFA'!W6-1))/(('TFA Prevalences'!AU87*('RR TFA'!W6-1)+1))</f>
        <v>0</v>
      </c>
      <c r="W55" s="49">
        <f ca="1">('TFA Prevalences'!AV87*('RR TFA'!X6-1))/(('TFA Prevalences'!AV87*('RR TFA'!X6-1)+1))</f>
        <v>0</v>
      </c>
      <c r="X55" s="49">
        <f ca="1">('TFA Prevalences'!AW87*('RR TFA'!Y6-1))/(('TFA Prevalences'!AW87*('RR TFA'!Y6-1)+1))</f>
        <v>0</v>
      </c>
      <c r="Y55" s="49">
        <f ca="1">('TFA Prevalences'!AX87*('RR TFA'!Z6-1))/(('TFA Prevalences'!AX87*('RR TFA'!Z6-1)+1))</f>
        <v>0</v>
      </c>
      <c r="Z55" s="49">
        <f ca="1">('TFA Prevalences'!AY87*('RR TFA'!AA6-1))/(('TFA Prevalences'!AY87*('RR TFA'!AA6-1)+1))</f>
        <v>0</v>
      </c>
      <c r="AA55">
        <f t="shared" ca="1" si="28"/>
        <v>0</v>
      </c>
    </row>
    <row r="56" spans="1:27" ht="15.5" x14ac:dyDescent="0.35">
      <c r="A56" s="43" t="s">
        <v>63</v>
      </c>
      <c r="B56" s="49">
        <f ca="1">('TFA Prevalences'!AA88*('RR TFA'!C7-1))/(('TFA Prevalences'!AA88*('RR TFA'!C7-1)+1))</f>
        <v>0</v>
      </c>
      <c r="C56" s="49">
        <f ca="1">('TFA Prevalences'!AB88*('RR TFA'!D7-1))/(('TFA Prevalences'!AB88*('RR TFA'!D7-1)+1))</f>
        <v>0</v>
      </c>
      <c r="D56" s="49">
        <f ca="1">('TFA Prevalences'!AC88*('RR TFA'!E7-1))/(('TFA Prevalences'!AC88*('RR TFA'!E7-1)+1))</f>
        <v>0</v>
      </c>
      <c r="E56" s="49">
        <f ca="1">('TFA Prevalences'!AD88*('RR TFA'!F7-1))/(('TFA Prevalences'!AD88*('RR TFA'!F7-1)+1))</f>
        <v>0</v>
      </c>
      <c r="F56" s="49">
        <f ca="1">('TFA Prevalences'!AE88*('RR TFA'!G7-1))/(('TFA Prevalences'!AE88*('RR TFA'!G7-1)+1))</f>
        <v>0</v>
      </c>
      <c r="G56" s="49">
        <f ca="1">('TFA Prevalences'!AF88*('RR TFA'!H7-1))/(('TFA Prevalences'!AF88*('RR TFA'!H7-1)+1))</f>
        <v>0</v>
      </c>
      <c r="H56" s="49">
        <f ca="1">('TFA Prevalences'!AG88*('RR TFA'!I7-1))/(('TFA Prevalences'!AG88*('RR TFA'!I7-1)+1))</f>
        <v>0</v>
      </c>
      <c r="I56" s="49">
        <f ca="1">('TFA Prevalences'!AH88*('RR TFA'!J7-1))/(('TFA Prevalences'!AH88*('RR TFA'!J7-1)+1))</f>
        <v>0</v>
      </c>
      <c r="J56" s="49">
        <f ca="1">('TFA Prevalences'!AI88*('RR TFA'!K7-1))/(('TFA Prevalences'!AI88*('RR TFA'!K7-1)+1))</f>
        <v>0</v>
      </c>
      <c r="K56" s="49">
        <f ca="1">('TFA Prevalences'!AJ88*('RR TFA'!L7-1))/(('TFA Prevalences'!AJ88*('RR TFA'!L7-1)+1))</f>
        <v>0</v>
      </c>
      <c r="L56" s="49">
        <f ca="1">('TFA Prevalences'!AK88*('RR TFA'!M7-1))/(('TFA Prevalences'!AK88*('RR TFA'!M7-1)+1))</f>
        <v>0</v>
      </c>
      <c r="M56" s="49">
        <f ca="1">('TFA Prevalences'!AL88*('RR TFA'!N7-1))/(('TFA Prevalences'!AL88*('RR TFA'!N7-1)+1))</f>
        <v>0</v>
      </c>
      <c r="N56" s="49">
        <f ca="1">('TFA Prevalences'!AM88*('RR TFA'!O7-1))/(('TFA Prevalences'!AM88*('RR TFA'!O7-1)+1))</f>
        <v>0</v>
      </c>
      <c r="O56" s="49">
        <f ca="1">('TFA Prevalences'!AN88*('RR TFA'!P7-1))/(('TFA Prevalences'!AN88*('RR TFA'!P7-1)+1))</f>
        <v>0</v>
      </c>
      <c r="P56" s="49">
        <f ca="1">('TFA Prevalences'!AO88*('RR TFA'!Q7-1))/(('TFA Prevalences'!AO88*('RR TFA'!Q7-1)+1))</f>
        <v>0</v>
      </c>
      <c r="Q56" s="49">
        <f ca="1">('TFA Prevalences'!AP88*('RR TFA'!R7-1))/(('TFA Prevalences'!AP88*('RR TFA'!R7-1)+1))</f>
        <v>0</v>
      </c>
      <c r="R56" s="49">
        <f ca="1">('TFA Prevalences'!AQ88*('RR TFA'!S7-1))/(('TFA Prevalences'!AQ88*('RR TFA'!S7-1)+1))</f>
        <v>0</v>
      </c>
      <c r="S56" s="49">
        <f ca="1">('TFA Prevalences'!AR88*('RR TFA'!T7-1))/(('TFA Prevalences'!AR88*('RR TFA'!T7-1)+1))</f>
        <v>0</v>
      </c>
      <c r="T56" s="49">
        <f ca="1">('TFA Prevalences'!AS88*('RR TFA'!U7-1))/(('TFA Prevalences'!AS88*('RR TFA'!U7-1)+1))</f>
        <v>0</v>
      </c>
      <c r="U56" s="49">
        <f ca="1">('TFA Prevalences'!AT88*('RR TFA'!V7-1))/(('TFA Prevalences'!AT88*('RR TFA'!V7-1)+1))</f>
        <v>0</v>
      </c>
      <c r="V56" s="49">
        <f ca="1">('TFA Prevalences'!AU88*('RR TFA'!W7-1))/(('TFA Prevalences'!AU88*('RR TFA'!W7-1)+1))</f>
        <v>0</v>
      </c>
      <c r="W56" s="49">
        <f ca="1">('TFA Prevalences'!AV88*('RR TFA'!X7-1))/(('TFA Prevalences'!AV88*('RR TFA'!X7-1)+1))</f>
        <v>0</v>
      </c>
      <c r="X56" s="49">
        <f ca="1">('TFA Prevalences'!AW88*('RR TFA'!Y7-1))/(('TFA Prevalences'!AW88*('RR TFA'!Y7-1)+1))</f>
        <v>0</v>
      </c>
      <c r="Y56" s="49">
        <f ca="1">('TFA Prevalences'!AX88*('RR TFA'!Z7-1))/(('TFA Prevalences'!AX88*('RR TFA'!Z7-1)+1))</f>
        <v>0</v>
      </c>
      <c r="Z56" s="49">
        <f ca="1">('TFA Prevalences'!AY88*('RR TFA'!AA7-1))/(('TFA Prevalences'!AY88*('RR TFA'!AA7-1)+1))</f>
        <v>0</v>
      </c>
      <c r="AA56">
        <f t="shared" ca="1" si="28"/>
        <v>0</v>
      </c>
    </row>
    <row r="57" spans="1:27" ht="15.5" x14ac:dyDescent="0.35">
      <c r="A57" s="43" t="s">
        <v>64</v>
      </c>
      <c r="B57" s="49">
        <f ca="1">('TFA Prevalences'!AA89*('RR TFA'!C8-1))/(('TFA Prevalences'!AA89*('RR TFA'!C8-1)+1))</f>
        <v>0</v>
      </c>
      <c r="C57" s="49">
        <f ca="1">('TFA Prevalences'!AB89*('RR TFA'!D8-1))/(('TFA Prevalences'!AB89*('RR TFA'!D8-1)+1))</f>
        <v>0</v>
      </c>
      <c r="D57" s="49">
        <f ca="1">('TFA Prevalences'!AC89*('RR TFA'!E8-1))/(('TFA Prevalences'!AC89*('RR TFA'!E8-1)+1))</f>
        <v>0</v>
      </c>
      <c r="E57" s="49">
        <f ca="1">('TFA Prevalences'!AD89*('RR TFA'!F8-1))/(('TFA Prevalences'!AD89*('RR TFA'!F8-1)+1))</f>
        <v>0</v>
      </c>
      <c r="F57" s="49">
        <f ca="1">('TFA Prevalences'!AE89*('RR TFA'!G8-1))/(('TFA Prevalences'!AE89*('RR TFA'!G8-1)+1))</f>
        <v>0</v>
      </c>
      <c r="G57" s="49">
        <f ca="1">('TFA Prevalences'!AF89*('RR TFA'!H8-1))/(('TFA Prevalences'!AF89*('RR TFA'!H8-1)+1))</f>
        <v>0</v>
      </c>
      <c r="H57" s="49">
        <f ca="1">('TFA Prevalences'!AG89*('RR TFA'!I8-1))/(('TFA Prevalences'!AG89*('RR TFA'!I8-1)+1))</f>
        <v>0</v>
      </c>
      <c r="I57" s="49">
        <f ca="1">('TFA Prevalences'!AH89*('RR TFA'!J8-1))/(('TFA Prevalences'!AH89*('RR TFA'!J8-1)+1))</f>
        <v>0</v>
      </c>
      <c r="J57" s="49">
        <f ca="1">('TFA Prevalences'!AI89*('RR TFA'!K8-1))/(('TFA Prevalences'!AI89*('RR TFA'!K8-1)+1))</f>
        <v>0</v>
      </c>
      <c r="K57" s="49">
        <f ca="1">('TFA Prevalences'!AJ89*('RR TFA'!L8-1))/(('TFA Prevalences'!AJ89*('RR TFA'!L8-1)+1))</f>
        <v>0</v>
      </c>
      <c r="L57" s="49">
        <f ca="1">('TFA Prevalences'!AK89*('RR TFA'!M8-1))/(('TFA Prevalences'!AK89*('RR TFA'!M8-1)+1))</f>
        <v>0</v>
      </c>
      <c r="M57" s="49">
        <f ca="1">('TFA Prevalences'!AL89*('RR TFA'!N8-1))/(('TFA Prevalences'!AL89*('RR TFA'!N8-1)+1))</f>
        <v>0</v>
      </c>
      <c r="N57" s="49">
        <f ca="1">('TFA Prevalences'!AM89*('RR TFA'!O8-1))/(('TFA Prevalences'!AM89*('RR TFA'!O8-1)+1))</f>
        <v>0</v>
      </c>
      <c r="O57" s="49">
        <f ca="1">('TFA Prevalences'!AN89*('RR TFA'!P8-1))/(('TFA Prevalences'!AN89*('RR TFA'!P8-1)+1))</f>
        <v>0</v>
      </c>
      <c r="P57" s="49">
        <f ca="1">('TFA Prevalences'!AO89*('RR TFA'!Q8-1))/(('TFA Prevalences'!AO89*('RR TFA'!Q8-1)+1))</f>
        <v>0</v>
      </c>
      <c r="Q57" s="49">
        <f ca="1">('TFA Prevalences'!AP89*('RR TFA'!R8-1))/(('TFA Prevalences'!AP89*('RR TFA'!R8-1)+1))</f>
        <v>0</v>
      </c>
      <c r="R57" s="49">
        <f ca="1">('TFA Prevalences'!AQ89*('RR TFA'!S8-1))/(('TFA Prevalences'!AQ89*('RR TFA'!S8-1)+1))</f>
        <v>0</v>
      </c>
      <c r="S57" s="49">
        <f ca="1">('TFA Prevalences'!AR89*('RR TFA'!T8-1))/(('TFA Prevalences'!AR89*('RR TFA'!T8-1)+1))</f>
        <v>0</v>
      </c>
      <c r="T57" s="49">
        <f ca="1">('TFA Prevalences'!AS89*('RR TFA'!U8-1))/(('TFA Prevalences'!AS89*('RR TFA'!U8-1)+1))</f>
        <v>0</v>
      </c>
      <c r="U57" s="49">
        <f ca="1">('TFA Prevalences'!AT89*('RR TFA'!V8-1))/(('TFA Prevalences'!AT89*('RR TFA'!V8-1)+1))</f>
        <v>0</v>
      </c>
      <c r="V57" s="49">
        <f ca="1">('TFA Prevalences'!AU89*('RR TFA'!W8-1))/(('TFA Prevalences'!AU89*('RR TFA'!W8-1)+1))</f>
        <v>0</v>
      </c>
      <c r="W57" s="49">
        <f ca="1">('TFA Prevalences'!AV89*('RR TFA'!X8-1))/(('TFA Prevalences'!AV89*('RR TFA'!X8-1)+1))</f>
        <v>0</v>
      </c>
      <c r="X57" s="49">
        <f ca="1">('TFA Prevalences'!AW89*('RR TFA'!Y8-1))/(('TFA Prevalences'!AW89*('RR TFA'!Y8-1)+1))</f>
        <v>0</v>
      </c>
      <c r="Y57" s="49">
        <f ca="1">('TFA Prevalences'!AX89*('RR TFA'!Z8-1))/(('TFA Prevalences'!AX89*('RR TFA'!Z8-1)+1))</f>
        <v>0</v>
      </c>
      <c r="Z57" s="49">
        <f ca="1">('TFA Prevalences'!AY89*('RR TFA'!AA8-1))/(('TFA Prevalences'!AY89*('RR TFA'!AA8-1)+1))</f>
        <v>0</v>
      </c>
      <c r="AA57">
        <f t="shared" ca="1" si="28"/>
        <v>0</v>
      </c>
    </row>
    <row r="58" spans="1:27" ht="15.5" x14ac:dyDescent="0.35">
      <c r="A58" s="43" t="s">
        <v>65</v>
      </c>
      <c r="B58" s="49">
        <f ca="1">('TFA Prevalences'!AA90*('RR TFA'!C9-1))/(('TFA Prevalences'!AA90*('RR TFA'!C9-1)+1))</f>
        <v>0</v>
      </c>
      <c r="C58" s="49">
        <f ca="1">('TFA Prevalences'!AB90*('RR TFA'!D9-1))/(('TFA Prevalences'!AB90*('RR TFA'!D9-1)+1))</f>
        <v>0</v>
      </c>
      <c r="D58" s="49">
        <f ca="1">('TFA Prevalences'!AC90*('RR TFA'!E9-1))/(('TFA Prevalences'!AC90*('RR TFA'!E9-1)+1))</f>
        <v>0</v>
      </c>
      <c r="E58" s="49">
        <f ca="1">('TFA Prevalences'!AD90*('RR TFA'!F9-1))/(('TFA Prevalences'!AD90*('RR TFA'!F9-1)+1))</f>
        <v>0</v>
      </c>
      <c r="F58" s="49">
        <f ca="1">('TFA Prevalences'!AE90*('RR TFA'!G9-1))/(('TFA Prevalences'!AE90*('RR TFA'!G9-1)+1))</f>
        <v>0</v>
      </c>
      <c r="G58" s="49">
        <f ca="1">('TFA Prevalences'!AF90*('RR TFA'!H9-1))/(('TFA Prevalences'!AF90*('RR TFA'!H9-1)+1))</f>
        <v>0</v>
      </c>
      <c r="H58" s="49">
        <f ca="1">('TFA Prevalences'!AG90*('RR TFA'!I9-1))/(('TFA Prevalences'!AG90*('RR TFA'!I9-1)+1))</f>
        <v>0</v>
      </c>
      <c r="I58" s="49">
        <f ca="1">('TFA Prevalences'!AH90*('RR TFA'!J9-1))/(('TFA Prevalences'!AH90*('RR TFA'!J9-1)+1))</f>
        <v>0</v>
      </c>
      <c r="J58" s="49">
        <f ca="1">('TFA Prevalences'!AI90*('RR TFA'!K9-1))/(('TFA Prevalences'!AI90*('RR TFA'!K9-1)+1))</f>
        <v>0</v>
      </c>
      <c r="K58" s="49">
        <f ca="1">('TFA Prevalences'!AJ90*('RR TFA'!L9-1))/(('TFA Prevalences'!AJ90*('RR TFA'!L9-1)+1))</f>
        <v>0</v>
      </c>
      <c r="L58" s="49">
        <f ca="1">('TFA Prevalences'!AK90*('RR TFA'!M9-1))/(('TFA Prevalences'!AK90*('RR TFA'!M9-1)+1))</f>
        <v>0</v>
      </c>
      <c r="M58" s="49">
        <f ca="1">('TFA Prevalences'!AL90*('RR TFA'!N9-1))/(('TFA Prevalences'!AL90*('RR TFA'!N9-1)+1))</f>
        <v>0</v>
      </c>
      <c r="N58" s="49">
        <f ca="1">('TFA Prevalences'!AM90*('RR TFA'!O9-1))/(('TFA Prevalences'!AM90*('RR TFA'!O9-1)+1))</f>
        <v>0</v>
      </c>
      <c r="O58" s="49">
        <f ca="1">('TFA Prevalences'!AN90*('RR TFA'!P9-1))/(('TFA Prevalences'!AN90*('RR TFA'!P9-1)+1))</f>
        <v>0</v>
      </c>
      <c r="P58" s="49">
        <f ca="1">('TFA Prevalences'!AO90*('RR TFA'!Q9-1))/(('TFA Prevalences'!AO90*('RR TFA'!Q9-1)+1))</f>
        <v>0</v>
      </c>
      <c r="Q58" s="49">
        <f ca="1">('TFA Prevalences'!AP90*('RR TFA'!R9-1))/(('TFA Prevalences'!AP90*('RR TFA'!R9-1)+1))</f>
        <v>0</v>
      </c>
      <c r="R58" s="49">
        <f ca="1">('TFA Prevalences'!AQ90*('RR TFA'!S9-1))/(('TFA Prevalences'!AQ90*('RR TFA'!S9-1)+1))</f>
        <v>0</v>
      </c>
      <c r="S58" s="49">
        <f ca="1">('TFA Prevalences'!AR90*('RR TFA'!T9-1))/(('TFA Prevalences'!AR90*('RR TFA'!T9-1)+1))</f>
        <v>0</v>
      </c>
      <c r="T58" s="49">
        <f ca="1">('TFA Prevalences'!AS90*('RR TFA'!U9-1))/(('TFA Prevalences'!AS90*('RR TFA'!U9-1)+1))</f>
        <v>0</v>
      </c>
      <c r="U58" s="49">
        <f ca="1">('TFA Prevalences'!AT90*('RR TFA'!V9-1))/(('TFA Prevalences'!AT90*('RR TFA'!V9-1)+1))</f>
        <v>0</v>
      </c>
      <c r="V58" s="49">
        <f ca="1">('TFA Prevalences'!AU90*('RR TFA'!W9-1))/(('TFA Prevalences'!AU90*('RR TFA'!W9-1)+1))</f>
        <v>0</v>
      </c>
      <c r="W58" s="49">
        <f ca="1">('TFA Prevalences'!AV90*('RR TFA'!X9-1))/(('TFA Prevalences'!AV90*('RR TFA'!X9-1)+1))</f>
        <v>0</v>
      </c>
      <c r="X58" s="49">
        <f ca="1">('TFA Prevalences'!AW90*('RR TFA'!Y9-1))/(('TFA Prevalences'!AW90*('RR TFA'!Y9-1)+1))</f>
        <v>0</v>
      </c>
      <c r="Y58" s="49">
        <f ca="1">('TFA Prevalences'!AX90*('RR TFA'!Z9-1))/(('TFA Prevalences'!AX90*('RR TFA'!Z9-1)+1))</f>
        <v>0</v>
      </c>
      <c r="Z58" s="49">
        <f ca="1">('TFA Prevalences'!AY90*('RR TFA'!AA9-1))/(('TFA Prevalences'!AY90*('RR TFA'!AA9-1)+1))</f>
        <v>0</v>
      </c>
      <c r="AA58">
        <f t="shared" ca="1" si="28"/>
        <v>0</v>
      </c>
    </row>
    <row r="59" spans="1:27" ht="15.5" x14ac:dyDescent="0.35">
      <c r="A59" s="43" t="s">
        <v>66</v>
      </c>
      <c r="B59" s="49">
        <f ca="1">('TFA Prevalences'!AA91*('RR TFA'!C10-1))/(('TFA Prevalences'!AA91*('RR TFA'!C10-1)+1))</f>
        <v>0</v>
      </c>
      <c r="C59" s="49">
        <f ca="1">('TFA Prevalences'!AB91*('RR TFA'!D10-1))/(('TFA Prevalences'!AB91*('RR TFA'!D10-1)+1))</f>
        <v>0</v>
      </c>
      <c r="D59" s="49">
        <f ca="1">('TFA Prevalences'!AC91*('RR TFA'!E10-1))/(('TFA Prevalences'!AC91*('RR TFA'!E10-1)+1))</f>
        <v>0</v>
      </c>
      <c r="E59" s="49">
        <f ca="1">('TFA Prevalences'!AD91*('RR TFA'!F10-1))/(('TFA Prevalences'!AD91*('RR TFA'!F10-1)+1))</f>
        <v>0</v>
      </c>
      <c r="F59" s="49">
        <f ca="1">('TFA Prevalences'!AE91*('RR TFA'!G10-1))/(('TFA Prevalences'!AE91*('RR TFA'!G10-1)+1))</f>
        <v>0</v>
      </c>
      <c r="G59" s="49">
        <f ca="1">('TFA Prevalences'!AF91*('RR TFA'!H10-1))/(('TFA Prevalences'!AF91*('RR TFA'!H10-1)+1))</f>
        <v>0</v>
      </c>
      <c r="H59" s="49">
        <f ca="1">('TFA Prevalences'!AG91*('RR TFA'!I10-1))/(('TFA Prevalences'!AG91*('RR TFA'!I10-1)+1))</f>
        <v>0</v>
      </c>
      <c r="I59" s="49">
        <f ca="1">('TFA Prevalences'!AH91*('RR TFA'!J10-1))/(('TFA Prevalences'!AH91*('RR TFA'!J10-1)+1))</f>
        <v>0</v>
      </c>
      <c r="J59" s="49">
        <f ca="1">('TFA Prevalences'!AI91*('RR TFA'!K10-1))/(('TFA Prevalences'!AI91*('RR TFA'!K10-1)+1))</f>
        <v>0</v>
      </c>
      <c r="K59" s="49">
        <f ca="1">('TFA Prevalences'!AJ91*('RR TFA'!L10-1))/(('TFA Prevalences'!AJ91*('RR TFA'!L10-1)+1))</f>
        <v>0</v>
      </c>
      <c r="L59" s="49">
        <f ca="1">('TFA Prevalences'!AK91*('RR TFA'!M10-1))/(('TFA Prevalences'!AK91*('RR TFA'!M10-1)+1))</f>
        <v>0</v>
      </c>
      <c r="M59" s="49">
        <f ca="1">('TFA Prevalences'!AL91*('RR TFA'!N10-1))/(('TFA Prevalences'!AL91*('RR TFA'!N10-1)+1))</f>
        <v>0</v>
      </c>
      <c r="N59" s="49">
        <f ca="1">('TFA Prevalences'!AM91*('RR TFA'!O10-1))/(('TFA Prevalences'!AM91*('RR TFA'!O10-1)+1))</f>
        <v>0</v>
      </c>
      <c r="O59" s="49">
        <f ca="1">('TFA Prevalences'!AN91*('RR TFA'!P10-1))/(('TFA Prevalences'!AN91*('RR TFA'!P10-1)+1))</f>
        <v>0</v>
      </c>
      <c r="P59" s="49">
        <f ca="1">('TFA Prevalences'!AO91*('RR TFA'!Q10-1))/(('TFA Prevalences'!AO91*('RR TFA'!Q10-1)+1))</f>
        <v>0</v>
      </c>
      <c r="Q59" s="49">
        <f ca="1">('TFA Prevalences'!AP91*('RR TFA'!R10-1))/(('TFA Prevalences'!AP91*('RR TFA'!R10-1)+1))</f>
        <v>0</v>
      </c>
      <c r="R59" s="49">
        <f ca="1">('TFA Prevalences'!AQ91*('RR TFA'!S10-1))/(('TFA Prevalences'!AQ91*('RR TFA'!S10-1)+1))</f>
        <v>0</v>
      </c>
      <c r="S59" s="49">
        <f ca="1">('TFA Prevalences'!AR91*('RR TFA'!T10-1))/(('TFA Prevalences'!AR91*('RR TFA'!T10-1)+1))</f>
        <v>0</v>
      </c>
      <c r="T59" s="49">
        <f ca="1">('TFA Prevalences'!AS91*('RR TFA'!U10-1))/(('TFA Prevalences'!AS91*('RR TFA'!U10-1)+1))</f>
        <v>0</v>
      </c>
      <c r="U59" s="49">
        <f ca="1">('TFA Prevalences'!AT91*('RR TFA'!V10-1))/(('TFA Prevalences'!AT91*('RR TFA'!V10-1)+1))</f>
        <v>0</v>
      </c>
      <c r="V59" s="49">
        <f ca="1">('TFA Prevalences'!AU91*('RR TFA'!W10-1))/(('TFA Prevalences'!AU91*('RR TFA'!W10-1)+1))</f>
        <v>0</v>
      </c>
      <c r="W59" s="49">
        <f ca="1">('TFA Prevalences'!AV91*('RR TFA'!X10-1))/(('TFA Prevalences'!AV91*('RR TFA'!X10-1)+1))</f>
        <v>0</v>
      </c>
      <c r="X59" s="49">
        <f ca="1">('TFA Prevalences'!AW91*('RR TFA'!Y10-1))/(('TFA Prevalences'!AW91*('RR TFA'!Y10-1)+1))</f>
        <v>0</v>
      </c>
      <c r="Y59" s="49">
        <f ca="1">('TFA Prevalences'!AX91*('RR TFA'!Z10-1))/(('TFA Prevalences'!AX91*('RR TFA'!Z10-1)+1))</f>
        <v>0</v>
      </c>
      <c r="Z59" s="49">
        <f ca="1">('TFA Prevalences'!AY91*('RR TFA'!AA10-1))/(('TFA Prevalences'!AY91*('RR TFA'!AA10-1)+1))</f>
        <v>0</v>
      </c>
      <c r="AA59">
        <f t="shared" ca="1" si="28"/>
        <v>0</v>
      </c>
    </row>
    <row r="60" spans="1:27" ht="15.5" x14ac:dyDescent="0.35">
      <c r="A60" s="43" t="s">
        <v>67</v>
      </c>
      <c r="B60" s="49">
        <f ca="1">('TFA Prevalences'!AA92*('RR TFA'!C11-1))/(('TFA Prevalences'!AA92*('RR TFA'!C11-1)+1))</f>
        <v>0</v>
      </c>
      <c r="C60" s="49">
        <f ca="1">('TFA Prevalences'!AB92*('RR TFA'!D11-1))/(('TFA Prevalences'!AB92*('RR TFA'!D11-1)+1))</f>
        <v>0</v>
      </c>
      <c r="D60" s="49">
        <f ca="1">('TFA Prevalences'!AC92*('RR TFA'!E11-1))/(('TFA Prevalences'!AC92*('RR TFA'!E11-1)+1))</f>
        <v>0</v>
      </c>
      <c r="E60" s="49">
        <f ca="1">('TFA Prevalences'!AD92*('RR TFA'!F11-1))/(('TFA Prevalences'!AD92*('RR TFA'!F11-1)+1))</f>
        <v>0</v>
      </c>
      <c r="F60" s="49">
        <f ca="1">('TFA Prevalences'!AE92*('RR TFA'!G11-1))/(('TFA Prevalences'!AE92*('RR TFA'!G11-1)+1))</f>
        <v>0</v>
      </c>
      <c r="G60" s="49">
        <f ca="1">('TFA Prevalences'!AF92*('RR TFA'!H11-1))/(('TFA Prevalences'!AF92*('RR TFA'!H11-1)+1))</f>
        <v>0</v>
      </c>
      <c r="H60" s="49">
        <f ca="1">('TFA Prevalences'!AG92*('RR TFA'!I11-1))/(('TFA Prevalences'!AG92*('RR TFA'!I11-1)+1))</f>
        <v>0</v>
      </c>
      <c r="I60" s="49">
        <f ca="1">('TFA Prevalences'!AH92*('RR TFA'!J11-1))/(('TFA Prevalences'!AH92*('RR TFA'!J11-1)+1))</f>
        <v>0</v>
      </c>
      <c r="J60" s="49">
        <f ca="1">('TFA Prevalences'!AI92*('RR TFA'!K11-1))/(('TFA Prevalences'!AI92*('RR TFA'!K11-1)+1))</f>
        <v>0</v>
      </c>
      <c r="K60" s="49">
        <f ca="1">('TFA Prevalences'!AJ92*('RR TFA'!L11-1))/(('TFA Prevalences'!AJ92*('RR TFA'!L11-1)+1))</f>
        <v>0</v>
      </c>
      <c r="L60" s="49">
        <f ca="1">('TFA Prevalences'!AK92*('RR TFA'!M11-1))/(('TFA Prevalences'!AK92*('RR TFA'!M11-1)+1))</f>
        <v>0</v>
      </c>
      <c r="M60" s="49">
        <f ca="1">('TFA Prevalences'!AL92*('RR TFA'!N11-1))/(('TFA Prevalences'!AL92*('RR TFA'!N11-1)+1))</f>
        <v>0</v>
      </c>
      <c r="N60" s="49">
        <f ca="1">('TFA Prevalences'!AM92*('RR TFA'!O11-1))/(('TFA Prevalences'!AM92*('RR TFA'!O11-1)+1))</f>
        <v>0</v>
      </c>
      <c r="O60" s="49">
        <f ca="1">('TFA Prevalences'!AN92*('RR TFA'!P11-1))/(('TFA Prevalences'!AN92*('RR TFA'!P11-1)+1))</f>
        <v>0</v>
      </c>
      <c r="P60" s="49">
        <f ca="1">('TFA Prevalences'!AO92*('RR TFA'!Q11-1))/(('TFA Prevalences'!AO92*('RR TFA'!Q11-1)+1))</f>
        <v>0</v>
      </c>
      <c r="Q60" s="49">
        <f ca="1">('TFA Prevalences'!AP92*('RR TFA'!R11-1))/(('TFA Prevalences'!AP92*('RR TFA'!R11-1)+1))</f>
        <v>0</v>
      </c>
      <c r="R60" s="49">
        <f ca="1">('TFA Prevalences'!AQ92*('RR TFA'!S11-1))/(('TFA Prevalences'!AQ92*('RR TFA'!S11-1)+1))</f>
        <v>0</v>
      </c>
      <c r="S60" s="49">
        <f ca="1">('TFA Prevalences'!AR92*('RR TFA'!T11-1))/(('TFA Prevalences'!AR92*('RR TFA'!T11-1)+1))</f>
        <v>0</v>
      </c>
      <c r="T60" s="49">
        <f ca="1">('TFA Prevalences'!AS92*('RR TFA'!U11-1))/(('TFA Prevalences'!AS92*('RR TFA'!U11-1)+1))</f>
        <v>0</v>
      </c>
      <c r="U60" s="49">
        <f ca="1">('TFA Prevalences'!AT92*('RR TFA'!V11-1))/(('TFA Prevalences'!AT92*('RR TFA'!V11-1)+1))</f>
        <v>0</v>
      </c>
      <c r="V60" s="49">
        <f ca="1">('TFA Prevalences'!AU92*('RR TFA'!W11-1))/(('TFA Prevalences'!AU92*('RR TFA'!W11-1)+1))</f>
        <v>0</v>
      </c>
      <c r="W60" s="49">
        <f ca="1">('TFA Prevalences'!AV92*('RR TFA'!X11-1))/(('TFA Prevalences'!AV92*('RR TFA'!X11-1)+1))</f>
        <v>0</v>
      </c>
      <c r="X60" s="49">
        <f ca="1">('TFA Prevalences'!AW92*('RR TFA'!Y11-1))/(('TFA Prevalences'!AW92*('RR TFA'!Y11-1)+1))</f>
        <v>0</v>
      </c>
      <c r="Y60" s="49">
        <f ca="1">('TFA Prevalences'!AX92*('RR TFA'!Z11-1))/(('TFA Prevalences'!AX92*('RR TFA'!Z11-1)+1))</f>
        <v>0</v>
      </c>
      <c r="Z60" s="49">
        <f ca="1">('TFA Prevalences'!AY92*('RR TFA'!AA11-1))/(('TFA Prevalences'!AY92*('RR TFA'!AA11-1)+1))</f>
        <v>0</v>
      </c>
      <c r="AA60">
        <f t="shared" ca="1" si="28"/>
        <v>0</v>
      </c>
    </row>
    <row r="61" spans="1:27" ht="15.5" x14ac:dyDescent="0.35">
      <c r="A61" s="43" t="s">
        <v>68</v>
      </c>
      <c r="B61" s="49">
        <f ca="1">('TFA Prevalences'!AA93*('RR TFA'!C12-1))/(('TFA Prevalences'!AA93*('RR TFA'!C12-1)+1))</f>
        <v>0</v>
      </c>
      <c r="C61" s="49">
        <f ca="1">('TFA Prevalences'!AB93*('RR TFA'!D12-1))/(('TFA Prevalences'!AB93*('RR TFA'!D12-1)+1))</f>
        <v>0</v>
      </c>
      <c r="D61" s="49">
        <f ca="1">('TFA Prevalences'!AC93*('RR TFA'!E12-1))/(('TFA Prevalences'!AC93*('RR TFA'!E12-1)+1))</f>
        <v>0</v>
      </c>
      <c r="E61" s="49">
        <f ca="1">('TFA Prevalences'!AD93*('RR TFA'!F12-1))/(('TFA Prevalences'!AD93*('RR TFA'!F12-1)+1))</f>
        <v>0</v>
      </c>
      <c r="F61" s="49">
        <f ca="1">('TFA Prevalences'!AE93*('RR TFA'!G12-1))/(('TFA Prevalences'!AE93*('RR TFA'!G12-1)+1))</f>
        <v>0</v>
      </c>
      <c r="G61" s="49">
        <f ca="1">('TFA Prevalences'!AF93*('RR TFA'!H12-1))/(('TFA Prevalences'!AF93*('RR TFA'!H12-1)+1))</f>
        <v>0</v>
      </c>
      <c r="H61" s="49">
        <f ca="1">('TFA Prevalences'!AG93*('RR TFA'!I12-1))/(('TFA Prevalences'!AG93*('RR TFA'!I12-1)+1))</f>
        <v>0</v>
      </c>
      <c r="I61" s="49">
        <f ca="1">('TFA Prevalences'!AH93*('RR TFA'!J12-1))/(('TFA Prevalences'!AH93*('RR TFA'!J12-1)+1))</f>
        <v>0</v>
      </c>
      <c r="J61" s="49">
        <f ca="1">('TFA Prevalences'!AI93*('RR TFA'!K12-1))/(('TFA Prevalences'!AI93*('RR TFA'!K12-1)+1))</f>
        <v>0</v>
      </c>
      <c r="K61" s="49">
        <f ca="1">('TFA Prevalences'!AJ93*('RR TFA'!L12-1))/(('TFA Prevalences'!AJ93*('RR TFA'!L12-1)+1))</f>
        <v>0</v>
      </c>
      <c r="L61" s="49">
        <f ca="1">('TFA Prevalences'!AK93*('RR TFA'!M12-1))/(('TFA Prevalences'!AK93*('RR TFA'!M12-1)+1))</f>
        <v>0</v>
      </c>
      <c r="M61" s="49">
        <f ca="1">('TFA Prevalences'!AL93*('RR TFA'!N12-1))/(('TFA Prevalences'!AL93*('RR TFA'!N12-1)+1))</f>
        <v>0</v>
      </c>
      <c r="N61" s="49">
        <f ca="1">('TFA Prevalences'!AM93*('RR TFA'!O12-1))/(('TFA Prevalences'!AM93*('RR TFA'!O12-1)+1))</f>
        <v>0</v>
      </c>
      <c r="O61" s="49">
        <f ca="1">('TFA Prevalences'!AN93*('RR TFA'!P12-1))/(('TFA Prevalences'!AN93*('RR TFA'!P12-1)+1))</f>
        <v>0</v>
      </c>
      <c r="P61" s="49">
        <f ca="1">('TFA Prevalences'!AO93*('RR TFA'!Q12-1))/(('TFA Prevalences'!AO93*('RR TFA'!Q12-1)+1))</f>
        <v>0</v>
      </c>
      <c r="Q61" s="49">
        <f ca="1">('TFA Prevalences'!AP93*('RR TFA'!R12-1))/(('TFA Prevalences'!AP93*('RR TFA'!R12-1)+1))</f>
        <v>0</v>
      </c>
      <c r="R61" s="49">
        <f ca="1">('TFA Prevalences'!AQ93*('RR TFA'!S12-1))/(('TFA Prevalences'!AQ93*('RR TFA'!S12-1)+1))</f>
        <v>0</v>
      </c>
      <c r="S61" s="49">
        <f ca="1">('TFA Prevalences'!AR93*('RR TFA'!T12-1))/(('TFA Prevalences'!AR93*('RR TFA'!T12-1)+1))</f>
        <v>0</v>
      </c>
      <c r="T61" s="49">
        <f ca="1">('TFA Prevalences'!AS93*('RR TFA'!U12-1))/(('TFA Prevalences'!AS93*('RR TFA'!U12-1)+1))</f>
        <v>0</v>
      </c>
      <c r="U61" s="49">
        <f ca="1">('TFA Prevalences'!AT93*('RR TFA'!V12-1))/(('TFA Prevalences'!AT93*('RR TFA'!V12-1)+1))</f>
        <v>0</v>
      </c>
      <c r="V61" s="49">
        <f ca="1">('TFA Prevalences'!AU93*('RR TFA'!W12-1))/(('TFA Prevalences'!AU93*('RR TFA'!W12-1)+1))</f>
        <v>0</v>
      </c>
      <c r="W61" s="49">
        <f ca="1">('TFA Prevalences'!AV93*('RR TFA'!X12-1))/(('TFA Prevalences'!AV93*('RR TFA'!X12-1)+1))</f>
        <v>0</v>
      </c>
      <c r="X61" s="49">
        <f ca="1">('TFA Prevalences'!AW93*('RR TFA'!Y12-1))/(('TFA Prevalences'!AW93*('RR TFA'!Y12-1)+1))</f>
        <v>0</v>
      </c>
      <c r="Y61" s="49">
        <f ca="1">('TFA Prevalences'!AX93*('RR TFA'!Z12-1))/(('TFA Prevalences'!AX93*('RR TFA'!Z12-1)+1))</f>
        <v>0</v>
      </c>
      <c r="Z61" s="49">
        <f ca="1">('TFA Prevalences'!AY93*('RR TFA'!AA12-1))/(('TFA Prevalences'!AY93*('RR TFA'!AA12-1)+1))</f>
        <v>0</v>
      </c>
      <c r="AA61">
        <f t="shared" ca="1" si="28"/>
        <v>0</v>
      </c>
    </row>
    <row r="62" spans="1:27" ht="15.5" x14ac:dyDescent="0.35">
      <c r="A62" s="43" t="s">
        <v>69</v>
      </c>
      <c r="B62" s="49">
        <f ca="1">('TFA Prevalences'!AA94*('RR TFA'!C13-1))/(('TFA Prevalences'!AA94*('RR TFA'!C13-1)+1))</f>
        <v>0</v>
      </c>
      <c r="C62" s="49">
        <f ca="1">('TFA Prevalences'!AB94*('RR TFA'!D13-1))/(('TFA Prevalences'!AB94*('RR TFA'!D13-1)+1))</f>
        <v>0</v>
      </c>
      <c r="D62" s="49">
        <f ca="1">('TFA Prevalences'!AC94*('RR TFA'!E13-1))/(('TFA Prevalences'!AC94*('RR TFA'!E13-1)+1))</f>
        <v>0</v>
      </c>
      <c r="E62" s="49">
        <f ca="1">('TFA Prevalences'!AD94*('RR TFA'!F13-1))/(('TFA Prevalences'!AD94*('RR TFA'!F13-1)+1))</f>
        <v>0</v>
      </c>
      <c r="F62" s="49">
        <f ca="1">('TFA Prevalences'!AE94*('RR TFA'!G13-1))/(('TFA Prevalences'!AE94*('RR TFA'!G13-1)+1))</f>
        <v>0</v>
      </c>
      <c r="G62" s="49">
        <f ca="1">('TFA Prevalences'!AF94*('RR TFA'!H13-1))/(('TFA Prevalences'!AF94*('RR TFA'!H13-1)+1))</f>
        <v>0</v>
      </c>
      <c r="H62" s="49">
        <f ca="1">('TFA Prevalences'!AG94*('RR TFA'!I13-1))/(('TFA Prevalences'!AG94*('RR TFA'!I13-1)+1))</f>
        <v>0</v>
      </c>
      <c r="I62" s="49">
        <f ca="1">('TFA Prevalences'!AH94*('RR TFA'!J13-1))/(('TFA Prevalences'!AH94*('RR TFA'!J13-1)+1))</f>
        <v>0</v>
      </c>
      <c r="J62" s="49">
        <f ca="1">('TFA Prevalences'!AI94*('RR TFA'!K13-1))/(('TFA Prevalences'!AI94*('RR TFA'!K13-1)+1))</f>
        <v>0</v>
      </c>
      <c r="K62" s="49">
        <f ca="1">('TFA Prevalences'!AJ94*('RR TFA'!L13-1))/(('TFA Prevalences'!AJ94*('RR TFA'!L13-1)+1))</f>
        <v>0</v>
      </c>
      <c r="L62" s="49">
        <f ca="1">('TFA Prevalences'!AK94*('RR TFA'!M13-1))/(('TFA Prevalences'!AK94*('RR TFA'!M13-1)+1))</f>
        <v>0</v>
      </c>
      <c r="M62" s="49">
        <f ca="1">('TFA Prevalences'!AL94*('RR TFA'!N13-1))/(('TFA Prevalences'!AL94*('RR TFA'!N13-1)+1))</f>
        <v>0</v>
      </c>
      <c r="N62" s="49">
        <f ca="1">('TFA Prevalences'!AM94*('RR TFA'!O13-1))/(('TFA Prevalences'!AM94*('RR TFA'!O13-1)+1))</f>
        <v>0</v>
      </c>
      <c r="O62" s="49">
        <f ca="1">('TFA Prevalences'!AN94*('RR TFA'!P13-1))/(('TFA Prevalences'!AN94*('RR TFA'!P13-1)+1))</f>
        <v>0</v>
      </c>
      <c r="P62" s="49">
        <f ca="1">('TFA Prevalences'!AO94*('RR TFA'!Q13-1))/(('TFA Prevalences'!AO94*('RR TFA'!Q13-1)+1))</f>
        <v>0</v>
      </c>
      <c r="Q62" s="49">
        <f ca="1">('TFA Prevalences'!AP94*('RR TFA'!R13-1))/(('TFA Prevalences'!AP94*('RR TFA'!R13-1)+1))</f>
        <v>0</v>
      </c>
      <c r="R62" s="49">
        <f ca="1">('TFA Prevalences'!AQ94*('RR TFA'!S13-1))/(('TFA Prevalences'!AQ94*('RR TFA'!S13-1)+1))</f>
        <v>0</v>
      </c>
      <c r="S62" s="49">
        <f ca="1">('TFA Prevalences'!AR94*('RR TFA'!T13-1))/(('TFA Prevalences'!AR94*('RR TFA'!T13-1)+1))</f>
        <v>0</v>
      </c>
      <c r="T62" s="49">
        <f ca="1">('TFA Prevalences'!AS94*('RR TFA'!U13-1))/(('TFA Prevalences'!AS94*('RR TFA'!U13-1)+1))</f>
        <v>0</v>
      </c>
      <c r="U62" s="49">
        <f ca="1">('TFA Prevalences'!AT94*('RR TFA'!V13-1))/(('TFA Prevalences'!AT94*('RR TFA'!V13-1)+1))</f>
        <v>0</v>
      </c>
      <c r="V62" s="49">
        <f ca="1">('TFA Prevalences'!AU94*('RR TFA'!W13-1))/(('TFA Prevalences'!AU94*('RR TFA'!W13-1)+1))</f>
        <v>0</v>
      </c>
      <c r="W62" s="49">
        <f ca="1">('TFA Prevalences'!AV94*('RR TFA'!X13-1))/(('TFA Prevalences'!AV94*('RR TFA'!X13-1)+1))</f>
        <v>0</v>
      </c>
      <c r="X62" s="49">
        <f ca="1">('TFA Prevalences'!AW94*('RR TFA'!Y13-1))/(('TFA Prevalences'!AW94*('RR TFA'!Y13-1)+1))</f>
        <v>0</v>
      </c>
      <c r="Y62" s="49">
        <f ca="1">('TFA Prevalences'!AX94*('RR TFA'!Z13-1))/(('TFA Prevalences'!AX94*('RR TFA'!Z13-1)+1))</f>
        <v>0</v>
      </c>
      <c r="Z62" s="49">
        <f ca="1">('TFA Prevalences'!AY94*('RR TFA'!AA13-1))/(('TFA Prevalences'!AY94*('RR TFA'!AA13-1)+1))</f>
        <v>0</v>
      </c>
      <c r="AA62">
        <f t="shared" ca="1" si="28"/>
        <v>0</v>
      </c>
    </row>
    <row r="63" spans="1:27" ht="15.5" x14ac:dyDescent="0.35">
      <c r="A63" s="43" t="s">
        <v>70</v>
      </c>
      <c r="B63" s="49">
        <f ca="1">('TFA Prevalences'!AA95*('RR TFA'!C14-1))/(('TFA Prevalences'!AA95*('RR TFA'!C14-1)+1))</f>
        <v>0</v>
      </c>
      <c r="C63" s="49">
        <f ca="1">('TFA Prevalences'!AB95*('RR TFA'!D14-1))/(('TFA Prevalences'!AB95*('RR TFA'!D14-1)+1))</f>
        <v>0</v>
      </c>
      <c r="D63" s="49">
        <f ca="1">('TFA Prevalences'!AC95*('RR TFA'!E14-1))/(('TFA Prevalences'!AC95*('RR TFA'!E14-1)+1))</f>
        <v>0</v>
      </c>
      <c r="E63" s="49">
        <f ca="1">('TFA Prevalences'!AD95*('RR TFA'!F14-1))/(('TFA Prevalences'!AD95*('RR TFA'!F14-1)+1))</f>
        <v>0</v>
      </c>
      <c r="F63" s="49">
        <f ca="1">('TFA Prevalences'!AE95*('RR TFA'!G14-1))/(('TFA Prevalences'!AE95*('RR TFA'!G14-1)+1))</f>
        <v>0</v>
      </c>
      <c r="G63" s="49">
        <f ca="1">('TFA Prevalences'!AF95*('RR TFA'!H14-1))/(('TFA Prevalences'!AF95*('RR TFA'!H14-1)+1))</f>
        <v>0</v>
      </c>
      <c r="H63" s="49">
        <f ca="1">('TFA Prevalences'!AG95*('RR TFA'!I14-1))/(('TFA Prevalences'!AG95*('RR TFA'!I14-1)+1))</f>
        <v>0</v>
      </c>
      <c r="I63" s="49">
        <f ca="1">('TFA Prevalences'!AH95*('RR TFA'!J14-1))/(('TFA Prevalences'!AH95*('RR TFA'!J14-1)+1))</f>
        <v>0</v>
      </c>
      <c r="J63" s="49">
        <f ca="1">('TFA Prevalences'!AI95*('RR TFA'!K14-1))/(('TFA Prevalences'!AI95*('RR TFA'!K14-1)+1))</f>
        <v>0</v>
      </c>
      <c r="K63" s="49">
        <f ca="1">('TFA Prevalences'!AJ95*('RR TFA'!L14-1))/(('TFA Prevalences'!AJ95*('RR TFA'!L14-1)+1))</f>
        <v>0</v>
      </c>
      <c r="L63" s="49">
        <f ca="1">('TFA Prevalences'!AK95*('RR TFA'!M14-1))/(('TFA Prevalences'!AK95*('RR TFA'!M14-1)+1))</f>
        <v>0</v>
      </c>
      <c r="M63" s="49">
        <f ca="1">('TFA Prevalences'!AL95*('RR TFA'!N14-1))/(('TFA Prevalences'!AL95*('RR TFA'!N14-1)+1))</f>
        <v>0</v>
      </c>
      <c r="N63" s="49">
        <f ca="1">('TFA Prevalences'!AM95*('RR TFA'!O14-1))/(('TFA Prevalences'!AM95*('RR TFA'!O14-1)+1))</f>
        <v>0</v>
      </c>
      <c r="O63" s="49">
        <f ca="1">('TFA Prevalences'!AN95*('RR TFA'!P14-1))/(('TFA Prevalences'!AN95*('RR TFA'!P14-1)+1))</f>
        <v>0</v>
      </c>
      <c r="P63" s="49">
        <f ca="1">('TFA Prevalences'!AO95*('RR TFA'!Q14-1))/(('TFA Prevalences'!AO95*('RR TFA'!Q14-1)+1))</f>
        <v>0</v>
      </c>
      <c r="Q63" s="49">
        <f ca="1">('TFA Prevalences'!AP95*('RR TFA'!R14-1))/(('TFA Prevalences'!AP95*('RR TFA'!R14-1)+1))</f>
        <v>0</v>
      </c>
      <c r="R63" s="49">
        <f ca="1">('TFA Prevalences'!AQ95*('RR TFA'!S14-1))/(('TFA Prevalences'!AQ95*('RR TFA'!S14-1)+1))</f>
        <v>0</v>
      </c>
      <c r="S63" s="49">
        <f ca="1">('TFA Prevalences'!AR95*('RR TFA'!T14-1))/(('TFA Prevalences'!AR95*('RR TFA'!T14-1)+1))</f>
        <v>0</v>
      </c>
      <c r="T63" s="49">
        <f ca="1">('TFA Prevalences'!AS95*('RR TFA'!U14-1))/(('TFA Prevalences'!AS95*('RR TFA'!U14-1)+1))</f>
        <v>0</v>
      </c>
      <c r="U63" s="49">
        <f ca="1">('TFA Prevalences'!AT95*('RR TFA'!V14-1))/(('TFA Prevalences'!AT95*('RR TFA'!V14-1)+1))</f>
        <v>0</v>
      </c>
      <c r="V63" s="49">
        <f ca="1">('TFA Prevalences'!AU95*('RR TFA'!W14-1))/(('TFA Prevalences'!AU95*('RR TFA'!W14-1)+1))</f>
        <v>0</v>
      </c>
      <c r="W63" s="49">
        <f ca="1">('TFA Prevalences'!AV95*('RR TFA'!X14-1))/(('TFA Prevalences'!AV95*('RR TFA'!X14-1)+1))</f>
        <v>0</v>
      </c>
      <c r="X63" s="49">
        <f ca="1">('TFA Prevalences'!AW95*('RR TFA'!Y14-1))/(('TFA Prevalences'!AW95*('RR TFA'!Y14-1)+1))</f>
        <v>0</v>
      </c>
      <c r="Y63" s="49">
        <f ca="1">('TFA Prevalences'!AX95*('RR TFA'!Z14-1))/(('TFA Prevalences'!AX95*('RR TFA'!Z14-1)+1))</f>
        <v>0</v>
      </c>
      <c r="Z63" s="49">
        <f ca="1">('TFA Prevalences'!AY95*('RR TFA'!AA14-1))/(('TFA Prevalences'!AY95*('RR TFA'!AA14-1)+1))</f>
        <v>0</v>
      </c>
      <c r="AA63">
        <f t="shared" ca="1" si="28"/>
        <v>0</v>
      </c>
    </row>
    <row r="64" spans="1:27" ht="15.5" x14ac:dyDescent="0.35">
      <c r="A64" s="43" t="s">
        <v>71</v>
      </c>
      <c r="B64" s="49">
        <f ca="1">('TFA Prevalences'!AA96*('RR TFA'!C15-1))/(('TFA Prevalences'!AA96*('RR TFA'!C15-1)+1))</f>
        <v>0</v>
      </c>
      <c r="C64" s="49">
        <f ca="1">('TFA Prevalences'!AB96*('RR TFA'!D15-1))/(('TFA Prevalences'!AB96*('RR TFA'!D15-1)+1))</f>
        <v>0</v>
      </c>
      <c r="D64" s="49">
        <f ca="1">('TFA Prevalences'!AC96*('RR TFA'!E15-1))/(('TFA Prevalences'!AC96*('RR TFA'!E15-1)+1))</f>
        <v>0</v>
      </c>
      <c r="E64" s="49">
        <f ca="1">('TFA Prevalences'!AD96*('RR TFA'!F15-1))/(('TFA Prevalences'!AD96*('RR TFA'!F15-1)+1))</f>
        <v>0</v>
      </c>
      <c r="F64" s="49">
        <f ca="1">('TFA Prevalences'!AE96*('RR TFA'!G15-1))/(('TFA Prevalences'!AE96*('RR TFA'!G15-1)+1))</f>
        <v>0</v>
      </c>
      <c r="G64" s="49">
        <f ca="1">('TFA Prevalences'!AF96*('RR TFA'!H15-1))/(('TFA Prevalences'!AF96*('RR TFA'!H15-1)+1))</f>
        <v>0</v>
      </c>
      <c r="H64" s="49">
        <f ca="1">('TFA Prevalences'!AG96*('RR TFA'!I15-1))/(('TFA Prevalences'!AG96*('RR TFA'!I15-1)+1))</f>
        <v>0</v>
      </c>
      <c r="I64" s="49">
        <f ca="1">('TFA Prevalences'!AH96*('RR TFA'!J15-1))/(('TFA Prevalences'!AH96*('RR TFA'!J15-1)+1))</f>
        <v>0</v>
      </c>
      <c r="J64" s="49">
        <f ca="1">('TFA Prevalences'!AI96*('RR TFA'!K15-1))/(('TFA Prevalences'!AI96*('RR TFA'!K15-1)+1))</f>
        <v>0</v>
      </c>
      <c r="K64" s="49">
        <f ca="1">('TFA Prevalences'!AJ96*('RR TFA'!L15-1))/(('TFA Prevalences'!AJ96*('RR TFA'!L15-1)+1))</f>
        <v>0</v>
      </c>
      <c r="L64" s="49">
        <f ca="1">('TFA Prevalences'!AK96*('RR TFA'!M15-1))/(('TFA Prevalences'!AK96*('RR TFA'!M15-1)+1))</f>
        <v>0</v>
      </c>
      <c r="M64" s="49">
        <f ca="1">('TFA Prevalences'!AL96*('RR TFA'!N15-1))/(('TFA Prevalences'!AL96*('RR TFA'!N15-1)+1))</f>
        <v>0</v>
      </c>
      <c r="N64" s="49">
        <f ca="1">('TFA Prevalences'!AM96*('RR TFA'!O15-1))/(('TFA Prevalences'!AM96*('RR TFA'!O15-1)+1))</f>
        <v>0</v>
      </c>
      <c r="O64" s="49">
        <f ca="1">('TFA Prevalences'!AN96*('RR TFA'!P15-1))/(('TFA Prevalences'!AN96*('RR TFA'!P15-1)+1))</f>
        <v>0</v>
      </c>
      <c r="P64" s="49">
        <f ca="1">('TFA Prevalences'!AO96*('RR TFA'!Q15-1))/(('TFA Prevalences'!AO96*('RR TFA'!Q15-1)+1))</f>
        <v>0</v>
      </c>
      <c r="Q64" s="49">
        <f ca="1">('TFA Prevalences'!AP96*('RR TFA'!R15-1))/(('TFA Prevalences'!AP96*('RR TFA'!R15-1)+1))</f>
        <v>0</v>
      </c>
      <c r="R64" s="49">
        <f ca="1">('TFA Prevalences'!AQ96*('RR TFA'!S15-1))/(('TFA Prevalences'!AQ96*('RR TFA'!S15-1)+1))</f>
        <v>0</v>
      </c>
      <c r="S64" s="49">
        <f ca="1">('TFA Prevalences'!AR96*('RR TFA'!T15-1))/(('TFA Prevalences'!AR96*('RR TFA'!T15-1)+1))</f>
        <v>0</v>
      </c>
      <c r="T64" s="49">
        <f ca="1">('TFA Prevalences'!AS96*('RR TFA'!U15-1))/(('TFA Prevalences'!AS96*('RR TFA'!U15-1)+1))</f>
        <v>0</v>
      </c>
      <c r="U64" s="49">
        <f ca="1">('TFA Prevalences'!AT96*('RR TFA'!V15-1))/(('TFA Prevalences'!AT96*('RR TFA'!V15-1)+1))</f>
        <v>0</v>
      </c>
      <c r="V64" s="49">
        <f ca="1">('TFA Prevalences'!AU96*('RR TFA'!W15-1))/(('TFA Prevalences'!AU96*('RR TFA'!W15-1)+1))</f>
        <v>0</v>
      </c>
      <c r="W64" s="49">
        <f ca="1">('TFA Prevalences'!AV96*('RR TFA'!X15-1))/(('TFA Prevalences'!AV96*('RR TFA'!X15-1)+1))</f>
        <v>0</v>
      </c>
      <c r="X64" s="49">
        <f ca="1">('TFA Prevalences'!AW96*('RR TFA'!Y15-1))/(('TFA Prevalences'!AW96*('RR TFA'!Y15-1)+1))</f>
        <v>0</v>
      </c>
      <c r="Y64" s="49">
        <f ca="1">('TFA Prevalences'!AX96*('RR TFA'!Z15-1))/(('TFA Prevalences'!AX96*('RR TFA'!Z15-1)+1))</f>
        <v>0</v>
      </c>
      <c r="Z64" s="49">
        <f ca="1">('TFA Prevalences'!AY96*('RR TFA'!AA15-1))/(('TFA Prevalences'!AY96*('RR TFA'!AA15-1)+1))</f>
        <v>0</v>
      </c>
      <c r="AA64">
        <f t="shared" ca="1" si="28"/>
        <v>0</v>
      </c>
    </row>
    <row r="65" spans="1:27" ht="15.5" x14ac:dyDescent="0.35">
      <c r="A65" s="43" t="s">
        <v>72</v>
      </c>
      <c r="B65" s="49">
        <f ca="1">('TFA Prevalences'!AA97*('RR TFA'!C16-1))/(('TFA Prevalences'!AA97*('RR TFA'!C16-1)+1))</f>
        <v>0</v>
      </c>
      <c r="C65" s="49">
        <f ca="1">('TFA Prevalences'!AB97*('RR TFA'!D16-1))/(('TFA Prevalences'!AB97*('RR TFA'!D16-1)+1))</f>
        <v>0</v>
      </c>
      <c r="D65" s="49">
        <f ca="1">('TFA Prevalences'!AC97*('RR TFA'!E16-1))/(('TFA Prevalences'!AC97*('RR TFA'!E16-1)+1))</f>
        <v>0</v>
      </c>
      <c r="E65" s="49">
        <f ca="1">('TFA Prevalences'!AD97*('RR TFA'!F16-1))/(('TFA Prevalences'!AD97*('RR TFA'!F16-1)+1))</f>
        <v>0</v>
      </c>
      <c r="F65" s="49">
        <f ca="1">('TFA Prevalences'!AE97*('RR TFA'!G16-1))/(('TFA Prevalences'!AE97*('RR TFA'!G16-1)+1))</f>
        <v>0</v>
      </c>
      <c r="G65" s="49">
        <f ca="1">('TFA Prevalences'!AF97*('RR TFA'!H16-1))/(('TFA Prevalences'!AF97*('RR TFA'!H16-1)+1))</f>
        <v>0</v>
      </c>
      <c r="H65" s="49">
        <f ca="1">('TFA Prevalences'!AG97*('RR TFA'!I16-1))/(('TFA Prevalences'!AG97*('RR TFA'!I16-1)+1))</f>
        <v>0</v>
      </c>
      <c r="I65" s="49">
        <f ca="1">('TFA Prevalences'!AH97*('RR TFA'!J16-1))/(('TFA Prevalences'!AH97*('RR TFA'!J16-1)+1))</f>
        <v>0</v>
      </c>
      <c r="J65" s="49">
        <f ca="1">('TFA Prevalences'!AI97*('RR TFA'!K16-1))/(('TFA Prevalences'!AI97*('RR TFA'!K16-1)+1))</f>
        <v>0</v>
      </c>
      <c r="K65" s="49">
        <f ca="1">('TFA Prevalences'!AJ97*('RR TFA'!L16-1))/(('TFA Prevalences'!AJ97*('RR TFA'!L16-1)+1))</f>
        <v>0</v>
      </c>
      <c r="L65" s="49">
        <f ca="1">('TFA Prevalences'!AK97*('RR TFA'!M16-1))/(('TFA Prevalences'!AK97*('RR TFA'!M16-1)+1))</f>
        <v>0</v>
      </c>
      <c r="M65" s="49">
        <f ca="1">('TFA Prevalences'!AL97*('RR TFA'!N16-1))/(('TFA Prevalences'!AL97*('RR TFA'!N16-1)+1))</f>
        <v>0</v>
      </c>
      <c r="N65" s="49">
        <f ca="1">('TFA Prevalences'!AM97*('RR TFA'!O16-1))/(('TFA Prevalences'!AM97*('RR TFA'!O16-1)+1))</f>
        <v>0</v>
      </c>
      <c r="O65" s="49">
        <f ca="1">('TFA Prevalences'!AN97*('RR TFA'!P16-1))/(('TFA Prevalences'!AN97*('RR TFA'!P16-1)+1))</f>
        <v>0</v>
      </c>
      <c r="P65" s="49">
        <f ca="1">('TFA Prevalences'!AO97*('RR TFA'!Q16-1))/(('TFA Prevalences'!AO97*('RR TFA'!Q16-1)+1))</f>
        <v>0</v>
      </c>
      <c r="Q65" s="49">
        <f ca="1">('TFA Prevalences'!AP97*('RR TFA'!R16-1))/(('TFA Prevalences'!AP97*('RR TFA'!R16-1)+1))</f>
        <v>0</v>
      </c>
      <c r="R65" s="49">
        <f ca="1">('TFA Prevalences'!AQ97*('RR TFA'!S16-1))/(('TFA Prevalences'!AQ97*('RR TFA'!S16-1)+1))</f>
        <v>0</v>
      </c>
      <c r="S65" s="49">
        <f ca="1">('TFA Prevalences'!AR97*('RR TFA'!T16-1))/(('TFA Prevalences'!AR97*('RR TFA'!T16-1)+1))</f>
        <v>0</v>
      </c>
      <c r="T65" s="49">
        <f ca="1">('TFA Prevalences'!AS97*('RR TFA'!U16-1))/(('TFA Prevalences'!AS97*('RR TFA'!U16-1)+1))</f>
        <v>0</v>
      </c>
      <c r="U65" s="49">
        <f ca="1">('TFA Prevalences'!AT97*('RR TFA'!V16-1))/(('TFA Prevalences'!AT97*('RR TFA'!V16-1)+1))</f>
        <v>0</v>
      </c>
      <c r="V65" s="49">
        <f ca="1">('TFA Prevalences'!AU97*('RR TFA'!W16-1))/(('TFA Prevalences'!AU97*('RR TFA'!W16-1)+1))</f>
        <v>0</v>
      </c>
      <c r="W65" s="49">
        <f ca="1">('TFA Prevalences'!AV97*('RR TFA'!X16-1))/(('TFA Prevalences'!AV97*('RR TFA'!X16-1)+1))</f>
        <v>0</v>
      </c>
      <c r="X65" s="49">
        <f ca="1">('TFA Prevalences'!AW97*('RR TFA'!Y16-1))/(('TFA Prevalences'!AW97*('RR TFA'!Y16-1)+1))</f>
        <v>0</v>
      </c>
      <c r="Y65" s="49">
        <f ca="1">('TFA Prevalences'!AX97*('RR TFA'!Z16-1))/(('TFA Prevalences'!AX97*('RR TFA'!Z16-1)+1))</f>
        <v>0</v>
      </c>
      <c r="Z65" s="49">
        <f ca="1">('TFA Prevalences'!AY97*('RR TFA'!AA16-1))/(('TFA Prevalences'!AY97*('RR TFA'!AA16-1)+1))</f>
        <v>0</v>
      </c>
      <c r="AA65">
        <f t="shared" ca="1" si="28"/>
        <v>0</v>
      </c>
    </row>
    <row r="66" spans="1:27" ht="15.5" x14ac:dyDescent="0.35">
      <c r="A66" s="43" t="s">
        <v>78</v>
      </c>
      <c r="B66" s="49">
        <f ca="1">('TFA Prevalences'!AA98*('RR TFA'!C17-1))/(('TFA Prevalences'!AA98*('RR TFA'!C17-1)+1))</f>
        <v>0</v>
      </c>
      <c r="C66" s="49">
        <f ca="1">('TFA Prevalences'!AB98*('RR TFA'!D17-1))/(('TFA Prevalences'!AB98*('RR TFA'!D17-1)+1))</f>
        <v>0</v>
      </c>
      <c r="D66" s="49">
        <f ca="1">('TFA Prevalences'!AC98*('RR TFA'!E17-1))/(('TFA Prevalences'!AC98*('RR TFA'!E17-1)+1))</f>
        <v>0</v>
      </c>
      <c r="E66" s="49">
        <f ca="1">('TFA Prevalences'!AD98*('RR TFA'!F17-1))/(('TFA Prevalences'!AD98*('RR TFA'!F17-1)+1))</f>
        <v>0</v>
      </c>
      <c r="F66" s="49">
        <f ca="1">('TFA Prevalences'!AE98*('RR TFA'!G17-1))/(('TFA Prevalences'!AE98*('RR TFA'!G17-1)+1))</f>
        <v>0</v>
      </c>
      <c r="G66" s="49">
        <f ca="1">('TFA Prevalences'!AF98*('RR TFA'!H17-1))/(('TFA Prevalences'!AF98*('RR TFA'!H17-1)+1))</f>
        <v>0</v>
      </c>
      <c r="H66" s="49">
        <f ca="1">('TFA Prevalences'!AG98*('RR TFA'!I17-1))/(('TFA Prevalences'!AG98*('RR TFA'!I17-1)+1))</f>
        <v>0</v>
      </c>
      <c r="I66" s="49">
        <f ca="1">('TFA Prevalences'!AH98*('RR TFA'!J17-1))/(('TFA Prevalences'!AH98*('RR TFA'!J17-1)+1))</f>
        <v>0</v>
      </c>
      <c r="J66" s="49">
        <f ca="1">('TFA Prevalences'!AI98*('RR TFA'!K17-1))/(('TFA Prevalences'!AI98*('RR TFA'!K17-1)+1))</f>
        <v>0</v>
      </c>
      <c r="K66" s="49">
        <f ca="1">('TFA Prevalences'!AJ98*('RR TFA'!L17-1))/(('TFA Prevalences'!AJ98*('RR TFA'!L17-1)+1))</f>
        <v>0</v>
      </c>
      <c r="L66" s="49">
        <f ca="1">('TFA Prevalences'!AK98*('RR TFA'!M17-1))/(('TFA Prevalences'!AK98*('RR TFA'!M17-1)+1))</f>
        <v>0</v>
      </c>
      <c r="M66" s="49">
        <f ca="1">('TFA Prevalences'!AL98*('RR TFA'!N17-1))/(('TFA Prevalences'!AL98*('RR TFA'!N17-1)+1))</f>
        <v>0</v>
      </c>
      <c r="N66" s="49">
        <f ca="1">('TFA Prevalences'!AM98*('RR TFA'!O17-1))/(('TFA Prevalences'!AM98*('RR TFA'!O17-1)+1))</f>
        <v>0</v>
      </c>
      <c r="O66" s="49">
        <f ca="1">('TFA Prevalences'!AN98*('RR TFA'!P17-1))/(('TFA Prevalences'!AN98*('RR TFA'!P17-1)+1))</f>
        <v>0</v>
      </c>
      <c r="P66" s="49">
        <f ca="1">('TFA Prevalences'!AO98*('RR TFA'!Q17-1))/(('TFA Prevalences'!AO98*('RR TFA'!Q17-1)+1))</f>
        <v>0</v>
      </c>
      <c r="Q66" s="49">
        <f ca="1">('TFA Prevalences'!AP98*('RR TFA'!R17-1))/(('TFA Prevalences'!AP98*('RR TFA'!R17-1)+1))</f>
        <v>0</v>
      </c>
      <c r="R66" s="49">
        <f ca="1">('TFA Prevalences'!AQ98*('RR TFA'!S17-1))/(('TFA Prevalences'!AQ98*('RR TFA'!S17-1)+1))</f>
        <v>0</v>
      </c>
      <c r="S66" s="49">
        <f ca="1">('TFA Prevalences'!AR98*('RR TFA'!T17-1))/(('TFA Prevalences'!AR98*('RR TFA'!T17-1)+1))</f>
        <v>0</v>
      </c>
      <c r="T66" s="49">
        <f ca="1">('TFA Prevalences'!AS98*('RR TFA'!U17-1))/(('TFA Prevalences'!AS98*('RR TFA'!U17-1)+1))</f>
        <v>0</v>
      </c>
      <c r="U66" s="49">
        <f ca="1">('TFA Prevalences'!AT98*('RR TFA'!V17-1))/(('TFA Prevalences'!AT98*('RR TFA'!V17-1)+1))</f>
        <v>0</v>
      </c>
      <c r="V66" s="49">
        <f ca="1">('TFA Prevalences'!AU98*('RR TFA'!W17-1))/(('TFA Prevalences'!AU98*('RR TFA'!W17-1)+1))</f>
        <v>0</v>
      </c>
      <c r="W66" s="49">
        <f ca="1">('TFA Prevalences'!AV98*('RR TFA'!X17-1))/(('TFA Prevalences'!AV98*('RR TFA'!X17-1)+1))</f>
        <v>0</v>
      </c>
      <c r="X66" s="49">
        <f ca="1">('TFA Prevalences'!AW98*('RR TFA'!Y17-1))/(('TFA Prevalences'!AW98*('RR TFA'!Y17-1)+1))</f>
        <v>0</v>
      </c>
      <c r="Y66" s="49">
        <f ca="1">('TFA Prevalences'!AX98*('RR TFA'!Z17-1))/(('TFA Prevalences'!AX98*('RR TFA'!Z17-1)+1))</f>
        <v>0</v>
      </c>
      <c r="Z66" s="49">
        <f ca="1">('TFA Prevalences'!AY98*('RR TFA'!AA17-1))/(('TFA Prevalences'!AY98*('RR TFA'!AA17-1)+1))</f>
        <v>0</v>
      </c>
      <c r="AA66">
        <f t="shared" ca="1" si="28"/>
        <v>0</v>
      </c>
    </row>
    <row r="67" spans="1:27" x14ac:dyDescent="0.35">
      <c r="A67" s="66"/>
    </row>
    <row r="68" spans="1:27" x14ac:dyDescent="0.35">
      <c r="A68" s="66"/>
    </row>
    <row r="69" spans="1:27" s="37" customFormat="1" x14ac:dyDescent="0.35">
      <c r="A69"/>
      <c r="B69" s="233" t="s">
        <v>140</v>
      </c>
      <c r="C69" s="233"/>
      <c r="D69" s="233"/>
      <c r="E69" s="233"/>
      <c r="F69" s="233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s="37" customFormat="1" x14ac:dyDescent="0.35">
      <c r="A70"/>
      <c r="B70" s="33" t="s">
        <v>102</v>
      </c>
      <c r="C70" s="9" t="s">
        <v>103</v>
      </c>
      <c r="D70" s="9" t="s">
        <v>104</v>
      </c>
      <c r="E70" s="9" t="s">
        <v>105</v>
      </c>
      <c r="F70" s="9" t="s">
        <v>106</v>
      </c>
      <c r="G70" s="9" t="s">
        <v>107</v>
      </c>
      <c r="H70" s="9" t="s">
        <v>108</v>
      </c>
      <c r="I70" s="9" t="s">
        <v>109</v>
      </c>
      <c r="J70" s="9" t="s">
        <v>110</v>
      </c>
      <c r="K70" s="9" t="s">
        <v>111</v>
      </c>
      <c r="L70" s="9" t="s">
        <v>112</v>
      </c>
      <c r="M70" s="9" t="s">
        <v>113</v>
      </c>
      <c r="N70" s="9" t="s">
        <v>114</v>
      </c>
      <c r="O70" s="9" t="s">
        <v>115</v>
      </c>
      <c r="P70" s="9" t="s">
        <v>116</v>
      </c>
      <c r="Q70" s="9" t="s">
        <v>117</v>
      </c>
      <c r="R70" s="9" t="s">
        <v>118</v>
      </c>
      <c r="S70" s="9" t="s">
        <v>119</v>
      </c>
      <c r="T70" s="9" t="s">
        <v>120</v>
      </c>
      <c r="U70" s="9" t="s">
        <v>121</v>
      </c>
      <c r="V70" s="9" t="s">
        <v>122</v>
      </c>
      <c r="W70" s="9" t="s">
        <v>123</v>
      </c>
      <c r="X70" s="9" t="s">
        <v>124</v>
      </c>
      <c r="Y70" s="9" t="s">
        <v>125</v>
      </c>
      <c r="Z70" s="36" t="s">
        <v>126</v>
      </c>
      <c r="AA70" s="66" t="s">
        <v>138</v>
      </c>
    </row>
    <row r="71" spans="1:27" s="37" customFormat="1" ht="15.5" x14ac:dyDescent="0.35">
      <c r="A71" s="43" t="s">
        <v>45</v>
      </c>
      <c r="B71" s="49">
        <f ca="1">('TFA Prevalences'!B70*('RR TFA'!C4-1))/(('TFA Prevalences'!B70*('RR TFA'!C4-1)+1))</f>
        <v>0</v>
      </c>
      <c r="C71" s="49">
        <f ca="1">('TFA Prevalences'!C70*('RR TFA'!D4-1))/(('TFA Prevalences'!C70*('RR TFA'!D4-1)+1))</f>
        <v>-6.4059188567883458E-17</v>
      </c>
      <c r="D71" s="49">
        <f ca="1">('TFA Prevalences'!D70*('RR TFA'!E4-1))/(('TFA Prevalences'!D70*('RR TFA'!E4-1)+1))</f>
        <v>-1.0290934828288178E-14</v>
      </c>
      <c r="E71" s="49">
        <f ca="1">('TFA Prevalences'!E70*('RR TFA'!F4-1))/(('TFA Prevalences'!E70*('RR TFA'!F4-1)+1))</f>
        <v>-1.237387007458523E-13</v>
      </c>
      <c r="F71" s="49">
        <f ca="1">('TFA Prevalences'!F70*('RR TFA'!G4-1))/(('TFA Prevalences'!F70*('RR TFA'!G4-1)+1))</f>
        <v>-4.2908392361515892E-13</v>
      </c>
      <c r="G71" s="49">
        <f ca="1">('TFA Prevalences'!G70*('RR TFA'!H4-1))/(('TFA Prevalences'!G70*('RR TFA'!H4-1)+1))</f>
        <v>-7.5062365925114473E-13</v>
      </c>
      <c r="H71" s="49">
        <f ca="1">('TFA Prevalences'!H70*('RR TFA'!I4-1))/(('TFA Prevalences'!H70*('RR TFA'!I4-1)+1))</f>
        <v>-8.7736848803624746E-13</v>
      </c>
      <c r="I71" s="49">
        <f ca="1">('TFA Prevalences'!I70*('RR TFA'!J4-1))/(('TFA Prevalences'!I70*('RR TFA'!J4-1)+1))</f>
        <v>-7.9826059004915982E-13</v>
      </c>
      <c r="J71" s="49">
        <f ca="1">('TFA Prevalences'!J70*('RR TFA'!K4-1))/(('TFA Prevalences'!J70*('RR TFA'!K4-1)+1))</f>
        <v>-6.176045470924846E-13</v>
      </c>
      <c r="K71" s="49">
        <f ca="1">('TFA Prevalences'!K70*('RR TFA'!L4-1))/(('TFA Prevalences'!K70*('RR TFA'!L4-1)+1))</f>
        <v>-4.2894212019484689E-13</v>
      </c>
      <c r="L71" s="49">
        <f ca="1">('TFA Prevalences'!L70*('RR TFA'!M4-1))/(('TFA Prevalences'!L70*('RR TFA'!M4-1)+1))</f>
        <v>-2.7683966168124297E-13</v>
      </c>
      <c r="M71" s="49">
        <f ca="1">('TFA Prevalences'!M70*('RR TFA'!N4-1))/(('TFA Prevalences'!M70*('RR TFA'!N4-1)+1))</f>
        <v>-1.6989554123660771E-13</v>
      </c>
      <c r="N71" s="49">
        <f ca="1">('TFA Prevalences'!N70*('RR TFA'!O4-1))/(('TFA Prevalences'!N70*('RR TFA'!O4-1)+1))</f>
        <v>-1.007123173902436E-13</v>
      </c>
      <c r="O71" s="49">
        <f ca="1">('TFA Prevalences'!O70*('RR TFA'!P4-1))/(('TFA Prevalences'!O70*('RR TFA'!P4-1)+1))</f>
        <v>-5.8303295577892395E-14</v>
      </c>
      <c r="P71" s="49">
        <f ca="1">('TFA Prevalences'!P70*('RR TFA'!Q4-1))/(('TFA Prevalences'!P70*('RR TFA'!Q4-1)+1))</f>
        <v>-3.3222625490216067E-14</v>
      </c>
      <c r="Q71" s="49">
        <f ca="1">('TFA Prevalences'!Q70*('RR TFA'!R4-1))/(('TFA Prevalences'!Q70*('RR TFA'!R4-1)+1))</f>
        <v>-1.8740052987101551E-14</v>
      </c>
      <c r="R71" s="49">
        <f ca="1">('TFA Prevalences'!R70*('RR TFA'!S4-1))/(('TFA Prevalences'!R70*('RR TFA'!S4-1)+1))</f>
        <v>-1.0508207428456521E-14</v>
      </c>
      <c r="S71" s="49">
        <f ca="1">('TFA Prevalences'!S70*('RR TFA'!T4-1))/(('TFA Prevalences'!S70*('RR TFA'!T4-1)+1))</f>
        <v>-5.875746771939939E-15</v>
      </c>
      <c r="T71" s="49">
        <f ca="1">('TFA Prevalences'!T70*('RR TFA'!U4-1))/(('TFA Prevalences'!T70*('RR TFA'!U4-1)+1))</f>
        <v>-3.2838106764942318E-15</v>
      </c>
      <c r="U71" s="49">
        <f ca="1">('TFA Prevalences'!U70*('RR TFA'!V4-1))/(('TFA Prevalences'!U70*('RR TFA'!V4-1)+1))</f>
        <v>-1.8375629994621989E-15</v>
      </c>
      <c r="V71" s="49">
        <f ca="1">('TFA Prevalences'!V70*('RR TFA'!W4-1))/(('TFA Prevalences'!V70*('RR TFA'!W4-1)+1))</f>
        <v>-1.0309141202200479E-15</v>
      </c>
      <c r="W71" s="49">
        <f ca="1">('TFA Prevalences'!W70*('RR TFA'!X4-1))/(('TFA Prevalences'!W70*('RR TFA'!X4-1)+1))</f>
        <v>-5.8043718262183457E-16</v>
      </c>
      <c r="X71" s="49">
        <f ca="1">('TFA Prevalences'!X70*('RR TFA'!Y4-1))/(('TFA Prevalences'!X70*('RR TFA'!Y4-1)+1))</f>
        <v>-3.2822271419841668E-16</v>
      </c>
      <c r="Y71" s="49">
        <f ca="1">('TFA Prevalences'!Y70*('RR TFA'!Z4-1))/(('TFA Prevalences'!Y70*('RR TFA'!Z4-1)+1))</f>
        <v>-1.865088448218056E-16</v>
      </c>
      <c r="Z71" s="49">
        <f ca="1">('TFA Prevalences'!Z70*('RR TFA'!AA4-1))/(('TFA Prevalences'!Z70*('RR TFA'!AA4-1)+1))</f>
        <v>-2.4038318948819305E-16</v>
      </c>
      <c r="AA71">
        <f t="shared" ref="AA71:AA84" ca="1" si="29">SUM(B71:Z71)</f>
        <v>-4.7175623112927594E-12</v>
      </c>
    </row>
    <row r="72" spans="1:27" s="37" customFormat="1" ht="15.5" x14ac:dyDescent="0.35">
      <c r="A72" s="43" t="s">
        <v>46</v>
      </c>
      <c r="B72" s="49">
        <f ca="1">('TFA Prevalences'!B71*('RR TFA'!C5-1))/(('TFA Prevalences'!B71*('RR TFA'!C5-1)+1))</f>
        <v>0</v>
      </c>
      <c r="C72" s="49">
        <f ca="1">('TFA Prevalences'!C71*('RR TFA'!D5-1))/(('TFA Prevalences'!C71*('RR TFA'!D5-1)+1))</f>
        <v>-6.4059188567883458E-17</v>
      </c>
      <c r="D72" s="49">
        <f ca="1">('TFA Prevalences'!D71*('RR TFA'!E5-1))/(('TFA Prevalences'!D71*('RR TFA'!E5-1)+1))</f>
        <v>-1.0290934828288178E-14</v>
      </c>
      <c r="E72" s="49">
        <f ca="1">('TFA Prevalences'!E71*('RR TFA'!F5-1))/(('TFA Prevalences'!E71*('RR TFA'!F5-1)+1))</f>
        <v>-1.237387007458523E-13</v>
      </c>
      <c r="F72" s="49">
        <f ca="1">('TFA Prevalences'!F71*('RR TFA'!G5-1))/(('TFA Prevalences'!F71*('RR TFA'!G5-1)+1))</f>
        <v>-4.2908392361515892E-13</v>
      </c>
      <c r="G72" s="49">
        <f ca="1">('TFA Prevalences'!G71*('RR TFA'!H5-1))/(('TFA Prevalences'!G71*('RR TFA'!H5-1)+1))</f>
        <v>-7.5062365925114473E-13</v>
      </c>
      <c r="H72" s="49">
        <f ca="1">('TFA Prevalences'!H71*('RR TFA'!I5-1))/(('TFA Prevalences'!H71*('RR TFA'!I5-1)+1))</f>
        <v>-8.7736848803624746E-13</v>
      </c>
      <c r="I72" s="49">
        <f ca="1">('TFA Prevalences'!I71*('RR TFA'!J5-1))/(('TFA Prevalences'!I71*('RR TFA'!J5-1)+1))</f>
        <v>-7.9826059004915982E-13</v>
      </c>
      <c r="J72" s="49">
        <f ca="1">('TFA Prevalences'!J71*('RR TFA'!K5-1))/(('TFA Prevalences'!J71*('RR TFA'!K5-1)+1))</f>
        <v>-6.176045470924846E-13</v>
      </c>
      <c r="K72" s="49">
        <f ca="1">('TFA Prevalences'!K71*('RR TFA'!L5-1))/(('TFA Prevalences'!K71*('RR TFA'!L5-1)+1))</f>
        <v>-4.2894212019484689E-13</v>
      </c>
      <c r="L72" s="49">
        <f ca="1">('TFA Prevalences'!L71*('RR TFA'!M5-1))/(('TFA Prevalences'!L71*('RR TFA'!M5-1)+1))</f>
        <v>-2.7683966168124297E-13</v>
      </c>
      <c r="M72" s="49">
        <f ca="1">('TFA Prevalences'!M71*('RR TFA'!N5-1))/(('TFA Prevalences'!M71*('RR TFA'!N5-1)+1))</f>
        <v>-1.6989554123660771E-13</v>
      </c>
      <c r="N72" s="49">
        <f ca="1">('TFA Prevalences'!N71*('RR TFA'!O5-1))/(('TFA Prevalences'!N71*('RR TFA'!O5-1)+1))</f>
        <v>-1.007123173902436E-13</v>
      </c>
      <c r="O72" s="49">
        <f ca="1">('TFA Prevalences'!O71*('RR TFA'!P5-1))/(('TFA Prevalences'!O71*('RR TFA'!P5-1)+1))</f>
        <v>-5.8303295577892395E-14</v>
      </c>
      <c r="P72" s="49">
        <f ca="1">('TFA Prevalences'!P71*('RR TFA'!Q5-1))/(('TFA Prevalences'!P71*('RR TFA'!Q5-1)+1))</f>
        <v>-3.3222625490216067E-14</v>
      </c>
      <c r="Q72" s="49">
        <f ca="1">('TFA Prevalences'!Q71*('RR TFA'!R5-1))/(('TFA Prevalences'!Q71*('RR TFA'!R5-1)+1))</f>
        <v>-1.8740052987101551E-14</v>
      </c>
      <c r="R72" s="49">
        <f ca="1">('TFA Prevalences'!R71*('RR TFA'!S5-1))/(('TFA Prevalences'!R71*('RR TFA'!S5-1)+1))</f>
        <v>-1.0508207428456521E-14</v>
      </c>
      <c r="S72" s="49">
        <f ca="1">('TFA Prevalences'!S71*('RR TFA'!T5-1))/(('TFA Prevalences'!S71*('RR TFA'!T5-1)+1))</f>
        <v>-5.875746771939939E-15</v>
      </c>
      <c r="T72" s="49">
        <f ca="1">('TFA Prevalences'!T71*('RR TFA'!U5-1))/(('TFA Prevalences'!T71*('RR TFA'!U5-1)+1))</f>
        <v>-3.2838106764942318E-15</v>
      </c>
      <c r="U72" s="49">
        <f ca="1">('TFA Prevalences'!U71*('RR TFA'!V5-1))/(('TFA Prevalences'!U71*('RR TFA'!V5-1)+1))</f>
        <v>-1.8375629994621989E-15</v>
      </c>
      <c r="V72" s="49">
        <f ca="1">('TFA Prevalences'!V71*('RR TFA'!W5-1))/(('TFA Prevalences'!V71*('RR TFA'!W5-1)+1))</f>
        <v>-1.0309141202200479E-15</v>
      </c>
      <c r="W72" s="49">
        <f ca="1">('TFA Prevalences'!W71*('RR TFA'!X5-1))/(('TFA Prevalences'!W71*('RR TFA'!X5-1)+1))</f>
        <v>-5.8043718262183457E-16</v>
      </c>
      <c r="X72" s="49">
        <f ca="1">('TFA Prevalences'!X71*('RR TFA'!Y5-1))/(('TFA Prevalences'!X71*('RR TFA'!Y5-1)+1))</f>
        <v>-3.2822271419841668E-16</v>
      </c>
      <c r="Y72" s="49">
        <f ca="1">('TFA Prevalences'!Y71*('RR TFA'!Z5-1))/(('TFA Prevalences'!Y71*('RR TFA'!Z5-1)+1))</f>
        <v>-1.865088448218056E-16</v>
      </c>
      <c r="Z72" s="49">
        <f ca="1">('TFA Prevalences'!Z71*('RR TFA'!AA5-1))/(('TFA Prevalences'!Z71*('RR TFA'!AA5-1)+1))</f>
        <v>-2.4038318948819305E-16</v>
      </c>
      <c r="AA72">
        <f t="shared" ca="1" si="29"/>
        <v>-4.7175623112927594E-12</v>
      </c>
    </row>
    <row r="73" spans="1:27" s="37" customFormat="1" ht="15.5" x14ac:dyDescent="0.35">
      <c r="A73" s="43" t="s">
        <v>47</v>
      </c>
      <c r="B73" s="49">
        <f ca="1">('TFA Prevalences'!B72*('RR TFA'!C6-1))/(('TFA Prevalences'!B72*('RR TFA'!C6-1)+1))</f>
        <v>0</v>
      </c>
      <c r="C73" s="49">
        <f ca="1">('TFA Prevalences'!C72*('RR TFA'!D6-1))/(('TFA Prevalences'!C72*('RR TFA'!D6-1)+1))</f>
        <v>1.515910201965423E-6</v>
      </c>
      <c r="D73" s="49">
        <f ca="1">('TFA Prevalences'!D72*('RR TFA'!E6-1))/(('TFA Prevalences'!D72*('RR TFA'!E6-1)+1))</f>
        <v>2.4560966214648303E-4</v>
      </c>
      <c r="E73" s="49">
        <f ca="1">('TFA Prevalences'!E72*('RR TFA'!F6-1))/(('TFA Prevalences'!E72*('RR TFA'!F6-1)+1))</f>
        <v>2.9714546174063284E-3</v>
      </c>
      <c r="F73" s="49">
        <f ca="1">('TFA Prevalences'!F72*('RR TFA'!G6-1))/(('TFA Prevalences'!F72*('RR TFA'!G6-1)+1))</f>
        <v>1.0319099880570849E-2</v>
      </c>
      <c r="G73" s="49">
        <f ca="1">('TFA Prevalences'!G72*('RR TFA'!H6-1))/(('TFA Prevalences'!G72*('RR TFA'!H6-1)+1))</f>
        <v>1.8071053137375021E-2</v>
      </c>
      <c r="H73" s="49">
        <f ca="1">('TFA Prevalences'!H72*('RR TFA'!I6-1))/(('TFA Prevalences'!H72*('RR TFA'!I6-1)+1))</f>
        <v>2.124338464473503E-2</v>
      </c>
      <c r="I73" s="49">
        <f ca="1">('TFA Prevalences'!I72*('RR TFA'!J6-1))/(('TFA Prevalences'!I72*('RR TFA'!J6-1)+1))</f>
        <v>1.9535747233234979E-2</v>
      </c>
      <c r="J73" s="49">
        <f ca="1">('TFA Prevalences'!J72*('RR TFA'!K6-1))/(('TFA Prevalences'!J72*('RR TFA'!K6-1)+1))</f>
        <v>1.5316796817726857E-2</v>
      </c>
      <c r="K73" s="49">
        <f ca="1">('TFA Prevalences'!K72*('RR TFA'!L6-1))/(('TFA Prevalences'!K72*('RR TFA'!L6-1)+1))</f>
        <v>1.0783546234158068E-2</v>
      </c>
      <c r="L73" s="49">
        <f ca="1">('TFA Prevalences'!L72*('RR TFA'!M6-1))/(('TFA Prevalences'!L72*('RR TFA'!M6-1)+1))</f>
        <v>7.0494729672372549E-3</v>
      </c>
      <c r="M73" s="49">
        <f ca="1">('TFA Prevalences'!M72*('RR TFA'!N6-1))/(('TFA Prevalences'!M72*('RR TFA'!N6-1)+1))</f>
        <v>4.3774103940178999E-3</v>
      </c>
      <c r="N73" s="49">
        <f ca="1">('TFA Prevalences'!N72*('RR TFA'!O6-1))/(('TFA Prevalences'!N72*('RR TFA'!O6-1)+1))</f>
        <v>2.623177310685208E-3</v>
      </c>
      <c r="O73" s="49">
        <f ca="1">('TFA Prevalences'!O72*('RR TFA'!P6-1))/(('TFA Prevalences'!O72*('RR TFA'!P6-1)+1))</f>
        <v>1.5341717635165347E-3</v>
      </c>
      <c r="P73" s="49">
        <f ca="1">('TFA Prevalences'!P72*('RR TFA'!Q6-1))/(('TFA Prevalences'!P72*('RR TFA'!Q6-1)+1))</f>
        <v>8.8280794132069586E-4</v>
      </c>
      <c r="Q73" s="49">
        <f ca="1">('TFA Prevalences'!Q72*('RR TFA'!R6-1))/(('TFA Prevalences'!Q72*('RR TFA'!R6-1)+1))</f>
        <v>5.0275021886907688E-4</v>
      </c>
      <c r="R73" s="49">
        <f ca="1">('TFA Prevalences'!R72*('RR TFA'!S6-1))/(('TFA Prevalences'!R72*('RR TFA'!S6-1)+1))</f>
        <v>2.8457701037691661E-4</v>
      </c>
      <c r="S73" s="49">
        <f ca="1">('TFA Prevalences'!S72*('RR TFA'!T6-1))/(('TFA Prevalences'!S72*('RR TFA'!T6-1)+1))</f>
        <v>1.6061651972802874E-4</v>
      </c>
      <c r="T73" s="49">
        <f ca="1">('TFA Prevalences'!T72*('RR TFA'!U6-1))/(('TFA Prevalences'!T72*('RR TFA'!U6-1)+1))</f>
        <v>9.0605124674381161E-5</v>
      </c>
      <c r="U73" s="49">
        <f ca="1">('TFA Prevalences'!U72*('RR TFA'!V6-1))/(('TFA Prevalences'!U72*('RR TFA'!V6-1)+1))</f>
        <v>5.1175102576813407E-5</v>
      </c>
      <c r="V73" s="49">
        <f ca="1">('TFA Prevalences'!V72*('RR TFA'!W6-1))/(('TFA Prevalences'!V72*('RR TFA'!W6-1)+1))</f>
        <v>2.8979299157574464E-5</v>
      </c>
      <c r="W73" s="49">
        <f ca="1">('TFA Prevalences'!W72*('RR TFA'!X6-1))/(('TFA Prevalences'!W72*('RR TFA'!X6-1)+1))</f>
        <v>1.6469344583590432E-5</v>
      </c>
      <c r="X73" s="49">
        <f ca="1">('TFA Prevalences'!X72*('RR TFA'!Y6-1))/(('TFA Prevalences'!X72*('RR TFA'!Y6-1)+1))</f>
        <v>9.4005042733597075E-6</v>
      </c>
      <c r="Y73" s="49">
        <f ca="1">('TFA Prevalences'!Y72*('RR TFA'!Z6-1))/(('TFA Prevalences'!Y72*('RR TFA'!Z6-1)+1))</f>
        <v>5.392077409549611E-6</v>
      </c>
      <c r="Z73" s="49">
        <f ca="1">('TFA Prevalences'!Z72*('RR TFA'!AA6-1))/(('TFA Prevalences'!Z72*('RR TFA'!AA6-1)+1))</f>
        <v>7.0152125789354631E-6</v>
      </c>
      <c r="AA73">
        <f t="shared" ca="1" si="29"/>
        <v>0.11611222892856138</v>
      </c>
    </row>
    <row r="74" spans="1:27" s="37" customFormat="1" ht="15.5" x14ac:dyDescent="0.35">
      <c r="A74" s="43" t="s">
        <v>48</v>
      </c>
      <c r="B74" s="49">
        <f ca="1">('TFA Prevalences'!B73*('RR TFA'!C7-1))/(('TFA Prevalences'!B73*('RR TFA'!C7-1)+1))</f>
        <v>0</v>
      </c>
      <c r="C74" s="49">
        <f ca="1">('TFA Prevalences'!C73*('RR TFA'!D7-1))/(('TFA Prevalences'!C73*('RR TFA'!D7-1)+1))</f>
        <v>1.515910201965423E-6</v>
      </c>
      <c r="D74" s="49">
        <f ca="1">('TFA Prevalences'!D73*('RR TFA'!E7-1))/(('TFA Prevalences'!D73*('RR TFA'!E7-1)+1))</f>
        <v>2.4560966214648303E-4</v>
      </c>
      <c r="E74" s="49">
        <f ca="1">('TFA Prevalences'!E73*('RR TFA'!F7-1))/(('TFA Prevalences'!E73*('RR TFA'!F7-1)+1))</f>
        <v>2.9714546174063284E-3</v>
      </c>
      <c r="F74" s="49">
        <f ca="1">('TFA Prevalences'!F73*('RR TFA'!G7-1))/(('TFA Prevalences'!F73*('RR TFA'!G7-1)+1))</f>
        <v>1.0319099880570849E-2</v>
      </c>
      <c r="G74" s="49">
        <f ca="1">('TFA Prevalences'!G73*('RR TFA'!H7-1))/(('TFA Prevalences'!G73*('RR TFA'!H7-1)+1))</f>
        <v>1.8071053137375021E-2</v>
      </c>
      <c r="H74" s="49">
        <f ca="1">('TFA Prevalences'!H73*('RR TFA'!I7-1))/(('TFA Prevalences'!H73*('RR TFA'!I7-1)+1))</f>
        <v>2.124338464473503E-2</v>
      </c>
      <c r="I74" s="49">
        <f ca="1">('TFA Prevalences'!I73*('RR TFA'!J7-1))/(('TFA Prevalences'!I73*('RR TFA'!J7-1)+1))</f>
        <v>1.9535747233234979E-2</v>
      </c>
      <c r="J74" s="49">
        <f ca="1">('TFA Prevalences'!J73*('RR TFA'!K7-1))/(('TFA Prevalences'!J73*('RR TFA'!K7-1)+1))</f>
        <v>1.5316796817726857E-2</v>
      </c>
      <c r="K74" s="49">
        <f ca="1">('TFA Prevalences'!K73*('RR TFA'!L7-1))/(('TFA Prevalences'!K73*('RR TFA'!L7-1)+1))</f>
        <v>1.0783546234158068E-2</v>
      </c>
      <c r="L74" s="49">
        <f ca="1">('TFA Prevalences'!L73*('RR TFA'!M7-1))/(('TFA Prevalences'!L73*('RR TFA'!M7-1)+1))</f>
        <v>7.0494729672372549E-3</v>
      </c>
      <c r="M74" s="49">
        <f ca="1">('TFA Prevalences'!M73*('RR TFA'!N7-1))/(('TFA Prevalences'!M73*('RR TFA'!N7-1)+1))</f>
        <v>4.3774103940178999E-3</v>
      </c>
      <c r="N74" s="49">
        <f ca="1">('TFA Prevalences'!N73*('RR TFA'!O7-1))/(('TFA Prevalences'!N73*('RR TFA'!O7-1)+1))</f>
        <v>2.623177310685208E-3</v>
      </c>
      <c r="O74" s="49">
        <f ca="1">('TFA Prevalences'!O73*('RR TFA'!P7-1))/(('TFA Prevalences'!O73*('RR TFA'!P7-1)+1))</f>
        <v>1.5341717635165347E-3</v>
      </c>
      <c r="P74" s="49">
        <f ca="1">('TFA Prevalences'!P73*('RR TFA'!Q7-1))/(('TFA Prevalences'!P73*('RR TFA'!Q7-1)+1))</f>
        <v>8.8280794132069586E-4</v>
      </c>
      <c r="Q74" s="49">
        <f ca="1">('TFA Prevalences'!Q73*('RR TFA'!R7-1))/(('TFA Prevalences'!Q73*('RR TFA'!R7-1)+1))</f>
        <v>5.0275021886907688E-4</v>
      </c>
      <c r="R74" s="49">
        <f ca="1">('TFA Prevalences'!R73*('RR TFA'!S7-1))/(('TFA Prevalences'!R73*('RR TFA'!S7-1)+1))</f>
        <v>2.8457701037691661E-4</v>
      </c>
      <c r="S74" s="49">
        <f ca="1">('TFA Prevalences'!S73*('RR TFA'!T7-1))/(('TFA Prevalences'!S73*('RR TFA'!T7-1)+1))</f>
        <v>1.6061651972802874E-4</v>
      </c>
      <c r="T74" s="49">
        <f ca="1">('TFA Prevalences'!T73*('RR TFA'!U7-1))/(('TFA Prevalences'!T73*('RR TFA'!U7-1)+1))</f>
        <v>9.0605124674381161E-5</v>
      </c>
      <c r="U74" s="49">
        <f ca="1">('TFA Prevalences'!U73*('RR TFA'!V7-1))/(('TFA Prevalences'!U73*('RR TFA'!V7-1)+1))</f>
        <v>5.1175102576813407E-5</v>
      </c>
      <c r="V74" s="49">
        <f ca="1">('TFA Prevalences'!V73*('RR TFA'!W7-1))/(('TFA Prevalences'!V73*('RR TFA'!W7-1)+1))</f>
        <v>2.8979299157574464E-5</v>
      </c>
      <c r="W74" s="49">
        <f ca="1">('TFA Prevalences'!W73*('RR TFA'!X7-1))/(('TFA Prevalences'!W73*('RR TFA'!X7-1)+1))</f>
        <v>1.6469344583590432E-5</v>
      </c>
      <c r="X74" s="49">
        <f ca="1">('TFA Prevalences'!X73*('RR TFA'!Y7-1))/(('TFA Prevalences'!X73*('RR TFA'!Y7-1)+1))</f>
        <v>9.4005042733597075E-6</v>
      </c>
      <c r="Y74" s="49">
        <f ca="1">('TFA Prevalences'!Y73*('RR TFA'!Z7-1))/(('TFA Prevalences'!Y73*('RR TFA'!Z7-1)+1))</f>
        <v>5.392077409549611E-6</v>
      </c>
      <c r="Z74" s="49">
        <f ca="1">('TFA Prevalences'!Z73*('RR TFA'!AA7-1))/(('TFA Prevalences'!Z73*('RR TFA'!AA7-1)+1))</f>
        <v>7.0152125789354631E-6</v>
      </c>
      <c r="AA74">
        <f t="shared" ca="1" si="29"/>
        <v>0.11611222892856138</v>
      </c>
    </row>
    <row r="75" spans="1:27" s="37" customFormat="1" ht="15.5" x14ac:dyDescent="0.35">
      <c r="A75" s="43" t="s">
        <v>49</v>
      </c>
      <c r="B75" s="49">
        <f ca="1">('TFA Prevalences'!B74*('RR TFA'!C8-1))/(('TFA Prevalences'!B74*('RR TFA'!C8-1)+1))</f>
        <v>0</v>
      </c>
      <c r="C75" s="49">
        <f ca="1">('TFA Prevalences'!C74*('RR TFA'!D8-1))/(('TFA Prevalences'!C74*('RR TFA'!D8-1)+1))</f>
        <v>1.4543491919056544E-6</v>
      </c>
      <c r="D75" s="49">
        <f ca="1">('TFA Prevalences'!D74*('RR TFA'!E8-1))/(('TFA Prevalences'!D74*('RR TFA'!E8-1)+1))</f>
        <v>2.3555365958671624E-4</v>
      </c>
      <c r="E75" s="49">
        <f ca="1">('TFA Prevalences'!E74*('RR TFA'!F8-1))/(('TFA Prevalences'!E74*('RR TFA'!F8-1)+1))</f>
        <v>2.8490915386099941E-3</v>
      </c>
      <c r="F75" s="49">
        <f ca="1">('TFA Prevalences'!F74*('RR TFA'!G8-1))/(('TFA Prevalences'!F74*('RR TFA'!G8-1)+1))</f>
        <v>9.8936278048253456E-3</v>
      </c>
      <c r="G75" s="49">
        <f ca="1">('TFA Prevalences'!G74*('RR TFA'!H8-1))/(('TFA Prevalences'!G74*('RR TFA'!H8-1)+1))</f>
        <v>1.7325366422835196E-2</v>
      </c>
      <c r="H75" s="49">
        <f ca="1">('TFA Prevalences'!H74*('RR TFA'!I8-1))/(('TFA Prevalences'!H74*('RR TFA'!I8-1)+1))</f>
        <v>2.0362219996993277E-2</v>
      </c>
      <c r="I75" s="49">
        <f ca="1">('TFA Prevalences'!I74*('RR TFA'!J8-1))/(('TFA Prevalences'!I74*('RR TFA'!J8-1)+1))</f>
        <v>1.8717309872229974E-2</v>
      </c>
      <c r="J75" s="49">
        <f ca="1">('TFA Prevalences'!J74*('RR TFA'!K8-1))/(('TFA Prevalences'!J74*('RR TFA'!K8-1)+1))</f>
        <v>1.4667124313457028E-2</v>
      </c>
      <c r="K75" s="49">
        <f ca="1">('TFA Prevalences'!K74*('RR TFA'!L8-1))/(('TFA Prevalences'!K74*('RR TFA'!L8-1)+1))</f>
        <v>1.0320343706595641E-2</v>
      </c>
      <c r="L75" s="49">
        <f ca="1">('TFA Prevalences'!L74*('RR TFA'!M8-1))/(('TFA Prevalences'!L74*('RR TFA'!M8-1)+1))</f>
        <v>6.7430700688223405E-3</v>
      </c>
      <c r="M75" s="49">
        <f ca="1">('TFA Prevalences'!M74*('RR TFA'!N8-1))/(('TFA Prevalences'!M74*('RR TFA'!N8-1)+1))</f>
        <v>4.1850926822955686E-3</v>
      </c>
      <c r="N75" s="49">
        <f ca="1">('TFA Prevalences'!N74*('RR TFA'!O8-1))/(('TFA Prevalences'!N74*('RR TFA'!O8-1)+1))</f>
        <v>2.5067918828208789E-3</v>
      </c>
      <c r="O75" s="49">
        <f ca="1">('TFA Prevalences'!O74*('RR TFA'!P8-1))/(('TFA Prevalences'!O74*('RR TFA'!P8-1)+1))</f>
        <v>1.4654768557834073E-3</v>
      </c>
      <c r="P75" s="49">
        <f ca="1">('TFA Prevalences'!P74*('RR TFA'!Q8-1))/(('TFA Prevalences'!P74*('RR TFA'!Q8-1)+1))</f>
        <v>8.429327500168414E-4</v>
      </c>
      <c r="Q75" s="49">
        <f ca="1">('TFA Prevalences'!Q74*('RR TFA'!R8-1))/(('TFA Prevalences'!Q74*('RR TFA'!R8-1)+1))</f>
        <v>4.7984941286685693E-4</v>
      </c>
      <c r="R75" s="49">
        <f ca="1">('TFA Prevalences'!R74*('RR TFA'!S8-1))/(('TFA Prevalences'!R74*('RR TFA'!S8-1)+1))</f>
        <v>2.715068220018645E-4</v>
      </c>
      <c r="S75" s="49">
        <f ca="1">('TFA Prevalences'!S74*('RR TFA'!T8-1))/(('TFA Prevalences'!S74*('RR TFA'!T8-1)+1))</f>
        <v>1.5317938708947533E-4</v>
      </c>
      <c r="T75" s="49">
        <f ca="1">('TFA Prevalences'!T74*('RR TFA'!U8-1))/(('TFA Prevalences'!T74*('RR TFA'!U8-1)+1))</f>
        <v>8.6375830990131265E-5</v>
      </c>
      <c r="U75" s="49">
        <f ca="1">('TFA Prevalences'!U74*('RR TFA'!V8-1))/(('TFA Prevalences'!U74*('RR TFA'!V8-1)+1))</f>
        <v>4.8767139839922515E-5</v>
      </c>
      <c r="V75" s="49">
        <f ca="1">('TFA Prevalences'!V74*('RR TFA'!W8-1))/(('TFA Prevalences'!V74*('RR TFA'!W8-1)+1))</f>
        <v>2.7604824887735922E-5</v>
      </c>
      <c r="W75" s="49">
        <f ca="1">('TFA Prevalences'!W74*('RR TFA'!X8-1))/(('TFA Prevalences'!W74*('RR TFA'!X8-1)+1))</f>
        <v>1.5681994962453333E-5</v>
      </c>
      <c r="X75" s="49">
        <f ca="1">('TFA Prevalences'!X74*('RR TFA'!Y8-1))/(('TFA Prevalences'!X74*('RR TFA'!Y8-1)+1))</f>
        <v>8.9475319479721323E-6</v>
      </c>
      <c r="Y75" s="49">
        <f ca="1">('TFA Prevalences'!Y74*('RR TFA'!Z8-1))/(('TFA Prevalences'!Y74*('RR TFA'!Z8-1)+1))</f>
        <v>5.1302027455916683E-6</v>
      </c>
      <c r="Z75" s="49">
        <f ca="1">('TFA Prevalences'!Z74*('RR TFA'!AA8-1))/(('TFA Prevalences'!Z74*('RR TFA'!AA8-1)+1))</f>
        <v>6.6718273346245899E-6</v>
      </c>
      <c r="AA75">
        <f t="shared" ca="1" si="29"/>
        <v>0.11121917087873075</v>
      </c>
    </row>
    <row r="76" spans="1:27" s="37" customFormat="1" ht="15.5" x14ac:dyDescent="0.35">
      <c r="A76" s="43" t="s">
        <v>50</v>
      </c>
      <c r="B76" s="49">
        <f ca="1">('TFA Prevalences'!B75*('RR TFA'!C9-1))/(('TFA Prevalences'!B75*('RR TFA'!C9-1)+1))</f>
        <v>0</v>
      </c>
      <c r="C76" s="49">
        <f ca="1">('TFA Prevalences'!C75*('RR TFA'!D9-1))/(('TFA Prevalences'!C75*('RR TFA'!D9-1)+1))</f>
        <v>1.4543491919056546E-6</v>
      </c>
      <c r="D76" s="49">
        <f ca="1">('TFA Prevalences'!D75*('RR TFA'!E9-1))/(('TFA Prevalences'!D75*('RR TFA'!E9-1)+1))</f>
        <v>2.3555365958671624E-4</v>
      </c>
      <c r="E76" s="49">
        <f ca="1">('TFA Prevalences'!E75*('RR TFA'!F9-1))/(('TFA Prevalences'!E75*('RR TFA'!F9-1)+1))</f>
        <v>2.8490915386099941E-3</v>
      </c>
      <c r="F76" s="49">
        <f ca="1">('TFA Prevalences'!F75*('RR TFA'!G9-1))/(('TFA Prevalences'!F75*('RR TFA'!G9-1)+1))</f>
        <v>9.8936278048253456E-3</v>
      </c>
      <c r="G76" s="49">
        <f ca="1">('TFA Prevalences'!G75*('RR TFA'!H9-1))/(('TFA Prevalences'!G75*('RR TFA'!H9-1)+1))</f>
        <v>1.7325366422835196E-2</v>
      </c>
      <c r="H76" s="49">
        <f ca="1">('TFA Prevalences'!H75*('RR TFA'!I9-1))/(('TFA Prevalences'!H75*('RR TFA'!I9-1)+1))</f>
        <v>2.0362219996993277E-2</v>
      </c>
      <c r="I76" s="49">
        <f ca="1">('TFA Prevalences'!I75*('RR TFA'!J9-1))/(('TFA Prevalences'!I75*('RR TFA'!J9-1)+1))</f>
        <v>1.8717309872229974E-2</v>
      </c>
      <c r="J76" s="49">
        <f ca="1">('TFA Prevalences'!J75*('RR TFA'!K9-1))/(('TFA Prevalences'!J75*('RR TFA'!K9-1)+1))</f>
        <v>1.4667124313457028E-2</v>
      </c>
      <c r="K76" s="49">
        <f ca="1">('TFA Prevalences'!K75*('RR TFA'!L9-1))/(('TFA Prevalences'!K75*('RR TFA'!L9-1)+1))</f>
        <v>1.0320343706595641E-2</v>
      </c>
      <c r="L76" s="49">
        <f ca="1">('TFA Prevalences'!L75*('RR TFA'!M9-1))/(('TFA Prevalences'!L75*('RR TFA'!M9-1)+1))</f>
        <v>6.7430700688223405E-3</v>
      </c>
      <c r="M76" s="49">
        <f ca="1">('TFA Prevalences'!M75*('RR TFA'!N9-1))/(('TFA Prevalences'!M75*('RR TFA'!N9-1)+1))</f>
        <v>4.1850926822955678E-3</v>
      </c>
      <c r="N76" s="49">
        <f ca="1">('TFA Prevalences'!N75*('RR TFA'!O9-1))/(('TFA Prevalences'!N75*('RR TFA'!O9-1)+1))</f>
        <v>2.5067918828208784E-3</v>
      </c>
      <c r="O76" s="49">
        <f ca="1">('TFA Prevalences'!O75*('RR TFA'!P9-1))/(('TFA Prevalences'!O75*('RR TFA'!P9-1)+1))</f>
        <v>1.4654768557834071E-3</v>
      </c>
      <c r="P76" s="49">
        <f ca="1">('TFA Prevalences'!P75*('RR TFA'!Q9-1))/(('TFA Prevalences'!P75*('RR TFA'!Q9-1)+1))</f>
        <v>8.429327500168414E-4</v>
      </c>
      <c r="Q76" s="49">
        <f ca="1">('TFA Prevalences'!Q75*('RR TFA'!R9-1))/(('TFA Prevalences'!Q75*('RR TFA'!R9-1)+1))</f>
        <v>4.7984941286685693E-4</v>
      </c>
      <c r="R76" s="49">
        <f ca="1">('TFA Prevalences'!R75*('RR TFA'!S9-1))/(('TFA Prevalences'!R75*('RR TFA'!S9-1)+1))</f>
        <v>2.715068220018645E-4</v>
      </c>
      <c r="S76" s="49">
        <f ca="1">('TFA Prevalences'!S75*('RR TFA'!T9-1))/(('TFA Prevalences'!S75*('RR TFA'!T9-1)+1))</f>
        <v>1.5317938708947533E-4</v>
      </c>
      <c r="T76" s="49">
        <f ca="1">('TFA Prevalences'!T75*('RR TFA'!U9-1))/(('TFA Prevalences'!T75*('RR TFA'!U9-1)+1))</f>
        <v>8.6375830990131265E-5</v>
      </c>
      <c r="U76" s="49">
        <f ca="1">('TFA Prevalences'!U75*('RR TFA'!V9-1))/(('TFA Prevalences'!U75*('RR TFA'!V9-1)+1))</f>
        <v>4.8767139839922515E-5</v>
      </c>
      <c r="V76" s="49">
        <f ca="1">('TFA Prevalences'!V75*('RR TFA'!W9-1))/(('TFA Prevalences'!V75*('RR TFA'!W9-1)+1))</f>
        <v>2.7604824887735922E-5</v>
      </c>
      <c r="W76" s="49">
        <f ca="1">('TFA Prevalences'!W75*('RR TFA'!X9-1))/(('TFA Prevalences'!W75*('RR TFA'!X9-1)+1))</f>
        <v>1.5681994962453333E-5</v>
      </c>
      <c r="X76" s="49">
        <f ca="1">('TFA Prevalences'!X75*('RR TFA'!Y9-1))/(('TFA Prevalences'!X75*('RR TFA'!Y9-1)+1))</f>
        <v>8.9475319479721323E-6</v>
      </c>
      <c r="Y76" s="49">
        <f ca="1">('TFA Prevalences'!Y75*('RR TFA'!Z9-1))/(('TFA Prevalences'!Y75*('RR TFA'!Z9-1)+1))</f>
        <v>5.1302027455916683E-6</v>
      </c>
      <c r="Z76" s="49">
        <f ca="1">('TFA Prevalences'!Z75*('RR TFA'!AA9-1))/(('TFA Prevalences'!Z75*('RR TFA'!AA9-1)+1))</f>
        <v>6.6718273346245899E-6</v>
      </c>
      <c r="AA76">
        <f t="shared" ca="1" si="29"/>
        <v>0.11121917087873075</v>
      </c>
    </row>
    <row r="77" spans="1:27" s="37" customFormat="1" ht="15.5" x14ac:dyDescent="0.35">
      <c r="A77" s="43" t="s">
        <v>51</v>
      </c>
      <c r="B77" s="49">
        <f ca="1">('TFA Prevalences'!B76*('RR TFA'!C10-1))/(('TFA Prevalences'!B76*('RR TFA'!C10-1)+1))</f>
        <v>0</v>
      </c>
      <c r="C77" s="49">
        <f ca="1">('TFA Prevalences'!C76*('RR TFA'!D10-1))/(('TFA Prevalences'!C76*('RR TFA'!D10-1)+1))</f>
        <v>1.2321097060586478E-6</v>
      </c>
      <c r="D77" s="49">
        <f ca="1">('TFA Prevalences'!D76*('RR TFA'!E10-1))/(('TFA Prevalences'!D76*('RR TFA'!E10-1)+1))</f>
        <v>1.9930840753124086E-4</v>
      </c>
      <c r="E77" s="49">
        <f ca="1">('TFA Prevalences'!E76*('RR TFA'!F10-1))/(('TFA Prevalences'!E76*('RR TFA'!F10-1)+1))</f>
        <v>2.4085451435417312E-3</v>
      </c>
      <c r="F77" s="49">
        <f ca="1">('TFA Prevalences'!F76*('RR TFA'!G10-1))/(('TFA Prevalences'!F76*('RR TFA'!G10-1)+1))</f>
        <v>8.3621319856350632E-3</v>
      </c>
      <c r="G77" s="49">
        <f ca="1">('TFA Prevalences'!G76*('RR TFA'!H10-1))/(('TFA Prevalences'!G76*('RR TFA'!H10-1)+1))</f>
        <v>1.4641577564188388E-2</v>
      </c>
      <c r="H77" s="49">
        <f ca="1">('TFA Prevalences'!H76*('RR TFA'!I10-1))/(('TFA Prevalences'!H76*('RR TFA'!I10-1)+1))</f>
        <v>1.7193972607738934E-2</v>
      </c>
      <c r="I77" s="49">
        <f ca="1">('TFA Prevalences'!I76*('RR TFA'!J10-1))/(('TFA Prevalences'!I76*('RR TFA'!J10-1)+1))</f>
        <v>1.578029580471383E-2</v>
      </c>
      <c r="J77" s="49">
        <f ca="1">('TFA Prevalences'!J76*('RR TFA'!K10-1))/(('TFA Prevalences'!J76*('RR TFA'!K10-1)+1))</f>
        <v>1.2341408313882701E-2</v>
      </c>
      <c r="K77" s="49">
        <f ca="1">('TFA Prevalences'!K76*('RR TFA'!L10-1))/(('TFA Prevalences'!K76*('RR TFA'!L10-1)+1))</f>
        <v>8.666314636552817E-3</v>
      </c>
      <c r="L77" s="49">
        <f ca="1">('TFA Prevalences'!L76*('RR TFA'!M10-1))/(('TFA Prevalences'!L76*('RR TFA'!M10-1)+1))</f>
        <v>5.6515302563412365E-3</v>
      </c>
      <c r="M77" s="49">
        <f ca="1">('TFA Prevalences'!M76*('RR TFA'!N10-1))/(('TFA Prevalences'!M76*('RR TFA'!N10-1)+1))</f>
        <v>3.5014499974324168E-3</v>
      </c>
      <c r="N77" s="49">
        <f ca="1">('TFA Prevalences'!N76*('RR TFA'!O10-1))/(('TFA Prevalences'!N76*('RR TFA'!O10-1)+1))</f>
        <v>2.0938875472672831E-3</v>
      </c>
      <c r="O77" s="49">
        <f ca="1">('TFA Prevalences'!O76*('RR TFA'!P10-1))/(('TFA Prevalences'!O76*('RR TFA'!P10-1)+1))</f>
        <v>1.2222153885211888E-3</v>
      </c>
      <c r="P77" s="49">
        <f ca="1">('TFA Prevalences'!P76*('RR TFA'!Q10-1))/(('TFA Prevalences'!P76*('RR TFA'!Q10-1)+1))</f>
        <v>7.0197550915078075E-4</v>
      </c>
      <c r="Q77" s="49">
        <f ca="1">('TFA Prevalences'!Q76*('RR TFA'!R10-1))/(('TFA Prevalences'!Q76*('RR TFA'!R10-1)+1))</f>
        <v>3.9903385618909854E-4</v>
      </c>
      <c r="R77" s="49">
        <f ca="1">('TFA Prevalences'!R76*('RR TFA'!S10-1))/(('TFA Prevalences'!R76*('RR TFA'!S10-1)+1))</f>
        <v>2.2545996333567757E-4</v>
      </c>
      <c r="S77" s="49">
        <f ca="1">('TFA Prevalences'!S76*('RR TFA'!T10-1))/(('TFA Prevalences'!S76*('RR TFA'!T10-1)+1))</f>
        <v>1.2702128914258623E-4</v>
      </c>
      <c r="T77" s="49">
        <f ca="1">('TFA Prevalences'!T76*('RR TFA'!U10-1))/(('TFA Prevalences'!T76*('RR TFA'!U10-1)+1))</f>
        <v>7.1524822217215796E-5</v>
      </c>
      <c r="U77" s="49">
        <f ca="1">('TFA Prevalences'!U76*('RR TFA'!V10-1))/(('TFA Prevalences'!U76*('RR TFA'!V10-1)+1))</f>
        <v>4.0325471245726283E-5</v>
      </c>
      <c r="V77" s="49">
        <f ca="1">('TFA Prevalences'!V76*('RR TFA'!W10-1))/(('TFA Prevalences'!V76*('RR TFA'!W10-1)+1))</f>
        <v>2.2794135187718193E-5</v>
      </c>
      <c r="W77" s="49">
        <f ca="1">('TFA Prevalences'!W76*('RR TFA'!X10-1))/(('TFA Prevalences'!W76*('RR TFA'!X10-1)+1))</f>
        <v>1.2930734904334853E-5</v>
      </c>
      <c r="X77" s="49">
        <f ca="1">('TFA Prevalences'!X76*('RR TFA'!Y10-1))/(('TFA Prevalences'!X76*('RR TFA'!Y10-1)+1))</f>
        <v>7.3672677735194951E-6</v>
      </c>
      <c r="Y77" s="49">
        <f ca="1">('TFA Prevalences'!Y76*('RR TFA'!Z10-1))/(('TFA Prevalences'!Y76*('RR TFA'!Z10-1)+1))</f>
        <v>4.2180952750736896E-6</v>
      </c>
      <c r="Z77" s="49">
        <f ca="1">('TFA Prevalences'!Z76*('RR TFA'!AA10-1))/(('TFA Prevalences'!Z76*('RR TFA'!AA10-1)+1))</f>
        <v>5.4777583614505999E-6</v>
      </c>
      <c r="AA77">
        <f t="shared" ca="1" si="29"/>
        <v>9.3681998665836097E-2</v>
      </c>
    </row>
    <row r="78" spans="1:27" s="37" customFormat="1" ht="15.5" x14ac:dyDescent="0.35">
      <c r="A78" s="43" t="s">
        <v>52</v>
      </c>
      <c r="B78" s="49">
        <f ca="1">('TFA Prevalences'!B77*('RR TFA'!C11-1))/(('TFA Prevalences'!B77*('RR TFA'!C11-1)+1))</f>
        <v>0</v>
      </c>
      <c r="C78" s="49">
        <f ca="1">('TFA Prevalences'!C77*('RR TFA'!D11-1))/(('TFA Prevalences'!C77*('RR TFA'!D11-1)+1))</f>
        <v>1.2321097060586478E-6</v>
      </c>
      <c r="D78" s="49">
        <f ca="1">('TFA Prevalences'!D77*('RR TFA'!E11-1))/(('TFA Prevalences'!D77*('RR TFA'!E11-1)+1))</f>
        <v>1.9930840753124089E-4</v>
      </c>
      <c r="E78" s="49">
        <f ca="1">('TFA Prevalences'!E77*('RR TFA'!F11-1))/(('TFA Prevalences'!E77*('RR TFA'!F11-1)+1))</f>
        <v>2.4085451435417317E-3</v>
      </c>
      <c r="F78" s="49">
        <f ca="1">('TFA Prevalences'!F77*('RR TFA'!G11-1))/(('TFA Prevalences'!F77*('RR TFA'!G11-1)+1))</f>
        <v>8.3621319856350632E-3</v>
      </c>
      <c r="G78" s="49">
        <f ca="1">('TFA Prevalences'!G77*('RR TFA'!H11-1))/(('TFA Prevalences'!G77*('RR TFA'!H11-1)+1))</f>
        <v>1.4641577564188388E-2</v>
      </c>
      <c r="H78" s="49">
        <f ca="1">('TFA Prevalences'!H77*('RR TFA'!I11-1))/(('TFA Prevalences'!H77*('RR TFA'!I11-1)+1))</f>
        <v>1.7193972607738937E-2</v>
      </c>
      <c r="I78" s="49">
        <f ca="1">('TFA Prevalences'!I77*('RR TFA'!J11-1))/(('TFA Prevalences'!I77*('RR TFA'!J11-1)+1))</f>
        <v>1.578029580471383E-2</v>
      </c>
      <c r="J78" s="49">
        <f ca="1">('TFA Prevalences'!J77*('RR TFA'!K11-1))/(('TFA Prevalences'!J77*('RR TFA'!K11-1)+1))</f>
        <v>1.2341408313882703E-2</v>
      </c>
      <c r="K78" s="49">
        <f ca="1">('TFA Prevalences'!K77*('RR TFA'!L11-1))/(('TFA Prevalences'!K77*('RR TFA'!L11-1)+1))</f>
        <v>8.666314636552817E-3</v>
      </c>
      <c r="L78" s="49">
        <f ca="1">('TFA Prevalences'!L77*('RR TFA'!M11-1))/(('TFA Prevalences'!L77*('RR TFA'!M11-1)+1))</f>
        <v>5.6515302563412365E-3</v>
      </c>
      <c r="M78" s="49">
        <f ca="1">('TFA Prevalences'!M77*('RR TFA'!N11-1))/(('TFA Prevalences'!M77*('RR TFA'!N11-1)+1))</f>
        <v>3.5014499974324168E-3</v>
      </c>
      <c r="N78" s="49">
        <f ca="1">('TFA Prevalences'!N77*('RR TFA'!O11-1))/(('TFA Prevalences'!N77*('RR TFA'!O11-1)+1))</f>
        <v>2.0938875472672836E-3</v>
      </c>
      <c r="O78" s="49">
        <f ca="1">('TFA Prevalences'!O77*('RR TFA'!P11-1))/(('TFA Prevalences'!O77*('RR TFA'!P11-1)+1))</f>
        <v>1.2222153885211885E-3</v>
      </c>
      <c r="P78" s="49">
        <f ca="1">('TFA Prevalences'!P77*('RR TFA'!Q11-1))/(('TFA Prevalences'!P77*('RR TFA'!Q11-1)+1))</f>
        <v>7.0197550915078075E-4</v>
      </c>
      <c r="Q78" s="49">
        <f ca="1">('TFA Prevalences'!Q77*('RR TFA'!R11-1))/(('TFA Prevalences'!Q77*('RR TFA'!R11-1)+1))</f>
        <v>3.990338561890986E-4</v>
      </c>
      <c r="R78" s="49">
        <f ca="1">('TFA Prevalences'!R77*('RR TFA'!S11-1))/(('TFA Prevalences'!R77*('RR TFA'!S11-1)+1))</f>
        <v>2.2545996333567757E-4</v>
      </c>
      <c r="S78" s="49">
        <f ca="1">('TFA Prevalences'!S77*('RR TFA'!T11-1))/(('TFA Prevalences'!S77*('RR TFA'!T11-1)+1))</f>
        <v>1.2702128914258623E-4</v>
      </c>
      <c r="T78" s="49">
        <f ca="1">('TFA Prevalences'!T77*('RR TFA'!U11-1))/(('TFA Prevalences'!T77*('RR TFA'!U11-1)+1))</f>
        <v>7.1524822217215809E-5</v>
      </c>
      <c r="U78" s="49">
        <f ca="1">('TFA Prevalences'!U77*('RR TFA'!V11-1))/(('TFA Prevalences'!U77*('RR TFA'!V11-1)+1))</f>
        <v>4.0325471245726283E-5</v>
      </c>
      <c r="V78" s="49">
        <f ca="1">('TFA Prevalences'!V77*('RR TFA'!W11-1))/(('TFA Prevalences'!V77*('RR TFA'!W11-1)+1))</f>
        <v>2.2794135187718193E-5</v>
      </c>
      <c r="W78" s="49">
        <f ca="1">('TFA Prevalences'!W77*('RR TFA'!X11-1))/(('TFA Prevalences'!W77*('RR TFA'!X11-1)+1))</f>
        <v>1.2930734904334853E-5</v>
      </c>
      <c r="X78" s="49">
        <f ca="1">('TFA Prevalences'!X77*('RR TFA'!Y11-1))/(('TFA Prevalences'!X77*('RR TFA'!Y11-1)+1))</f>
        <v>7.3672677735194951E-6</v>
      </c>
      <c r="Y78" s="49">
        <f ca="1">('TFA Prevalences'!Y77*('RR TFA'!Z11-1))/(('TFA Prevalences'!Y77*('RR TFA'!Z11-1)+1))</f>
        <v>4.2180952750736896E-6</v>
      </c>
      <c r="Z78" s="49">
        <f ca="1">('TFA Prevalences'!Z77*('RR TFA'!AA11-1))/(('TFA Prevalences'!Z77*('RR TFA'!AA11-1)+1))</f>
        <v>5.477758361450599E-6</v>
      </c>
      <c r="AA78">
        <f t="shared" ca="1" si="29"/>
        <v>9.3681998665836097E-2</v>
      </c>
    </row>
    <row r="79" spans="1:27" s="37" customFormat="1" ht="15.5" x14ac:dyDescent="0.35">
      <c r="A79" s="43" t="s">
        <v>53</v>
      </c>
      <c r="B79" s="49">
        <f ca="1">('TFA Prevalences'!B78*('RR TFA'!C12-1))/(('TFA Prevalences'!B78*('RR TFA'!C12-1)+1))</f>
        <v>0</v>
      </c>
      <c r="C79" s="49">
        <f ca="1">('TFA Prevalences'!C78*('RR TFA'!D12-1))/(('TFA Prevalences'!C78*('RR TFA'!D12-1)+1))</f>
        <v>1.0269320214593734E-6</v>
      </c>
      <c r="D79" s="49">
        <f ca="1">('TFA Prevalences'!D78*('RR TFA'!E12-1))/(('TFA Prevalences'!D78*('RR TFA'!E12-1)+1))</f>
        <v>1.6592589598731758E-4</v>
      </c>
      <c r="E79" s="49">
        <f ca="1">('TFA Prevalences'!E78*('RR TFA'!F12-1))/(('TFA Prevalences'!E78*('RR TFA'!F12-1)+1))</f>
        <v>2.0034786524675604E-3</v>
      </c>
      <c r="F79" s="49">
        <f ca="1">('TFA Prevalences'!F78*('RR TFA'!G12-1))/(('TFA Prevalences'!F78*('RR TFA'!G12-1)+1))</f>
        <v>6.954469606207425E-3</v>
      </c>
      <c r="G79" s="49">
        <f ca="1">('TFA Prevalences'!G78*('RR TFA'!H12-1))/(('TFA Prevalences'!G78*('RR TFA'!H12-1)+1))</f>
        <v>1.2175295824852307E-2</v>
      </c>
      <c r="H79" s="49">
        <f ca="1">('TFA Prevalences'!H78*('RR TFA'!I12-1))/(('TFA Prevalences'!H78*('RR TFA'!I12-1)+1))</f>
        <v>1.4286891938880926E-2</v>
      </c>
      <c r="I79" s="49">
        <f ca="1">('TFA Prevalences'!I78*('RR TFA'!J12-1))/(('TFA Prevalences'!I78*('RR TFA'!J12-1)+1))</f>
        <v>1.3093282989465754E-2</v>
      </c>
      <c r="J79" s="49">
        <f ca="1">('TFA Prevalences'!J78*('RR TFA'!K12-1))/(('TFA Prevalences'!J78*('RR TFA'!K12-1)+1))</f>
        <v>1.0221475012348555E-2</v>
      </c>
      <c r="K79" s="49">
        <f ca="1">('TFA Prevalences'!K78*('RR TFA'!L12-1))/(('TFA Prevalences'!K78*('RR TFA'!L12-1)+1))</f>
        <v>7.1643316471305743E-3</v>
      </c>
      <c r="L79" s="49">
        <f ca="1">('TFA Prevalences'!L78*('RR TFA'!M12-1))/(('TFA Prevalences'!L78*('RR TFA'!M12-1)+1))</f>
        <v>4.6638518645897185E-3</v>
      </c>
      <c r="M79" s="49">
        <f ca="1">('TFA Prevalences'!M78*('RR TFA'!N12-1))/(('TFA Prevalences'!M78*('RR TFA'!N12-1)+1))</f>
        <v>2.8848659685409297E-3</v>
      </c>
      <c r="N79" s="49">
        <f ca="1">('TFA Prevalences'!N78*('RR TFA'!O12-1))/(('TFA Prevalences'!N78*('RR TFA'!O12-1)+1))</f>
        <v>1.7225954247234664E-3</v>
      </c>
      <c r="O79" s="49">
        <f ca="1">('TFA Prevalences'!O78*('RR TFA'!P12-1))/(('TFA Prevalences'!O78*('RR TFA'!P12-1)+1))</f>
        <v>1.0040793112949542E-3</v>
      </c>
      <c r="P79" s="49">
        <f ca="1">('TFA Prevalences'!P78*('RR TFA'!Q12-1))/(('TFA Prevalences'!P78*('RR TFA'!Q12-1)+1))</f>
        <v>5.7591313005476681E-4</v>
      </c>
      <c r="Q79" s="49">
        <f ca="1">('TFA Prevalences'!Q78*('RR TFA'!R12-1))/(('TFA Prevalences'!Q78*('RR TFA'!R12-1)+1))</f>
        <v>3.2694436780894136E-4</v>
      </c>
      <c r="R79" s="49">
        <f ca="1">('TFA Prevalences'!R78*('RR TFA'!S12-1))/(('TFA Prevalences'!R78*('RR TFA'!S12-1)+1))</f>
        <v>1.8448894144257178E-4</v>
      </c>
      <c r="S79" s="49">
        <f ca="1">('TFA Prevalences'!S78*('RR TFA'!T12-1))/(('TFA Prevalences'!S78*('RR TFA'!T12-1)+1))</f>
        <v>1.0380488216444917E-4</v>
      </c>
      <c r="T79" s="49">
        <f ca="1">('TFA Prevalences'!T78*('RR TFA'!U12-1))/(('TFA Prevalences'!T78*('RR TFA'!U12-1)+1))</f>
        <v>5.8376695091008512E-5</v>
      </c>
      <c r="U79" s="49">
        <f ca="1">('TFA Prevalences'!U78*('RR TFA'!V12-1))/(('TFA Prevalences'!U78*('RR TFA'!V12-1)+1))</f>
        <v>3.2870270775631364E-5</v>
      </c>
      <c r="V79" s="49">
        <f ca="1">('TFA Prevalences'!V78*('RR TFA'!W12-1))/(('TFA Prevalences'!V78*('RR TFA'!W12-1)+1))</f>
        <v>1.855610829304856E-5</v>
      </c>
      <c r="W79" s="49">
        <f ca="1">('TFA Prevalences'!W78*('RR TFA'!X12-1))/(('TFA Prevalences'!W78*('RR TFA'!X12-1)+1))</f>
        <v>1.0512967055823815E-5</v>
      </c>
      <c r="X79" s="49">
        <f ca="1">('TFA Prevalences'!X78*('RR TFA'!Y12-1))/(('TFA Prevalences'!X78*('RR TFA'!Y12-1)+1))</f>
        <v>5.9819802129342387E-6</v>
      </c>
      <c r="Y79" s="49">
        <f ca="1">('TFA Prevalences'!Y78*('RR TFA'!Z12-1))/(('TFA Prevalences'!Y78*('RR TFA'!Z12-1)+1))</f>
        <v>3.4204975338822644E-6</v>
      </c>
      <c r="Z79" s="49">
        <f ca="1">('TFA Prevalences'!Z78*('RR TFA'!AA12-1))/(('TFA Prevalences'!Z78*('RR TFA'!AA12-1)+1))</f>
        <v>4.4361709586990799E-6</v>
      </c>
      <c r="AA79">
        <f t="shared" ca="1" si="29"/>
        <v>7.7666877079902719E-2</v>
      </c>
    </row>
    <row r="80" spans="1:27" s="37" customFormat="1" ht="15.5" x14ac:dyDescent="0.35">
      <c r="A80" s="43" t="s">
        <v>54</v>
      </c>
      <c r="B80" s="49">
        <f ca="1">('TFA Prevalences'!B79*('RR TFA'!C13-1))/(('TFA Prevalences'!B79*('RR TFA'!C13-1)+1))</f>
        <v>0</v>
      </c>
      <c r="C80" s="49">
        <f ca="1">('TFA Prevalences'!C79*('RR TFA'!D13-1))/(('TFA Prevalences'!C79*('RR TFA'!D13-1)+1))</f>
        <v>1.0269320214593734E-6</v>
      </c>
      <c r="D80" s="49">
        <f ca="1">('TFA Prevalences'!D79*('RR TFA'!E13-1))/(('TFA Prevalences'!D79*('RR TFA'!E13-1)+1))</f>
        <v>1.6592589598731758E-4</v>
      </c>
      <c r="E80" s="49">
        <f ca="1">('TFA Prevalences'!E79*('RR TFA'!F13-1))/(('TFA Prevalences'!E79*('RR TFA'!F13-1)+1))</f>
        <v>2.0034786524675604E-3</v>
      </c>
      <c r="F80" s="49">
        <f ca="1">('TFA Prevalences'!F79*('RR TFA'!G13-1))/(('TFA Prevalences'!F79*('RR TFA'!G13-1)+1))</f>
        <v>6.954469606207425E-3</v>
      </c>
      <c r="G80" s="49">
        <f ca="1">('TFA Prevalences'!G79*('RR TFA'!H13-1))/(('TFA Prevalences'!G79*('RR TFA'!H13-1)+1))</f>
        <v>1.2175295824852307E-2</v>
      </c>
      <c r="H80" s="49">
        <f ca="1">('TFA Prevalences'!H79*('RR TFA'!I13-1))/(('TFA Prevalences'!H79*('RR TFA'!I13-1)+1))</f>
        <v>1.4286891938880926E-2</v>
      </c>
      <c r="I80" s="49">
        <f ca="1">('TFA Prevalences'!I79*('RR TFA'!J13-1))/(('TFA Prevalences'!I79*('RR TFA'!J13-1)+1))</f>
        <v>1.3093282989465754E-2</v>
      </c>
      <c r="J80" s="49">
        <f ca="1">('TFA Prevalences'!J79*('RR TFA'!K13-1))/(('TFA Prevalences'!J79*('RR TFA'!K13-1)+1))</f>
        <v>1.0221475012348555E-2</v>
      </c>
      <c r="K80" s="49">
        <f ca="1">('TFA Prevalences'!K79*('RR TFA'!L13-1))/(('TFA Prevalences'!K79*('RR TFA'!L13-1)+1))</f>
        <v>7.1643316471305743E-3</v>
      </c>
      <c r="L80" s="49">
        <f ca="1">('TFA Prevalences'!L79*('RR TFA'!M13-1))/(('TFA Prevalences'!L79*('RR TFA'!M13-1)+1))</f>
        <v>4.6638518645897185E-3</v>
      </c>
      <c r="M80" s="49">
        <f ca="1">('TFA Prevalences'!M79*('RR TFA'!N13-1))/(('TFA Prevalences'!M79*('RR TFA'!N13-1)+1))</f>
        <v>2.8848659685409297E-3</v>
      </c>
      <c r="N80" s="49">
        <f ca="1">('TFA Prevalences'!N79*('RR TFA'!O13-1))/(('TFA Prevalences'!N79*('RR TFA'!O13-1)+1))</f>
        <v>1.7225954247234664E-3</v>
      </c>
      <c r="O80" s="49">
        <f ca="1">('TFA Prevalences'!O79*('RR TFA'!P13-1))/(('TFA Prevalences'!O79*('RR TFA'!P13-1)+1))</f>
        <v>1.0040793112949542E-3</v>
      </c>
      <c r="P80" s="49">
        <f ca="1">('TFA Prevalences'!P79*('RR TFA'!Q13-1))/(('TFA Prevalences'!P79*('RR TFA'!Q13-1)+1))</f>
        <v>5.7591313005476681E-4</v>
      </c>
      <c r="Q80" s="49">
        <f ca="1">('TFA Prevalences'!Q79*('RR TFA'!R13-1))/(('TFA Prevalences'!Q79*('RR TFA'!R13-1)+1))</f>
        <v>3.2694436780894136E-4</v>
      </c>
      <c r="R80" s="49">
        <f ca="1">('TFA Prevalences'!R79*('RR TFA'!S13-1))/(('TFA Prevalences'!R79*('RR TFA'!S13-1)+1))</f>
        <v>1.8448894144257178E-4</v>
      </c>
      <c r="S80" s="49">
        <f ca="1">('TFA Prevalences'!S79*('RR TFA'!T13-1))/(('TFA Prevalences'!S79*('RR TFA'!T13-1)+1))</f>
        <v>1.0380488216444917E-4</v>
      </c>
      <c r="T80" s="49">
        <f ca="1">('TFA Prevalences'!T79*('RR TFA'!U13-1))/(('TFA Prevalences'!T79*('RR TFA'!U13-1)+1))</f>
        <v>5.8376695091008512E-5</v>
      </c>
      <c r="U80" s="49">
        <f ca="1">('TFA Prevalences'!U79*('RR TFA'!V13-1))/(('TFA Prevalences'!U79*('RR TFA'!V13-1)+1))</f>
        <v>3.2870270775631364E-5</v>
      </c>
      <c r="V80" s="49">
        <f ca="1">('TFA Prevalences'!V79*('RR TFA'!W13-1))/(('TFA Prevalences'!V79*('RR TFA'!W13-1)+1))</f>
        <v>1.855610829304856E-5</v>
      </c>
      <c r="W80" s="49">
        <f ca="1">('TFA Prevalences'!W79*('RR TFA'!X13-1))/(('TFA Prevalences'!W79*('RR TFA'!X13-1)+1))</f>
        <v>1.0512967055823815E-5</v>
      </c>
      <c r="X80" s="49">
        <f ca="1">('TFA Prevalences'!X79*('RR TFA'!Y13-1))/(('TFA Prevalences'!X79*('RR TFA'!Y13-1)+1))</f>
        <v>5.9819802129342387E-6</v>
      </c>
      <c r="Y80" s="49">
        <f ca="1">('TFA Prevalences'!Y79*('RR TFA'!Z13-1))/(('TFA Prevalences'!Y79*('RR TFA'!Z13-1)+1))</f>
        <v>3.4204975338822644E-6</v>
      </c>
      <c r="Z80" s="49">
        <f ca="1">('TFA Prevalences'!Z79*('RR TFA'!AA13-1))/(('TFA Prevalences'!Z79*('RR TFA'!AA13-1)+1))</f>
        <v>4.4361709586990799E-6</v>
      </c>
      <c r="AA80">
        <f t="shared" ca="1" si="29"/>
        <v>7.7666877079902719E-2</v>
      </c>
    </row>
    <row r="81" spans="1:30" s="37" customFormat="1" ht="15.5" x14ac:dyDescent="0.35">
      <c r="A81" s="43" t="s">
        <v>55</v>
      </c>
      <c r="B81" s="49">
        <f ca="1">('TFA Prevalences'!B80*('RR TFA'!C14-1))/(('TFA Prevalences'!B80*('RR TFA'!C14-1)+1))</f>
        <v>0</v>
      </c>
      <c r="C81" s="49">
        <f ca="1">('TFA Prevalences'!C80*('RR TFA'!D14-1))/(('TFA Prevalences'!C80*('RR TFA'!D14-1)+1))</f>
        <v>8.5350041992594518E-7</v>
      </c>
      <c r="D81" s="49">
        <f ca="1">('TFA Prevalences'!D80*('RR TFA'!E14-1))/(('TFA Prevalences'!D80*('RR TFA'!E14-1)+1))</f>
        <v>1.3776848591451018E-4</v>
      </c>
      <c r="E81" s="49">
        <f ca="1">('TFA Prevalences'!E80*('RR TFA'!F14-1))/(('TFA Prevalences'!E80*('RR TFA'!F14-1)+1))</f>
        <v>1.6623273858643096E-3</v>
      </c>
      <c r="F81" s="49">
        <f ca="1">('TFA Prevalences'!F80*('RR TFA'!G14-1))/(('TFA Prevalences'!F80*('RR TFA'!G14-1)+1))</f>
        <v>5.7693084636636586E-3</v>
      </c>
      <c r="G81" s="49">
        <f ca="1">('TFA Prevalences'!G80*('RR TFA'!H14-1))/(('TFA Prevalences'!G80*('RR TFA'!H14-1)+1))</f>
        <v>1.0099265048576774E-2</v>
      </c>
      <c r="H81" s="49">
        <f ca="1">('TFA Prevalences'!H80*('RR TFA'!I14-1))/(('TFA Prevalences'!H80*('RR TFA'!I14-1)+1))</f>
        <v>1.1843137062576468E-2</v>
      </c>
      <c r="I81" s="49">
        <f ca="1">('TFA Prevalences'!I80*('RR TFA'!J14-1))/(('TFA Prevalences'!I80*('RR TFA'!J14-1)+1))</f>
        <v>1.0840417526345195E-2</v>
      </c>
      <c r="J81" s="49">
        <f ca="1">('TFA Prevalences'!J80*('RR TFA'!K14-1))/(('TFA Prevalences'!J80*('RR TFA'!K14-1)+1))</f>
        <v>8.4498576761024916E-3</v>
      </c>
      <c r="K81" s="49">
        <f ca="1">('TFA Prevalences'!K80*('RR TFA'!L14-1))/(('TFA Prevalences'!K80*('RR TFA'!L14-1)+1))</f>
        <v>5.9133299202311388E-3</v>
      </c>
      <c r="L81" s="49">
        <f ca="1">('TFA Prevalences'!L80*('RR TFA'!M14-1))/(('TFA Prevalences'!L80*('RR TFA'!M14-1)+1))</f>
        <v>3.8437997448649212E-3</v>
      </c>
      <c r="M81" s="49">
        <f ca="1">('TFA Prevalences'!M80*('RR TFA'!N14-1))/(('TFA Prevalences'!M80*('RR TFA'!N14-1)+1))</f>
        <v>2.374397688154708E-3</v>
      </c>
      <c r="N81" s="49">
        <f ca="1">('TFA Prevalences'!N80*('RR TFA'!O14-1))/(('TFA Prevalences'!N80*('RR TFA'!O14-1)+1))</f>
        <v>1.4160148238836615E-3</v>
      </c>
      <c r="O81" s="49">
        <f ca="1">('TFA Prevalences'!O80*('RR TFA'!P14-1))/(('TFA Prevalences'!O80*('RR TFA'!P14-1)+1))</f>
        <v>8.2440629708119793E-4</v>
      </c>
      <c r="P81" s="49">
        <f ca="1">('TFA Prevalences'!P80*('RR TFA'!Q14-1))/(('TFA Prevalences'!P80*('RR TFA'!Q14-1)+1))</f>
        <v>4.7232355825725983E-4</v>
      </c>
      <c r="Q81" s="49">
        <f ca="1">('TFA Prevalences'!Q80*('RR TFA'!R14-1))/(('TFA Prevalences'!Q80*('RR TFA'!R14-1)+1))</f>
        <v>2.6784158132092976E-4</v>
      </c>
      <c r="R81" s="49">
        <f ca="1">('TFA Prevalences'!R80*('RR TFA'!S14-1))/(('TFA Prevalences'!R80*('RR TFA'!S14-1)+1))</f>
        <v>1.5097416037411198E-4</v>
      </c>
      <c r="S81" s="49">
        <f ca="1">('TFA Prevalences'!S80*('RR TFA'!T14-1))/(('TFA Prevalences'!S80*('RR TFA'!T14-1)+1))</f>
        <v>8.4855776478390157E-5</v>
      </c>
      <c r="T81" s="49">
        <f ca="1">('TFA Prevalences'!T80*('RR TFA'!U14-1))/(('TFA Prevalences'!T80*('RR TFA'!U14-1)+1))</f>
        <v>4.7668956661023435E-5</v>
      </c>
      <c r="U81" s="49">
        <f ca="1">('TFA Prevalences'!U80*('RR TFA'!V14-1))/(('TFA Prevalences'!U80*('RR TFA'!V14-1)+1))</f>
        <v>2.6812166587534115E-5</v>
      </c>
      <c r="V81" s="49">
        <f ca="1">('TFA Prevalences'!V80*('RR TFA'!W14-1))/(('TFA Prevalences'!V80*('RR TFA'!W14-1)+1))</f>
        <v>1.5119843899050814E-5</v>
      </c>
      <c r="W81" s="49">
        <f ca="1">('TFA Prevalences'!W80*('RR TFA'!X14-1))/(('TFA Prevalences'!W80*('RR TFA'!X14-1)+1))</f>
        <v>8.5568990105580861E-6</v>
      </c>
      <c r="X81" s="49">
        <f ca="1">('TFA Prevalences'!X80*('RR TFA'!Y14-1))/(('TFA Prevalences'!X80*('RR TFA'!Y14-1)+1))</f>
        <v>4.863685284625661E-6</v>
      </c>
      <c r="Y81" s="49">
        <f ca="1">('TFA Prevalences'!Y80*('RR TFA'!Z14-1))/(('TFA Prevalences'!Y80*('RR TFA'!Z14-1)+1))</f>
        <v>2.7780351724237321E-6</v>
      </c>
      <c r="Z81" s="49">
        <f ca="1">('TFA Prevalences'!Z80*('RR TFA'!AA14-1))/(('TFA Prevalences'!Z80*('RR TFA'!AA14-1)+1))</f>
        <v>3.5990129399323129E-6</v>
      </c>
      <c r="AA81">
        <f t="shared" ca="1" si="29"/>
        <v>6.4260277299664811E-2</v>
      </c>
    </row>
    <row r="82" spans="1:30" s="37" customFormat="1" ht="15.5" x14ac:dyDescent="0.35">
      <c r="A82" s="43" t="s">
        <v>56</v>
      </c>
      <c r="B82" s="49">
        <f ca="1">('TFA Prevalences'!B81*('RR TFA'!C15-1))/(('TFA Prevalences'!B81*('RR TFA'!C15-1)+1))</f>
        <v>0</v>
      </c>
      <c r="C82" s="49">
        <f ca="1">('TFA Prevalences'!C81*('RR TFA'!D15-1))/(('TFA Prevalences'!C81*('RR TFA'!D15-1)+1))</f>
        <v>8.5350041992594518E-7</v>
      </c>
      <c r="D82" s="49">
        <f ca="1">('TFA Prevalences'!D81*('RR TFA'!E15-1))/(('TFA Prevalences'!D81*('RR TFA'!E15-1)+1))</f>
        <v>1.3776848591451018E-4</v>
      </c>
      <c r="E82" s="49">
        <f ca="1">('TFA Prevalences'!E81*('RR TFA'!F15-1))/(('TFA Prevalences'!E81*('RR TFA'!F15-1)+1))</f>
        <v>1.6623273858643098E-3</v>
      </c>
      <c r="F82" s="49">
        <f ca="1">('TFA Prevalences'!F81*('RR TFA'!G15-1))/(('TFA Prevalences'!F81*('RR TFA'!G15-1)+1))</f>
        <v>5.7693084636636586E-3</v>
      </c>
      <c r="G82" s="49">
        <f ca="1">('TFA Prevalences'!G81*('RR TFA'!H15-1))/(('TFA Prevalences'!G81*('RR TFA'!H15-1)+1))</f>
        <v>1.0099265048576774E-2</v>
      </c>
      <c r="H82" s="49">
        <f ca="1">('TFA Prevalences'!H81*('RR TFA'!I15-1))/(('TFA Prevalences'!H81*('RR TFA'!I15-1)+1))</f>
        <v>1.1843137062576468E-2</v>
      </c>
      <c r="I82" s="49">
        <f ca="1">('TFA Prevalences'!I81*('RR TFA'!J15-1))/(('TFA Prevalences'!I81*('RR TFA'!J15-1)+1))</f>
        <v>1.0840417526345195E-2</v>
      </c>
      <c r="J82" s="49">
        <f ca="1">('TFA Prevalences'!J81*('RR TFA'!K15-1))/(('TFA Prevalences'!J81*('RR TFA'!K15-1)+1))</f>
        <v>8.4498576761024916E-3</v>
      </c>
      <c r="K82" s="49">
        <f ca="1">('TFA Prevalences'!K81*('RR TFA'!L15-1))/(('TFA Prevalences'!K81*('RR TFA'!L15-1)+1))</f>
        <v>5.9133299202311388E-3</v>
      </c>
      <c r="L82" s="49">
        <f ca="1">('TFA Prevalences'!L81*('RR TFA'!M15-1))/(('TFA Prevalences'!L81*('RR TFA'!M15-1)+1))</f>
        <v>3.8437997448649217E-3</v>
      </c>
      <c r="M82" s="49">
        <f ca="1">('TFA Prevalences'!M81*('RR TFA'!N15-1))/(('TFA Prevalences'!M81*('RR TFA'!N15-1)+1))</f>
        <v>2.374397688154708E-3</v>
      </c>
      <c r="N82" s="49">
        <f ca="1">('TFA Prevalences'!N81*('RR TFA'!O15-1))/(('TFA Prevalences'!N81*('RR TFA'!O15-1)+1))</f>
        <v>1.4160148238836615E-3</v>
      </c>
      <c r="O82" s="49">
        <f ca="1">('TFA Prevalences'!O81*('RR TFA'!P15-1))/(('TFA Prevalences'!O81*('RR TFA'!P15-1)+1))</f>
        <v>8.2440629708119793E-4</v>
      </c>
      <c r="P82" s="49">
        <f ca="1">('TFA Prevalences'!P81*('RR TFA'!Q15-1))/(('TFA Prevalences'!P81*('RR TFA'!Q15-1)+1))</f>
        <v>4.7232355825725983E-4</v>
      </c>
      <c r="Q82" s="49">
        <f ca="1">('TFA Prevalences'!Q81*('RR TFA'!R15-1))/(('TFA Prevalences'!Q81*('RR TFA'!R15-1)+1))</f>
        <v>2.6784158132092976E-4</v>
      </c>
      <c r="R82" s="49">
        <f ca="1">('TFA Prevalences'!R81*('RR TFA'!S15-1))/(('TFA Prevalences'!R81*('RR TFA'!S15-1)+1))</f>
        <v>1.5097416037411195E-4</v>
      </c>
      <c r="S82" s="49">
        <f ca="1">('TFA Prevalences'!S81*('RR TFA'!T15-1))/(('TFA Prevalences'!S81*('RR TFA'!T15-1)+1))</f>
        <v>8.4855776478390144E-5</v>
      </c>
      <c r="T82" s="49">
        <f ca="1">('TFA Prevalences'!T81*('RR TFA'!U15-1))/(('TFA Prevalences'!T81*('RR TFA'!U15-1)+1))</f>
        <v>4.7668956661023428E-5</v>
      </c>
      <c r="U82" s="49">
        <f ca="1">('TFA Prevalences'!U81*('RR TFA'!V15-1))/(('TFA Prevalences'!U81*('RR TFA'!V15-1)+1))</f>
        <v>2.6812166587534115E-5</v>
      </c>
      <c r="V82" s="49">
        <f ca="1">('TFA Prevalences'!V81*('RR TFA'!W15-1))/(('TFA Prevalences'!V81*('RR TFA'!W15-1)+1))</f>
        <v>1.5119843899050814E-5</v>
      </c>
      <c r="W82" s="49">
        <f ca="1">('TFA Prevalences'!W81*('RR TFA'!X15-1))/(('TFA Prevalences'!W81*('RR TFA'!X15-1)+1))</f>
        <v>8.5568990105580878E-6</v>
      </c>
      <c r="X82" s="49">
        <f ca="1">('TFA Prevalences'!X81*('RR TFA'!Y15-1))/(('TFA Prevalences'!X81*('RR TFA'!Y15-1)+1))</f>
        <v>4.863685284625661E-6</v>
      </c>
      <c r="Y82" s="49">
        <f ca="1">('TFA Prevalences'!Y81*('RR TFA'!Z15-1))/(('TFA Prevalences'!Y81*('RR TFA'!Z15-1)+1))</f>
        <v>2.7780351724237325E-6</v>
      </c>
      <c r="Z82" s="49">
        <f ca="1">('TFA Prevalences'!Z81*('RR TFA'!AA15-1))/(('TFA Prevalences'!Z81*('RR TFA'!AA15-1)+1))</f>
        <v>3.5990129399323124E-6</v>
      </c>
      <c r="AA82">
        <f t="shared" ca="1" si="29"/>
        <v>6.4260277299664811E-2</v>
      </c>
    </row>
    <row r="83" spans="1:30" s="37" customFormat="1" ht="15.5" x14ac:dyDescent="0.35">
      <c r="A83" s="43" t="s">
        <v>57</v>
      </c>
      <c r="B83" s="49">
        <f ca="1">('TFA Prevalences'!B82*('RR TFA'!C16-1))/(('TFA Prevalences'!B82*('RR TFA'!C16-1)+1))</f>
        <v>0</v>
      </c>
      <c r="C83" s="49">
        <f ca="1">('TFA Prevalences'!C82*('RR TFA'!D16-1))/(('TFA Prevalences'!C82*('RR TFA'!D16-1)+1))</f>
        <v>6.3623926326639584E-7</v>
      </c>
      <c r="D83" s="49">
        <f ca="1">('TFA Prevalences'!D82*('RR TFA'!E16-1))/(('TFA Prevalences'!D82*('RR TFA'!E16-1)+1))</f>
        <v>1.0257272252582664E-4</v>
      </c>
      <c r="E83" s="49">
        <f ca="1">('TFA Prevalences'!E82*('RR TFA'!F16-1))/(('TFA Prevalences'!E82*('RR TFA'!F16-1)+1))</f>
        <v>1.2365649636699905E-3</v>
      </c>
      <c r="F83" s="49">
        <f ca="1">('TFA Prevalences'!F82*('RR TFA'!G16-1))/(('TFA Prevalences'!F82*('RR TFA'!G16-1)+1))</f>
        <v>4.2907306769511613E-3</v>
      </c>
      <c r="G83" s="49">
        <f ca="1">('TFA Prevalences'!G82*('RR TFA'!H16-1))/(('TFA Prevalences'!G82*('RR TFA'!H16-1)+1))</f>
        <v>7.509858598368304E-3</v>
      </c>
      <c r="H83" s="49">
        <f ca="1">('TFA Prevalences'!H82*('RR TFA'!I16-1))/(('TFA Prevalences'!H82*('RR TFA'!I16-1)+1))</f>
        <v>8.7994107403377899E-3</v>
      </c>
      <c r="I83" s="49">
        <f ca="1">('TFA Prevalences'!I82*('RR TFA'!J16-1))/(('TFA Prevalences'!I82*('RR TFA'!J16-1)+1))</f>
        <v>8.0420402743704347E-3</v>
      </c>
      <c r="J83" s="49">
        <f ca="1">('TFA Prevalences'!J82*('RR TFA'!K16-1))/(('TFA Prevalences'!J82*('RR TFA'!K16-1)+1))</f>
        <v>6.2566641545206362E-3</v>
      </c>
      <c r="K83" s="49">
        <f ca="1">('TFA Prevalences'!K82*('RR TFA'!L16-1))/(('TFA Prevalences'!K82*('RR TFA'!L16-1)+1))</f>
        <v>4.3699728122349648E-3</v>
      </c>
      <c r="L83" s="49">
        <f ca="1">('TFA Prevalences'!L82*('RR TFA'!M16-1))/(('TFA Prevalences'!L82*('RR TFA'!M16-1)+1))</f>
        <v>2.8353747526562688E-3</v>
      </c>
      <c r="M83" s="49">
        <f ca="1">('TFA Prevalences'!M82*('RR TFA'!N16-1))/(('TFA Prevalences'!M82*('RR TFA'!N16-1)+1))</f>
        <v>1.7485254154203363E-3</v>
      </c>
      <c r="N83" s="49">
        <f ca="1">('TFA Prevalences'!N82*('RR TFA'!O16-1))/(('TFA Prevalences'!N82*('RR TFA'!O16-1)+1))</f>
        <v>1.0411448519897306E-3</v>
      </c>
      <c r="O83" s="49">
        <f ca="1">('TFA Prevalences'!O82*('RR TFA'!P16-1))/(('TFA Prevalences'!O82*('RR TFA'!P16-1)+1))</f>
        <v>6.0527055195676587E-4</v>
      </c>
      <c r="P83" s="49">
        <f ca="1">('TFA Prevalences'!P82*('RR TFA'!Q16-1))/(('TFA Prevalences'!P82*('RR TFA'!Q16-1)+1))</f>
        <v>3.4628880011792178E-4</v>
      </c>
      <c r="Q83" s="49">
        <f ca="1">('TFA Prevalences'!Q82*('RR TFA'!R16-1))/(('TFA Prevalences'!Q82*('RR TFA'!R16-1)+1))</f>
        <v>1.9610232071251633E-4</v>
      </c>
      <c r="R83" s="49">
        <f ca="1">('TFA Prevalences'!R82*('RR TFA'!S16-1))/(('TFA Prevalences'!R82*('RR TFA'!S16-1)+1))</f>
        <v>1.103879656618291E-4</v>
      </c>
      <c r="S83" s="49">
        <f ca="1">('TFA Prevalences'!S82*('RR TFA'!T16-1))/(('TFA Prevalences'!S82*('RR TFA'!T16-1)+1))</f>
        <v>6.1961105932186429E-5</v>
      </c>
      <c r="T83" s="49">
        <f ca="1">('TFA Prevalences'!T82*('RR TFA'!U16-1))/(('TFA Prevalences'!T82*('RR TFA'!U16-1)+1))</f>
        <v>3.4761123429391167E-5</v>
      </c>
      <c r="U83" s="49">
        <f ca="1">('TFA Prevalences'!U82*('RR TFA'!V16-1))/(('TFA Prevalences'!U82*('RR TFA'!V16-1)+1))</f>
        <v>1.9525887830781336E-5</v>
      </c>
      <c r="V83" s="49">
        <f ca="1">('TFA Prevalences'!V82*('RR TFA'!W16-1))/(('TFA Prevalences'!V82*('RR TFA'!W16-1)+1))</f>
        <v>1.0996295452656236E-5</v>
      </c>
      <c r="W83" s="49">
        <f ca="1">('TFA Prevalences'!W82*('RR TFA'!X16-1))/(('TFA Prevalences'!W82*('RR TFA'!X16-1)+1))</f>
        <v>6.2149083838784587E-6</v>
      </c>
      <c r="X83" s="49">
        <f ca="1">('TFA Prevalences'!X82*('RR TFA'!Y16-1))/(('TFA Prevalences'!X82*('RR TFA'!Y16-1)+1))</f>
        <v>3.5277823181064377E-6</v>
      </c>
      <c r="Y83" s="49">
        <f ca="1">('TFA Prevalences'!Y82*('RR TFA'!Z16-1))/(('TFA Prevalences'!Y82*('RR TFA'!Z16-1)+1))</f>
        <v>2.0122903939479505E-6</v>
      </c>
      <c r="Z83" s="49">
        <f ca="1">('TFA Prevalences'!Z82*('RR TFA'!AA16-1))/(('TFA Prevalences'!Z82*('RR TFA'!AA16-1)+1))</f>
        <v>2.6034646880713023E-6</v>
      </c>
      <c r="AA83">
        <f t="shared" ca="1" si="29"/>
        <v>4.7633148699186771E-2</v>
      </c>
    </row>
    <row r="84" spans="1:30" s="37" customFormat="1" ht="15.5" x14ac:dyDescent="0.35">
      <c r="A84" s="43" t="s">
        <v>77</v>
      </c>
      <c r="B84" s="49">
        <f ca="1">('TFA Prevalences'!B83*('RR TFA'!C17-1))/(('TFA Prevalences'!B83*('RR TFA'!C17-1)+1))</f>
        <v>0</v>
      </c>
      <c r="C84" s="49">
        <f ca="1">('TFA Prevalences'!C83*('RR TFA'!D17-1))/(('TFA Prevalences'!C83*('RR TFA'!D17-1)+1))</f>
        <v>6.3623926326639584E-7</v>
      </c>
      <c r="D84" s="49">
        <f ca="1">('TFA Prevalences'!D83*('RR TFA'!E17-1))/(('TFA Prevalences'!D83*('RR TFA'!E17-1)+1))</f>
        <v>1.0257272252582662E-4</v>
      </c>
      <c r="E84" s="49">
        <f ca="1">('TFA Prevalences'!E83*('RR TFA'!F17-1))/(('TFA Prevalences'!E83*('RR TFA'!F17-1)+1))</f>
        <v>1.2365649636699907E-3</v>
      </c>
      <c r="F84" s="49">
        <f ca="1">('TFA Prevalences'!F83*('RR TFA'!G17-1))/(('TFA Prevalences'!F83*('RR TFA'!G17-1)+1))</f>
        <v>4.2907306769511613E-3</v>
      </c>
      <c r="G84" s="49">
        <f ca="1">('TFA Prevalences'!G83*('RR TFA'!H17-1))/(('TFA Prevalences'!G83*('RR TFA'!H17-1)+1))</f>
        <v>7.509858598368304E-3</v>
      </c>
      <c r="H84" s="49">
        <f ca="1">('TFA Prevalences'!H83*('RR TFA'!I17-1))/(('TFA Prevalences'!H83*('RR TFA'!I17-1)+1))</f>
        <v>8.7994107403377899E-3</v>
      </c>
      <c r="I84" s="49">
        <f ca="1">('TFA Prevalences'!I83*('RR TFA'!J17-1))/(('TFA Prevalences'!I83*('RR TFA'!J17-1)+1))</f>
        <v>8.0420402743704347E-3</v>
      </c>
      <c r="J84" s="49">
        <f ca="1">('TFA Prevalences'!J83*('RR TFA'!K17-1))/(('TFA Prevalences'!J83*('RR TFA'!K17-1)+1))</f>
        <v>6.2566641545206362E-3</v>
      </c>
      <c r="K84" s="49">
        <f ca="1">('TFA Prevalences'!K83*('RR TFA'!L17-1))/(('TFA Prevalences'!K83*('RR TFA'!L17-1)+1))</f>
        <v>4.3699728122349648E-3</v>
      </c>
      <c r="L84" s="49">
        <f ca="1">('TFA Prevalences'!L83*('RR TFA'!M17-1))/(('TFA Prevalences'!L83*('RR TFA'!M17-1)+1))</f>
        <v>2.8353747526562688E-3</v>
      </c>
      <c r="M84" s="49">
        <f ca="1">('TFA Prevalences'!M83*('RR TFA'!N17-1))/(('TFA Prevalences'!M83*('RR TFA'!N17-1)+1))</f>
        <v>1.7485254154203363E-3</v>
      </c>
      <c r="N84" s="49">
        <f ca="1">('TFA Prevalences'!N83*('RR TFA'!O17-1))/(('TFA Prevalences'!N83*('RR TFA'!O17-1)+1))</f>
        <v>1.0411448519897306E-3</v>
      </c>
      <c r="O84" s="49">
        <f ca="1">('TFA Prevalences'!O83*('RR TFA'!P17-1))/(('TFA Prevalences'!O83*('RR TFA'!P17-1)+1))</f>
        <v>6.0527055195676587E-4</v>
      </c>
      <c r="P84" s="49">
        <f ca="1">('TFA Prevalences'!P83*('RR TFA'!Q17-1))/(('TFA Prevalences'!P83*('RR TFA'!Q17-1)+1))</f>
        <v>3.4628880011792178E-4</v>
      </c>
      <c r="Q84" s="49">
        <f ca="1">('TFA Prevalences'!Q83*('RR TFA'!R17-1))/(('TFA Prevalences'!Q83*('RR TFA'!R17-1)+1))</f>
        <v>1.9610232071251633E-4</v>
      </c>
      <c r="R84" s="49">
        <f ca="1">('TFA Prevalences'!R83*('RR TFA'!S17-1))/(('TFA Prevalences'!R83*('RR TFA'!S17-1)+1))</f>
        <v>1.1038796566182912E-4</v>
      </c>
      <c r="S84" s="49">
        <f ca="1">('TFA Prevalences'!S83*('RR TFA'!T17-1))/(('TFA Prevalences'!S83*('RR TFA'!T17-1)+1))</f>
        <v>6.1961105932186429E-5</v>
      </c>
      <c r="T84" s="49">
        <f ca="1">('TFA Prevalences'!T83*('RR TFA'!U17-1))/(('TFA Prevalences'!T83*('RR TFA'!U17-1)+1))</f>
        <v>3.4761123429391167E-5</v>
      </c>
      <c r="U84" s="49">
        <f ca="1">('TFA Prevalences'!U83*('RR TFA'!V17-1))/(('TFA Prevalences'!U83*('RR TFA'!V17-1)+1))</f>
        <v>1.9525887830781336E-5</v>
      </c>
      <c r="V84" s="49">
        <f ca="1">('TFA Prevalences'!V83*('RR TFA'!W17-1))/(('TFA Prevalences'!V83*('RR TFA'!W17-1)+1))</f>
        <v>1.0996295452656236E-5</v>
      </c>
      <c r="W84" s="49">
        <f ca="1">('TFA Prevalences'!W83*('RR TFA'!X17-1))/(('TFA Prevalences'!W83*('RR TFA'!X17-1)+1))</f>
        <v>6.2149083838784587E-6</v>
      </c>
      <c r="X84" s="49">
        <f ca="1">('TFA Prevalences'!X83*('RR TFA'!Y17-1))/(('TFA Prevalences'!X83*('RR TFA'!Y17-1)+1))</f>
        <v>3.5277823181064377E-6</v>
      </c>
      <c r="Y84" s="49">
        <f ca="1">('TFA Prevalences'!Y83*('RR TFA'!Z17-1))/(('TFA Prevalences'!Y83*('RR TFA'!Z17-1)+1))</f>
        <v>2.0122903939479505E-6</v>
      </c>
      <c r="Z84" s="49">
        <f ca="1">('TFA Prevalences'!Z83*('RR TFA'!AA17-1))/(('TFA Prevalences'!Z83*('RR TFA'!AA17-1)+1))</f>
        <v>2.6034646880713023E-6</v>
      </c>
      <c r="AA84">
        <f t="shared" ca="1" si="29"/>
        <v>4.7633148699186771E-2</v>
      </c>
    </row>
    <row r="85" spans="1:30" s="37" customFormat="1" ht="15.5" x14ac:dyDescent="0.35">
      <c r="A85" s="44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/>
    </row>
    <row r="86" spans="1:30" s="37" customFormat="1" ht="15.5" x14ac:dyDescent="0.35">
      <c r="A86" s="43" t="s">
        <v>60</v>
      </c>
      <c r="B86" s="49">
        <f ca="1">('TFA Prevalences'!B85*('RR TFA'!C21-1))/(('TFA Prevalences'!B85*('RR TFA'!C21-1)+1))</f>
        <v>0</v>
      </c>
      <c r="C86" s="49">
        <f ca="1">('TFA Prevalences'!C85*('RR TFA'!D21-1))/(('TFA Prevalences'!C85*('RR TFA'!D21-1)+1))</f>
        <v>-6.4059188567883458E-17</v>
      </c>
      <c r="D86" s="49">
        <f ca="1">('TFA Prevalences'!D85*('RR TFA'!E21-1))/(('TFA Prevalences'!D85*('RR TFA'!E21-1)+1))</f>
        <v>-1.0290934828288178E-14</v>
      </c>
      <c r="E86" s="49">
        <f ca="1">('TFA Prevalences'!E85*('RR TFA'!F21-1))/(('TFA Prevalences'!E85*('RR TFA'!F21-1)+1))</f>
        <v>-1.237387007458523E-13</v>
      </c>
      <c r="F86" s="49">
        <f ca="1">('TFA Prevalences'!F85*('RR TFA'!G21-1))/(('TFA Prevalences'!F85*('RR TFA'!G21-1)+1))</f>
        <v>-4.2908392361515892E-13</v>
      </c>
      <c r="G86" s="49">
        <f ca="1">('TFA Prevalences'!G85*('RR TFA'!H21-1))/(('TFA Prevalences'!G85*('RR TFA'!H21-1)+1))</f>
        <v>-7.5062365925114473E-13</v>
      </c>
      <c r="H86" s="49">
        <f ca="1">('TFA Prevalences'!H85*('RR TFA'!I21-1))/(('TFA Prevalences'!H85*('RR TFA'!I21-1)+1))</f>
        <v>-8.7736848803624746E-13</v>
      </c>
      <c r="I86" s="49">
        <f ca="1">('TFA Prevalences'!I85*('RR TFA'!J21-1))/(('TFA Prevalences'!I85*('RR TFA'!J21-1)+1))</f>
        <v>-7.9826059004915982E-13</v>
      </c>
      <c r="J86" s="49">
        <f ca="1">('TFA Prevalences'!J85*('RR TFA'!K21-1))/(('TFA Prevalences'!J85*('RR TFA'!K21-1)+1))</f>
        <v>-6.176045470924846E-13</v>
      </c>
      <c r="K86" s="49">
        <f ca="1">('TFA Prevalences'!K85*('RR TFA'!L21-1))/(('TFA Prevalences'!K85*('RR TFA'!L21-1)+1))</f>
        <v>-4.2894212019484689E-13</v>
      </c>
      <c r="L86" s="49">
        <f ca="1">('TFA Prevalences'!L85*('RR TFA'!M21-1))/(('TFA Prevalences'!L85*('RR TFA'!M21-1)+1))</f>
        <v>-2.7683966168124297E-13</v>
      </c>
      <c r="M86" s="49">
        <f ca="1">('TFA Prevalences'!M85*('RR TFA'!N21-1))/(('TFA Prevalences'!M85*('RR TFA'!N21-1)+1))</f>
        <v>-1.6989554123660771E-13</v>
      </c>
      <c r="N86" s="49">
        <f ca="1">('TFA Prevalences'!N85*('RR TFA'!O21-1))/(('TFA Prevalences'!N85*('RR TFA'!O21-1)+1))</f>
        <v>-1.007123173902436E-13</v>
      </c>
      <c r="O86" s="49">
        <f ca="1">('TFA Prevalences'!O85*('RR TFA'!P21-1))/(('TFA Prevalences'!O85*('RR TFA'!P21-1)+1))</f>
        <v>-5.8303295577892395E-14</v>
      </c>
      <c r="P86" s="49">
        <f ca="1">('TFA Prevalences'!P85*('RR TFA'!Q21-1))/(('TFA Prevalences'!P85*('RR TFA'!Q21-1)+1))</f>
        <v>-3.3222625490216067E-14</v>
      </c>
      <c r="Q86" s="49">
        <f ca="1">('TFA Prevalences'!Q85*('RR TFA'!R21-1))/(('TFA Prevalences'!Q85*('RR TFA'!R21-1)+1))</f>
        <v>-1.8740052987101551E-14</v>
      </c>
      <c r="R86" s="49">
        <f ca="1">('TFA Prevalences'!R85*('RR TFA'!S21-1))/(('TFA Prevalences'!R85*('RR TFA'!S21-1)+1))</f>
        <v>-1.0508207428456521E-14</v>
      </c>
      <c r="S86" s="49">
        <f ca="1">('TFA Prevalences'!S85*('RR TFA'!T21-1))/(('TFA Prevalences'!S85*('RR TFA'!T21-1)+1))</f>
        <v>-5.875746771939939E-15</v>
      </c>
      <c r="T86" s="49">
        <f ca="1">('TFA Prevalences'!T85*('RR TFA'!U21-1))/(('TFA Prevalences'!T85*('RR TFA'!U21-1)+1))</f>
        <v>-3.2838106764942318E-15</v>
      </c>
      <c r="U86" s="49">
        <f ca="1">('TFA Prevalences'!U85*('RR TFA'!V21-1))/(('TFA Prevalences'!U85*('RR TFA'!V21-1)+1))</f>
        <v>-1.8375629994621989E-15</v>
      </c>
      <c r="V86" s="49">
        <f ca="1">('TFA Prevalences'!V85*('RR TFA'!W21-1))/(('TFA Prevalences'!V85*('RR TFA'!W21-1)+1))</f>
        <v>-1.0309141202200479E-15</v>
      </c>
      <c r="W86" s="49">
        <f ca="1">('TFA Prevalences'!W85*('RR TFA'!X21-1))/(('TFA Prevalences'!W85*('RR TFA'!X21-1)+1))</f>
        <v>-5.8043718262183457E-16</v>
      </c>
      <c r="X86" s="49">
        <f ca="1">('TFA Prevalences'!X85*('RR TFA'!Y21-1))/(('TFA Prevalences'!X85*('RR TFA'!Y21-1)+1))</f>
        <v>-3.2822271419841668E-16</v>
      </c>
      <c r="Y86" s="49">
        <f ca="1">('TFA Prevalences'!Y85*('RR TFA'!Z21-1))/(('TFA Prevalences'!Y85*('RR TFA'!Z21-1)+1))</f>
        <v>-1.865088448218056E-16</v>
      </c>
      <c r="Z86" s="49">
        <f ca="1">('TFA Prevalences'!Z85*('RR TFA'!AA21-1))/(('TFA Prevalences'!Z85*('RR TFA'!AA21-1)+1))</f>
        <v>-2.4038318948819305E-16</v>
      </c>
      <c r="AA86">
        <f ca="1">SUM(B86:Z86)</f>
        <v>-4.7175623112927594E-12</v>
      </c>
    </row>
    <row r="87" spans="1:30" s="37" customFormat="1" ht="15.5" x14ac:dyDescent="0.35">
      <c r="A87" s="43" t="s">
        <v>61</v>
      </c>
      <c r="B87" s="49">
        <f ca="1">('TFA Prevalences'!B86*('RR TFA'!C22-1))/(('TFA Prevalences'!B86*('RR TFA'!C22-1)+1))</f>
        <v>0</v>
      </c>
      <c r="C87" s="49">
        <f ca="1">('TFA Prevalences'!C86*('RR TFA'!D22-1))/(('TFA Prevalences'!C86*('RR TFA'!D22-1)+1))</f>
        <v>-6.4059188567883458E-17</v>
      </c>
      <c r="D87" s="49">
        <f ca="1">('TFA Prevalences'!D86*('RR TFA'!E22-1))/(('TFA Prevalences'!D86*('RR TFA'!E22-1)+1))</f>
        <v>-1.0290934828288178E-14</v>
      </c>
      <c r="E87" s="49">
        <f ca="1">('TFA Prevalences'!E86*('RR TFA'!F22-1))/(('TFA Prevalences'!E86*('RR TFA'!F22-1)+1))</f>
        <v>-1.237387007458523E-13</v>
      </c>
      <c r="F87" s="49">
        <f ca="1">('TFA Prevalences'!F86*('RR TFA'!G22-1))/(('TFA Prevalences'!F86*('RR TFA'!G22-1)+1))</f>
        <v>-4.2908392361515892E-13</v>
      </c>
      <c r="G87" s="49">
        <f ca="1">('TFA Prevalences'!G86*('RR TFA'!H22-1))/(('TFA Prevalences'!G86*('RR TFA'!H22-1)+1))</f>
        <v>-7.5062365925114473E-13</v>
      </c>
      <c r="H87" s="49">
        <f ca="1">('TFA Prevalences'!H86*('RR TFA'!I22-1))/(('TFA Prevalences'!H86*('RR TFA'!I22-1)+1))</f>
        <v>-8.7736848803624746E-13</v>
      </c>
      <c r="I87" s="49">
        <f ca="1">('TFA Prevalences'!I86*('RR TFA'!J22-1))/(('TFA Prevalences'!I86*('RR TFA'!J22-1)+1))</f>
        <v>-7.9826059004915982E-13</v>
      </c>
      <c r="J87" s="49">
        <f ca="1">('TFA Prevalences'!J86*('RR TFA'!K22-1))/(('TFA Prevalences'!J86*('RR TFA'!K22-1)+1))</f>
        <v>-6.176045470924846E-13</v>
      </c>
      <c r="K87" s="49">
        <f ca="1">('TFA Prevalences'!K86*('RR TFA'!L22-1))/(('TFA Prevalences'!K86*('RR TFA'!L22-1)+1))</f>
        <v>-4.2894212019484689E-13</v>
      </c>
      <c r="L87" s="49">
        <f ca="1">('TFA Prevalences'!L86*('RR TFA'!M22-1))/(('TFA Prevalences'!L86*('RR TFA'!M22-1)+1))</f>
        <v>-2.7683966168124297E-13</v>
      </c>
      <c r="M87" s="49">
        <f ca="1">('TFA Prevalences'!M86*('RR TFA'!N22-1))/(('TFA Prevalences'!M86*('RR TFA'!N22-1)+1))</f>
        <v>-1.6989554123660771E-13</v>
      </c>
      <c r="N87" s="49">
        <f ca="1">('TFA Prevalences'!N86*('RR TFA'!O22-1))/(('TFA Prevalences'!N86*('RR TFA'!O22-1)+1))</f>
        <v>-1.007123173902436E-13</v>
      </c>
      <c r="O87" s="49">
        <f ca="1">('TFA Prevalences'!O86*('RR TFA'!P22-1))/(('TFA Prevalences'!O86*('RR TFA'!P22-1)+1))</f>
        <v>-5.8303295577892395E-14</v>
      </c>
      <c r="P87" s="49">
        <f ca="1">('TFA Prevalences'!P86*('RR TFA'!Q22-1))/(('TFA Prevalences'!P86*('RR TFA'!Q22-1)+1))</f>
        <v>-3.3222625490216067E-14</v>
      </c>
      <c r="Q87" s="49">
        <f ca="1">('TFA Prevalences'!Q86*('RR TFA'!R22-1))/(('TFA Prevalences'!Q86*('RR TFA'!R22-1)+1))</f>
        <v>-1.8740052987101551E-14</v>
      </c>
      <c r="R87" s="49">
        <f ca="1">('TFA Prevalences'!R86*('RR TFA'!S22-1))/(('TFA Prevalences'!R86*('RR TFA'!S22-1)+1))</f>
        <v>-1.0508207428456521E-14</v>
      </c>
      <c r="S87" s="49">
        <f ca="1">('TFA Prevalences'!S86*('RR TFA'!T22-1))/(('TFA Prevalences'!S86*('RR TFA'!T22-1)+1))</f>
        <v>-5.875746771939939E-15</v>
      </c>
      <c r="T87" s="49">
        <f ca="1">('TFA Prevalences'!T86*('RR TFA'!U22-1))/(('TFA Prevalences'!T86*('RR TFA'!U22-1)+1))</f>
        <v>-3.2838106764942314E-15</v>
      </c>
      <c r="U87" s="49">
        <f ca="1">('TFA Prevalences'!U86*('RR TFA'!V22-1))/(('TFA Prevalences'!U86*('RR TFA'!V22-1)+1))</f>
        <v>-1.8375629994621989E-15</v>
      </c>
      <c r="V87" s="49">
        <f ca="1">('TFA Prevalences'!V86*('RR TFA'!W22-1))/(('TFA Prevalences'!V86*('RR TFA'!W22-1)+1))</f>
        <v>-1.0309141202200479E-15</v>
      </c>
      <c r="W87" s="49">
        <f ca="1">('TFA Prevalences'!W86*('RR TFA'!X22-1))/(('TFA Prevalences'!W86*('RR TFA'!X22-1)+1))</f>
        <v>-5.8043718262183457E-16</v>
      </c>
      <c r="X87" s="49">
        <f ca="1">('TFA Prevalences'!X86*('RR TFA'!Y22-1))/(('TFA Prevalences'!X86*('RR TFA'!Y22-1)+1))</f>
        <v>-3.2822271419841668E-16</v>
      </c>
      <c r="Y87" s="49">
        <f ca="1">('TFA Prevalences'!Y86*('RR TFA'!Z22-1))/(('TFA Prevalences'!Y86*('RR TFA'!Z22-1)+1))</f>
        <v>-1.865088448218056E-16</v>
      </c>
      <c r="Z87" s="49">
        <f ca="1">('TFA Prevalences'!Z86*('RR TFA'!AA22-1))/(('TFA Prevalences'!Z86*('RR TFA'!AA22-1)+1))</f>
        <v>-2.4038318948819305E-16</v>
      </c>
      <c r="AA87">
        <f t="shared" ref="AA87:AA99" ca="1" si="30">SUM(B87:Z87)</f>
        <v>-4.7175623112927594E-12</v>
      </c>
    </row>
    <row r="88" spans="1:30" s="37" customFormat="1" ht="15.5" x14ac:dyDescent="0.35">
      <c r="A88" s="43" t="s">
        <v>62</v>
      </c>
      <c r="B88" s="49">
        <f ca="1">('TFA Prevalences'!B87*('RR TFA'!C23-1))/(('TFA Prevalences'!B87*('RR TFA'!C23-1)+1))</f>
        <v>0</v>
      </c>
      <c r="C88" s="49">
        <f ca="1">('TFA Prevalences'!C87*('RR TFA'!D23-1))/(('TFA Prevalences'!C87*('RR TFA'!D23-1)+1))</f>
        <v>1.515910201965423E-6</v>
      </c>
      <c r="D88" s="49">
        <f ca="1">('TFA Prevalences'!D87*('RR TFA'!E23-1))/(('TFA Prevalences'!D87*('RR TFA'!E23-1)+1))</f>
        <v>2.4560966214648303E-4</v>
      </c>
      <c r="E88" s="49">
        <f ca="1">('TFA Prevalences'!E87*('RR TFA'!F23-1))/(('TFA Prevalences'!E87*('RR TFA'!F23-1)+1))</f>
        <v>2.9714546174063284E-3</v>
      </c>
      <c r="F88" s="49">
        <f ca="1">('TFA Prevalences'!F87*('RR TFA'!G23-1))/(('TFA Prevalences'!F87*('RR TFA'!G23-1)+1))</f>
        <v>1.0319099880570849E-2</v>
      </c>
      <c r="G88" s="49">
        <f ca="1">('TFA Prevalences'!G87*('RR TFA'!H23-1))/(('TFA Prevalences'!G87*('RR TFA'!H23-1)+1))</f>
        <v>1.8071053137375021E-2</v>
      </c>
      <c r="H88" s="49">
        <f ca="1">('TFA Prevalences'!H87*('RR TFA'!I23-1))/(('TFA Prevalences'!H87*('RR TFA'!I23-1)+1))</f>
        <v>2.124338464473503E-2</v>
      </c>
      <c r="I88" s="49">
        <f ca="1">('TFA Prevalences'!I87*('RR TFA'!J23-1))/(('TFA Prevalences'!I87*('RR TFA'!J23-1)+1))</f>
        <v>1.9535747233234979E-2</v>
      </c>
      <c r="J88" s="49">
        <f ca="1">('TFA Prevalences'!J87*('RR TFA'!K23-1))/(('TFA Prevalences'!J87*('RR TFA'!K23-1)+1))</f>
        <v>1.5316796817726857E-2</v>
      </c>
      <c r="K88" s="49">
        <f ca="1">('TFA Prevalences'!K87*('RR TFA'!L23-1))/(('TFA Prevalences'!K87*('RR TFA'!L23-1)+1))</f>
        <v>1.0783546234158068E-2</v>
      </c>
      <c r="L88" s="49">
        <f ca="1">('TFA Prevalences'!L87*('RR TFA'!M23-1))/(('TFA Prevalences'!L87*('RR TFA'!M23-1)+1))</f>
        <v>7.0494729672372549E-3</v>
      </c>
      <c r="M88" s="49">
        <f ca="1">('TFA Prevalences'!M87*('RR TFA'!N23-1))/(('TFA Prevalences'!M87*('RR TFA'!N23-1)+1))</f>
        <v>4.3774103940178999E-3</v>
      </c>
      <c r="N88" s="49">
        <f ca="1">('TFA Prevalences'!N87*('RR TFA'!O23-1))/(('TFA Prevalences'!N87*('RR TFA'!O23-1)+1))</f>
        <v>2.623177310685208E-3</v>
      </c>
      <c r="O88" s="49">
        <f ca="1">('TFA Prevalences'!O87*('RR TFA'!P23-1))/(('TFA Prevalences'!O87*('RR TFA'!P23-1)+1))</f>
        <v>1.5341717635165347E-3</v>
      </c>
      <c r="P88" s="49">
        <f ca="1">('TFA Prevalences'!P87*('RR TFA'!Q23-1))/(('TFA Prevalences'!P87*('RR TFA'!Q23-1)+1))</f>
        <v>8.8280794132069586E-4</v>
      </c>
      <c r="Q88" s="49">
        <f ca="1">('TFA Prevalences'!Q87*('RR TFA'!R23-1))/(('TFA Prevalences'!Q87*('RR TFA'!R23-1)+1))</f>
        <v>5.0275021886907688E-4</v>
      </c>
      <c r="R88" s="49">
        <f ca="1">('TFA Prevalences'!R87*('RR TFA'!S23-1))/(('TFA Prevalences'!R87*('RR TFA'!S23-1)+1))</f>
        <v>2.8457701037691661E-4</v>
      </c>
      <c r="S88" s="49">
        <f ca="1">('TFA Prevalences'!S87*('RR TFA'!T23-1))/(('TFA Prevalences'!S87*('RR TFA'!T23-1)+1))</f>
        <v>1.6061651972802874E-4</v>
      </c>
      <c r="T88" s="49">
        <f ca="1">('TFA Prevalences'!T87*('RR TFA'!U23-1))/(('TFA Prevalences'!T87*('RR TFA'!U23-1)+1))</f>
        <v>9.0605124674381161E-5</v>
      </c>
      <c r="U88" s="49">
        <f ca="1">('TFA Prevalences'!U87*('RR TFA'!V23-1))/(('TFA Prevalences'!U87*('RR TFA'!V23-1)+1))</f>
        <v>5.1175102576813407E-5</v>
      </c>
      <c r="V88" s="49">
        <f ca="1">('TFA Prevalences'!V87*('RR TFA'!W23-1))/(('TFA Prevalences'!V87*('RR TFA'!W23-1)+1))</f>
        <v>2.8979299157574464E-5</v>
      </c>
      <c r="W88" s="49">
        <f ca="1">('TFA Prevalences'!W87*('RR TFA'!X23-1))/(('TFA Prevalences'!W87*('RR TFA'!X23-1)+1))</f>
        <v>1.6469344583590432E-5</v>
      </c>
      <c r="X88" s="49">
        <f ca="1">('TFA Prevalences'!X87*('RR TFA'!Y23-1))/(('TFA Prevalences'!X87*('RR TFA'!Y23-1)+1))</f>
        <v>9.4005042733597075E-6</v>
      </c>
      <c r="Y88" s="49">
        <f ca="1">('TFA Prevalences'!Y87*('RR TFA'!Z23-1))/(('TFA Prevalences'!Y87*('RR TFA'!Z23-1)+1))</f>
        <v>5.392077409549611E-6</v>
      </c>
      <c r="Z88" s="49">
        <f ca="1">('TFA Prevalences'!Z87*('RR TFA'!AA23-1))/(('TFA Prevalences'!Z87*('RR TFA'!AA23-1)+1))</f>
        <v>7.0152125789354631E-6</v>
      </c>
      <c r="AA88">
        <f t="shared" ca="1" si="30"/>
        <v>0.11611222892856138</v>
      </c>
    </row>
    <row r="89" spans="1:30" s="37" customFormat="1" ht="15.5" x14ac:dyDescent="0.35">
      <c r="A89" s="43" t="s">
        <v>63</v>
      </c>
      <c r="B89" s="49">
        <f ca="1">('TFA Prevalences'!B88*('RR TFA'!C24-1))/(('TFA Prevalences'!B88*('RR TFA'!C24-1)+1))</f>
        <v>0</v>
      </c>
      <c r="C89" s="49">
        <f ca="1">('TFA Prevalences'!C88*('RR TFA'!D24-1))/(('TFA Prevalences'!C88*('RR TFA'!D24-1)+1))</f>
        <v>1.515910201965423E-6</v>
      </c>
      <c r="D89" s="49">
        <f ca="1">('TFA Prevalences'!D88*('RR TFA'!E24-1))/(('TFA Prevalences'!D88*('RR TFA'!E24-1)+1))</f>
        <v>2.4560966214648303E-4</v>
      </c>
      <c r="E89" s="49">
        <f ca="1">('TFA Prevalences'!E88*('RR TFA'!F24-1))/(('TFA Prevalences'!E88*('RR TFA'!F24-1)+1))</f>
        <v>2.9714546174063284E-3</v>
      </c>
      <c r="F89" s="49">
        <f ca="1">('TFA Prevalences'!F88*('RR TFA'!G24-1))/(('TFA Prevalences'!F88*('RR TFA'!G24-1)+1))</f>
        <v>1.0319099880570849E-2</v>
      </c>
      <c r="G89" s="49">
        <f ca="1">('TFA Prevalences'!G88*('RR TFA'!H24-1))/(('TFA Prevalences'!G88*('RR TFA'!H24-1)+1))</f>
        <v>1.8071053137375021E-2</v>
      </c>
      <c r="H89" s="49">
        <f ca="1">('TFA Prevalences'!H88*('RR TFA'!I24-1))/(('TFA Prevalences'!H88*('RR TFA'!I24-1)+1))</f>
        <v>2.124338464473503E-2</v>
      </c>
      <c r="I89" s="49">
        <f ca="1">('TFA Prevalences'!I88*('RR TFA'!J24-1))/(('TFA Prevalences'!I88*('RR TFA'!J24-1)+1))</f>
        <v>1.9535747233234979E-2</v>
      </c>
      <c r="J89" s="49">
        <f ca="1">('TFA Prevalences'!J88*('RR TFA'!K24-1))/(('TFA Prevalences'!J88*('RR TFA'!K24-1)+1))</f>
        <v>1.5316796817726857E-2</v>
      </c>
      <c r="K89" s="49">
        <f ca="1">('TFA Prevalences'!K88*('RR TFA'!L24-1))/(('TFA Prevalences'!K88*('RR TFA'!L24-1)+1))</f>
        <v>1.0783546234158068E-2</v>
      </c>
      <c r="L89" s="49">
        <f ca="1">('TFA Prevalences'!L88*('RR TFA'!M24-1))/(('TFA Prevalences'!L88*('RR TFA'!M24-1)+1))</f>
        <v>7.0494729672372549E-3</v>
      </c>
      <c r="M89" s="49">
        <f ca="1">('TFA Prevalences'!M88*('RR TFA'!N24-1))/(('TFA Prevalences'!M88*('RR TFA'!N24-1)+1))</f>
        <v>4.3774103940178999E-3</v>
      </c>
      <c r="N89" s="49">
        <f ca="1">('TFA Prevalences'!N88*('RR TFA'!O24-1))/(('TFA Prevalences'!N88*('RR TFA'!O24-1)+1))</f>
        <v>2.623177310685208E-3</v>
      </c>
      <c r="O89" s="49">
        <f ca="1">('TFA Prevalences'!O88*('RR TFA'!P24-1))/(('TFA Prevalences'!O88*('RR TFA'!P24-1)+1))</f>
        <v>1.5341717635165347E-3</v>
      </c>
      <c r="P89" s="49">
        <f ca="1">('TFA Prevalences'!P88*('RR TFA'!Q24-1))/(('TFA Prevalences'!P88*('RR TFA'!Q24-1)+1))</f>
        <v>8.8280794132069586E-4</v>
      </c>
      <c r="Q89" s="49">
        <f ca="1">('TFA Prevalences'!Q88*('RR TFA'!R24-1))/(('TFA Prevalences'!Q88*('RR TFA'!R24-1)+1))</f>
        <v>5.0275021886907688E-4</v>
      </c>
      <c r="R89" s="49">
        <f ca="1">('TFA Prevalences'!R88*('RR TFA'!S24-1))/(('TFA Prevalences'!R88*('RR TFA'!S24-1)+1))</f>
        <v>2.8457701037691661E-4</v>
      </c>
      <c r="S89" s="49">
        <f ca="1">('TFA Prevalences'!S88*('RR TFA'!T24-1))/(('TFA Prevalences'!S88*('RR TFA'!T24-1)+1))</f>
        <v>1.6061651972802874E-4</v>
      </c>
      <c r="T89" s="49">
        <f ca="1">('TFA Prevalences'!T88*('RR TFA'!U24-1))/(('TFA Prevalences'!T88*('RR TFA'!U24-1)+1))</f>
        <v>9.0605124674381175E-5</v>
      </c>
      <c r="U89" s="49">
        <f ca="1">('TFA Prevalences'!U88*('RR TFA'!V24-1))/(('TFA Prevalences'!U88*('RR TFA'!V24-1)+1))</f>
        <v>5.1175102576813407E-5</v>
      </c>
      <c r="V89" s="49">
        <f ca="1">('TFA Prevalences'!V88*('RR TFA'!W24-1))/(('TFA Prevalences'!V88*('RR TFA'!W24-1)+1))</f>
        <v>2.8979299157574464E-5</v>
      </c>
      <c r="W89" s="49">
        <f ca="1">('TFA Prevalences'!W88*('RR TFA'!X24-1))/(('TFA Prevalences'!W88*('RR TFA'!X24-1)+1))</f>
        <v>1.6469344583590432E-5</v>
      </c>
      <c r="X89" s="49">
        <f ca="1">('TFA Prevalences'!X88*('RR TFA'!Y24-1))/(('TFA Prevalences'!X88*('RR TFA'!Y24-1)+1))</f>
        <v>9.4005042733597075E-6</v>
      </c>
      <c r="Y89" s="49">
        <f ca="1">('TFA Prevalences'!Y88*('RR TFA'!Z24-1))/(('TFA Prevalences'!Y88*('RR TFA'!Z24-1)+1))</f>
        <v>5.392077409549611E-6</v>
      </c>
      <c r="Z89" s="49">
        <f ca="1">('TFA Prevalences'!Z88*('RR TFA'!AA24-1))/(('TFA Prevalences'!Z88*('RR TFA'!AA24-1)+1))</f>
        <v>7.0152125789354631E-6</v>
      </c>
      <c r="AA89">
        <f t="shared" ca="1" si="30"/>
        <v>0.11611222892856138</v>
      </c>
    </row>
    <row r="90" spans="1:30" s="37" customFormat="1" ht="15.5" x14ac:dyDescent="0.35">
      <c r="A90" s="43" t="s">
        <v>64</v>
      </c>
      <c r="B90" s="49">
        <f ca="1">('TFA Prevalences'!B89*('RR TFA'!C25-1))/(('TFA Prevalences'!B89*('RR TFA'!C25-1)+1))</f>
        <v>0</v>
      </c>
      <c r="C90" s="49">
        <f ca="1">('TFA Prevalences'!C89*('RR TFA'!D25-1))/(('TFA Prevalences'!C89*('RR TFA'!D25-1)+1))</f>
        <v>1.4543491919056546E-6</v>
      </c>
      <c r="D90" s="49">
        <f ca="1">('TFA Prevalences'!D89*('RR TFA'!E25-1))/(('TFA Prevalences'!D89*('RR TFA'!E25-1)+1))</f>
        <v>2.3555365958671624E-4</v>
      </c>
      <c r="E90" s="49">
        <f ca="1">('TFA Prevalences'!E89*('RR TFA'!F25-1))/(('TFA Prevalences'!E89*('RR TFA'!F25-1)+1))</f>
        <v>2.8490915386099945E-3</v>
      </c>
      <c r="F90" s="49">
        <f ca="1">('TFA Prevalences'!F89*('RR TFA'!G25-1))/(('TFA Prevalences'!F89*('RR TFA'!G25-1)+1))</f>
        <v>9.8936278048253456E-3</v>
      </c>
      <c r="G90" s="49">
        <f ca="1">('TFA Prevalences'!G89*('RR TFA'!H25-1))/(('TFA Prevalences'!G89*('RR TFA'!H25-1)+1))</f>
        <v>1.7325366422835196E-2</v>
      </c>
      <c r="H90" s="49">
        <f ca="1">('TFA Prevalences'!H89*('RR TFA'!I25-1))/(('TFA Prevalences'!H89*('RR TFA'!I25-1)+1))</f>
        <v>2.0362219996993277E-2</v>
      </c>
      <c r="I90" s="49">
        <f ca="1">('TFA Prevalences'!I89*('RR TFA'!J25-1))/(('TFA Prevalences'!I89*('RR TFA'!J25-1)+1))</f>
        <v>1.8717309872229974E-2</v>
      </c>
      <c r="J90" s="49">
        <f ca="1">('TFA Prevalences'!J89*('RR TFA'!K25-1))/(('TFA Prevalences'!J89*('RR TFA'!K25-1)+1))</f>
        <v>1.4667124313457028E-2</v>
      </c>
      <c r="K90" s="49">
        <f ca="1">('TFA Prevalences'!K89*('RR TFA'!L25-1))/(('TFA Prevalences'!K89*('RR TFA'!L25-1)+1))</f>
        <v>1.0320343706595641E-2</v>
      </c>
      <c r="L90" s="49">
        <f ca="1">('TFA Prevalences'!L89*('RR TFA'!M25-1))/(('TFA Prevalences'!L89*('RR TFA'!M25-1)+1))</f>
        <v>6.7430700688223405E-3</v>
      </c>
      <c r="M90" s="49">
        <f ca="1">('TFA Prevalences'!M89*('RR TFA'!N25-1))/(('TFA Prevalences'!M89*('RR TFA'!N25-1)+1))</f>
        <v>4.1850926822955678E-3</v>
      </c>
      <c r="N90" s="49">
        <f ca="1">('TFA Prevalences'!N89*('RR TFA'!O25-1))/(('TFA Prevalences'!N89*('RR TFA'!O25-1)+1))</f>
        <v>2.5067918828208789E-3</v>
      </c>
      <c r="O90" s="49">
        <f ca="1">('TFA Prevalences'!O89*('RR TFA'!P25-1))/(('TFA Prevalences'!O89*('RR TFA'!P25-1)+1))</f>
        <v>1.4654768557834073E-3</v>
      </c>
      <c r="P90" s="49">
        <f ca="1">('TFA Prevalences'!P89*('RR TFA'!Q25-1))/(('TFA Prevalences'!P89*('RR TFA'!Q25-1)+1))</f>
        <v>8.429327500168414E-4</v>
      </c>
      <c r="Q90" s="49">
        <f ca="1">('TFA Prevalences'!Q89*('RR TFA'!R25-1))/(('TFA Prevalences'!Q89*('RR TFA'!R25-1)+1))</f>
        <v>4.7984941286685693E-4</v>
      </c>
      <c r="R90" s="49">
        <f ca="1">('TFA Prevalences'!R89*('RR TFA'!S25-1))/(('TFA Prevalences'!R89*('RR TFA'!S25-1)+1))</f>
        <v>2.715068220018645E-4</v>
      </c>
      <c r="S90" s="49">
        <f ca="1">('TFA Prevalences'!S89*('RR TFA'!T25-1))/(('TFA Prevalences'!S89*('RR TFA'!T25-1)+1))</f>
        <v>1.5317938708947533E-4</v>
      </c>
      <c r="T90" s="49">
        <f ca="1">('TFA Prevalences'!T89*('RR TFA'!U25-1))/(('TFA Prevalences'!T89*('RR TFA'!U25-1)+1))</f>
        <v>8.6375830990131265E-5</v>
      </c>
      <c r="U90" s="49">
        <f ca="1">('TFA Prevalences'!U89*('RR TFA'!V25-1))/(('TFA Prevalences'!U89*('RR TFA'!V25-1)+1))</f>
        <v>4.8767139839922515E-5</v>
      </c>
      <c r="V90" s="49">
        <f ca="1">('TFA Prevalences'!V89*('RR TFA'!W25-1))/(('TFA Prevalences'!V89*('RR TFA'!W25-1)+1))</f>
        <v>2.7604824887735922E-5</v>
      </c>
      <c r="W90" s="49">
        <f ca="1">('TFA Prevalences'!W89*('RR TFA'!X25-1))/(('TFA Prevalences'!W89*('RR TFA'!X25-1)+1))</f>
        <v>1.5681994962453333E-5</v>
      </c>
      <c r="X90" s="49">
        <f ca="1">('TFA Prevalences'!X89*('RR TFA'!Y25-1))/(('TFA Prevalences'!X89*('RR TFA'!Y25-1)+1))</f>
        <v>8.9475319479721323E-6</v>
      </c>
      <c r="Y90" s="49">
        <f ca="1">('TFA Prevalences'!Y89*('RR TFA'!Z25-1))/(('TFA Prevalences'!Y89*('RR TFA'!Z25-1)+1))</f>
        <v>5.1302027455916692E-6</v>
      </c>
      <c r="Z90" s="49">
        <f ca="1">('TFA Prevalences'!Z89*('RR TFA'!AA25-1))/(('TFA Prevalences'!Z89*('RR TFA'!AA25-1)+1))</f>
        <v>6.6718273346245899E-6</v>
      </c>
      <c r="AA90">
        <f t="shared" ca="1" si="30"/>
        <v>0.11121917087873075</v>
      </c>
    </row>
    <row r="91" spans="1:30" s="37" customFormat="1" ht="15.5" x14ac:dyDescent="0.35">
      <c r="A91" s="43" t="s">
        <v>65</v>
      </c>
      <c r="B91" s="49">
        <f ca="1">('TFA Prevalences'!B90*('RR TFA'!C26-1))/(('TFA Prevalences'!B90*('RR TFA'!C26-1)+1))</f>
        <v>0</v>
      </c>
      <c r="C91" s="49">
        <f ca="1">('TFA Prevalences'!C90*('RR TFA'!D26-1))/(('TFA Prevalences'!C90*('RR TFA'!D26-1)+1))</f>
        <v>1.4543491919056549E-6</v>
      </c>
      <c r="D91" s="49">
        <f ca="1">('TFA Prevalences'!D90*('RR TFA'!E26-1))/(('TFA Prevalences'!D90*('RR TFA'!E26-1)+1))</f>
        <v>2.3555365958671624E-4</v>
      </c>
      <c r="E91" s="49">
        <f ca="1">('TFA Prevalences'!E90*('RR TFA'!F26-1))/(('TFA Prevalences'!E90*('RR TFA'!F26-1)+1))</f>
        <v>2.8490915386099941E-3</v>
      </c>
      <c r="F91" s="49">
        <f ca="1">('TFA Prevalences'!F90*('RR TFA'!G26-1))/(('TFA Prevalences'!F90*('RR TFA'!G26-1)+1))</f>
        <v>9.8936278048253456E-3</v>
      </c>
      <c r="G91" s="49">
        <f ca="1">('TFA Prevalences'!G90*('RR TFA'!H26-1))/(('TFA Prevalences'!G90*('RR TFA'!H26-1)+1))</f>
        <v>1.7325366422835196E-2</v>
      </c>
      <c r="H91" s="49">
        <f ca="1">('TFA Prevalences'!H90*('RR TFA'!I26-1))/(('TFA Prevalences'!H90*('RR TFA'!I26-1)+1))</f>
        <v>2.0362219996993277E-2</v>
      </c>
      <c r="I91" s="49">
        <f ca="1">('TFA Prevalences'!I90*('RR TFA'!J26-1))/(('TFA Prevalences'!I90*('RR TFA'!J26-1)+1))</f>
        <v>1.8717309872229974E-2</v>
      </c>
      <c r="J91" s="49">
        <f ca="1">('TFA Prevalences'!J90*('RR TFA'!K26-1))/(('TFA Prevalences'!J90*('RR TFA'!K26-1)+1))</f>
        <v>1.4667124313457028E-2</v>
      </c>
      <c r="K91" s="49">
        <f ca="1">('TFA Prevalences'!K90*('RR TFA'!L26-1))/(('TFA Prevalences'!K90*('RR TFA'!L26-1)+1))</f>
        <v>1.0320343706595641E-2</v>
      </c>
      <c r="L91" s="49">
        <f ca="1">('TFA Prevalences'!L90*('RR TFA'!M26-1))/(('TFA Prevalences'!L90*('RR TFA'!M26-1)+1))</f>
        <v>6.7430700688223405E-3</v>
      </c>
      <c r="M91" s="49">
        <f ca="1">('TFA Prevalences'!M90*('RR TFA'!N26-1))/(('TFA Prevalences'!M90*('RR TFA'!N26-1)+1))</f>
        <v>4.1850926822955678E-3</v>
      </c>
      <c r="N91" s="49">
        <f ca="1">('TFA Prevalences'!N90*('RR TFA'!O26-1))/(('TFA Prevalences'!N90*('RR TFA'!O26-1)+1))</f>
        <v>2.5067918828208789E-3</v>
      </c>
      <c r="O91" s="49">
        <f ca="1">('TFA Prevalences'!O90*('RR TFA'!P26-1))/(('TFA Prevalences'!O90*('RR TFA'!P26-1)+1))</f>
        <v>1.4654768557834073E-3</v>
      </c>
      <c r="P91" s="49">
        <f ca="1">('TFA Prevalences'!P90*('RR TFA'!Q26-1))/(('TFA Prevalences'!P90*('RR TFA'!Q26-1)+1))</f>
        <v>8.429327500168414E-4</v>
      </c>
      <c r="Q91" s="49">
        <f ca="1">('TFA Prevalences'!Q90*('RR TFA'!R26-1))/(('TFA Prevalences'!Q90*('RR TFA'!R26-1)+1))</f>
        <v>4.7984941286685693E-4</v>
      </c>
      <c r="R91" s="49">
        <f ca="1">('TFA Prevalences'!R90*('RR TFA'!S26-1))/(('TFA Prevalences'!R90*('RR TFA'!S26-1)+1))</f>
        <v>2.715068220018645E-4</v>
      </c>
      <c r="S91" s="49">
        <f ca="1">('TFA Prevalences'!S90*('RR TFA'!T26-1))/(('TFA Prevalences'!S90*('RR TFA'!T26-1)+1))</f>
        <v>1.5317938708947533E-4</v>
      </c>
      <c r="T91" s="49">
        <f ca="1">('TFA Prevalences'!T90*('RR TFA'!U26-1))/(('TFA Prevalences'!T90*('RR TFA'!U26-1)+1))</f>
        <v>8.6375830990131265E-5</v>
      </c>
      <c r="U91" s="49">
        <f ca="1">('TFA Prevalences'!U90*('RR TFA'!V26-1))/(('TFA Prevalences'!U90*('RR TFA'!V26-1)+1))</f>
        <v>4.8767139839922515E-5</v>
      </c>
      <c r="V91" s="49">
        <f ca="1">('TFA Prevalences'!V90*('RR TFA'!W26-1))/(('TFA Prevalences'!V90*('RR TFA'!W26-1)+1))</f>
        <v>2.7604824887735922E-5</v>
      </c>
      <c r="W91" s="49">
        <f ca="1">('TFA Prevalences'!W90*('RR TFA'!X26-1))/(('TFA Prevalences'!W90*('RR TFA'!X26-1)+1))</f>
        <v>1.5681994962453333E-5</v>
      </c>
      <c r="X91" s="49">
        <f ca="1">('TFA Prevalences'!X90*('RR TFA'!Y26-1))/(('TFA Prevalences'!X90*('RR TFA'!Y26-1)+1))</f>
        <v>8.9475319479721307E-6</v>
      </c>
      <c r="Y91" s="49">
        <f ca="1">('TFA Prevalences'!Y90*('RR TFA'!Z26-1))/(('TFA Prevalences'!Y90*('RR TFA'!Z26-1)+1))</f>
        <v>5.1302027455916683E-6</v>
      </c>
      <c r="Z91" s="49">
        <f ca="1">('TFA Prevalences'!Z90*('RR TFA'!AA26-1))/(('TFA Prevalences'!Z90*('RR TFA'!AA26-1)+1))</f>
        <v>6.6718273346245899E-6</v>
      </c>
      <c r="AA91">
        <f t="shared" ca="1" si="30"/>
        <v>0.11121917087873075</v>
      </c>
    </row>
    <row r="92" spans="1:30" s="37" customFormat="1" ht="15.5" x14ac:dyDescent="0.35">
      <c r="A92" s="43" t="s">
        <v>66</v>
      </c>
      <c r="B92" s="49">
        <f ca="1">('TFA Prevalences'!B91*('RR TFA'!C27-1))/(('TFA Prevalences'!B91*('RR TFA'!C27-1)+1))</f>
        <v>0</v>
      </c>
      <c r="C92" s="49">
        <f ca="1">('TFA Prevalences'!C91*('RR TFA'!D27-1))/(('TFA Prevalences'!C91*('RR TFA'!D27-1)+1))</f>
        <v>1.2321097060586478E-6</v>
      </c>
      <c r="D92" s="49">
        <f ca="1">('TFA Prevalences'!D91*('RR TFA'!E27-1))/(('TFA Prevalences'!D91*('RR TFA'!E27-1)+1))</f>
        <v>1.9930840753124086E-4</v>
      </c>
      <c r="E92" s="49">
        <f ca="1">('TFA Prevalences'!E91*('RR TFA'!F27-1))/(('TFA Prevalences'!E91*('RR TFA'!F27-1)+1))</f>
        <v>2.4085451435417312E-3</v>
      </c>
      <c r="F92" s="49">
        <f ca="1">('TFA Prevalences'!F91*('RR TFA'!G27-1))/(('TFA Prevalences'!F91*('RR TFA'!G27-1)+1))</f>
        <v>8.3621319856350632E-3</v>
      </c>
      <c r="G92" s="49">
        <f ca="1">('TFA Prevalences'!G91*('RR TFA'!H27-1))/(('TFA Prevalences'!G91*('RR TFA'!H27-1)+1))</f>
        <v>1.4641577564188386E-2</v>
      </c>
      <c r="H92" s="49">
        <f ca="1">('TFA Prevalences'!H91*('RR TFA'!I27-1))/(('TFA Prevalences'!H91*('RR TFA'!I27-1)+1))</f>
        <v>1.7193972607738934E-2</v>
      </c>
      <c r="I92" s="49">
        <f ca="1">('TFA Prevalences'!I91*('RR TFA'!J27-1))/(('TFA Prevalences'!I91*('RR TFA'!J27-1)+1))</f>
        <v>1.578029580471383E-2</v>
      </c>
      <c r="J92" s="49">
        <f ca="1">('TFA Prevalences'!J91*('RR TFA'!K27-1))/(('TFA Prevalences'!J91*('RR TFA'!K27-1)+1))</f>
        <v>1.2341408313882701E-2</v>
      </c>
      <c r="K92" s="49">
        <f ca="1">('TFA Prevalences'!K91*('RR TFA'!L27-1))/(('TFA Prevalences'!K91*('RR TFA'!L27-1)+1))</f>
        <v>8.666314636552817E-3</v>
      </c>
      <c r="L92" s="49">
        <f ca="1">('TFA Prevalences'!L91*('RR TFA'!M27-1))/(('TFA Prevalences'!L91*('RR TFA'!M27-1)+1))</f>
        <v>5.6515302563412365E-3</v>
      </c>
      <c r="M92" s="49">
        <f ca="1">('TFA Prevalences'!M91*('RR TFA'!N27-1))/(('TFA Prevalences'!M91*('RR TFA'!N27-1)+1))</f>
        <v>3.5014499974324168E-3</v>
      </c>
      <c r="N92" s="49">
        <f ca="1">('TFA Prevalences'!N91*('RR TFA'!O27-1))/(('TFA Prevalences'!N91*('RR TFA'!O27-1)+1))</f>
        <v>2.0938875472672836E-3</v>
      </c>
      <c r="O92" s="49">
        <f ca="1">('TFA Prevalences'!O91*('RR TFA'!P27-1))/(('TFA Prevalences'!O91*('RR TFA'!P27-1)+1))</f>
        <v>1.2222153885211888E-3</v>
      </c>
      <c r="P92" s="49">
        <f ca="1">('TFA Prevalences'!P91*('RR TFA'!Q27-1))/(('TFA Prevalences'!P91*('RR TFA'!Q27-1)+1))</f>
        <v>7.0197550915078075E-4</v>
      </c>
      <c r="Q92" s="49">
        <f ca="1">('TFA Prevalences'!Q91*('RR TFA'!R27-1))/(('TFA Prevalences'!Q91*('RR TFA'!R27-1)+1))</f>
        <v>3.9903385618909854E-4</v>
      </c>
      <c r="R92" s="49">
        <f ca="1">('TFA Prevalences'!R91*('RR TFA'!S27-1))/(('TFA Prevalences'!R91*('RR TFA'!S27-1)+1))</f>
        <v>2.2545996333567757E-4</v>
      </c>
      <c r="S92" s="49">
        <f ca="1">('TFA Prevalences'!S91*('RR TFA'!T27-1))/(('TFA Prevalences'!S91*('RR TFA'!T27-1)+1))</f>
        <v>1.2702128914258626E-4</v>
      </c>
      <c r="T92" s="49">
        <f ca="1">('TFA Prevalences'!T91*('RR TFA'!U27-1))/(('TFA Prevalences'!T91*('RR TFA'!U27-1)+1))</f>
        <v>7.1524822217215809E-5</v>
      </c>
      <c r="U92" s="49">
        <f ca="1">('TFA Prevalences'!U91*('RR TFA'!V27-1))/(('TFA Prevalences'!U91*('RR TFA'!V27-1)+1))</f>
        <v>4.0325471245726283E-5</v>
      </c>
      <c r="V92" s="49">
        <f ca="1">('TFA Prevalences'!V91*('RR TFA'!W27-1))/(('TFA Prevalences'!V91*('RR TFA'!W27-1)+1))</f>
        <v>2.2794135187718193E-5</v>
      </c>
      <c r="W92" s="49">
        <f ca="1">('TFA Prevalences'!W91*('RR TFA'!X27-1))/(('TFA Prevalences'!W91*('RR TFA'!X27-1)+1))</f>
        <v>1.2930734904334853E-5</v>
      </c>
      <c r="X92" s="49">
        <f ca="1">('TFA Prevalences'!X91*('RR TFA'!Y27-1))/(('TFA Prevalences'!X91*('RR TFA'!Y27-1)+1))</f>
        <v>7.3672677735194951E-6</v>
      </c>
      <c r="Y92" s="49">
        <f ca="1">('TFA Prevalences'!Y91*('RR TFA'!Z27-1))/(('TFA Prevalences'!Y91*('RR TFA'!Z27-1)+1))</f>
        <v>4.2180952750736896E-6</v>
      </c>
      <c r="Z92" s="49">
        <f ca="1">('TFA Prevalences'!Z91*('RR TFA'!AA27-1))/(('TFA Prevalences'!Z91*('RR TFA'!AA27-1)+1))</f>
        <v>5.4777583614505982E-6</v>
      </c>
      <c r="AA92">
        <f t="shared" ca="1" si="30"/>
        <v>9.3681998665836097E-2</v>
      </c>
    </row>
    <row r="93" spans="1:30" s="37" customFormat="1" ht="15.5" x14ac:dyDescent="0.35">
      <c r="A93" s="43" t="s">
        <v>67</v>
      </c>
      <c r="B93" s="49">
        <f ca="1">('TFA Prevalences'!B92*('RR TFA'!C28-1))/(('TFA Prevalences'!B92*('RR TFA'!C28-1)+1))</f>
        <v>0</v>
      </c>
      <c r="C93" s="49">
        <f ca="1">('TFA Prevalences'!C92*('RR TFA'!D28-1))/(('TFA Prevalences'!C92*('RR TFA'!D28-1)+1))</f>
        <v>1.2321097060586478E-6</v>
      </c>
      <c r="D93" s="49">
        <f ca="1">('TFA Prevalences'!D92*('RR TFA'!E28-1))/(('TFA Prevalences'!D92*('RR TFA'!E28-1)+1))</f>
        <v>1.9930840753124086E-4</v>
      </c>
      <c r="E93" s="49">
        <f ca="1">('TFA Prevalences'!E92*('RR TFA'!F28-1))/(('TFA Prevalences'!E92*('RR TFA'!F28-1)+1))</f>
        <v>2.4085451435417312E-3</v>
      </c>
      <c r="F93" s="49">
        <f ca="1">('TFA Prevalences'!F92*('RR TFA'!G28-1))/(('TFA Prevalences'!F92*('RR TFA'!G28-1)+1))</f>
        <v>8.3621319856350632E-3</v>
      </c>
      <c r="G93" s="49">
        <f ca="1">('TFA Prevalences'!G92*('RR TFA'!H28-1))/(('TFA Prevalences'!G92*('RR TFA'!H28-1)+1))</f>
        <v>1.4641577564188388E-2</v>
      </c>
      <c r="H93" s="49">
        <f ca="1">('TFA Prevalences'!H92*('RR TFA'!I28-1))/(('TFA Prevalences'!H92*('RR TFA'!I28-1)+1))</f>
        <v>1.7193972607738937E-2</v>
      </c>
      <c r="I93" s="49">
        <f ca="1">('TFA Prevalences'!I92*('RR TFA'!J28-1))/(('TFA Prevalences'!I92*('RR TFA'!J28-1)+1))</f>
        <v>1.578029580471383E-2</v>
      </c>
      <c r="J93" s="49">
        <f ca="1">('TFA Prevalences'!J92*('RR TFA'!K28-1))/(('TFA Prevalences'!J92*('RR TFA'!K28-1)+1))</f>
        <v>1.2341408313882701E-2</v>
      </c>
      <c r="K93" s="49">
        <f ca="1">('TFA Prevalences'!K92*('RR TFA'!L28-1))/(('TFA Prevalences'!K92*('RR TFA'!L28-1)+1))</f>
        <v>8.666314636552817E-3</v>
      </c>
      <c r="L93" s="49">
        <f ca="1">('TFA Prevalences'!L92*('RR TFA'!M28-1))/(('TFA Prevalences'!L92*('RR TFA'!M28-1)+1))</f>
        <v>5.6515302563412365E-3</v>
      </c>
      <c r="M93" s="49">
        <f ca="1">('TFA Prevalences'!M92*('RR TFA'!N28-1))/(('TFA Prevalences'!M92*('RR TFA'!N28-1)+1))</f>
        <v>3.5014499974324168E-3</v>
      </c>
      <c r="N93" s="49">
        <f ca="1">('TFA Prevalences'!N92*('RR TFA'!O28-1))/(('TFA Prevalences'!N92*('RR TFA'!O28-1)+1))</f>
        <v>2.0938875472672836E-3</v>
      </c>
      <c r="O93" s="49">
        <f ca="1">('TFA Prevalences'!O92*('RR TFA'!P28-1))/(('TFA Prevalences'!O92*('RR TFA'!P28-1)+1))</f>
        <v>1.2222153885211885E-3</v>
      </c>
      <c r="P93" s="49">
        <f ca="1">('TFA Prevalences'!P92*('RR TFA'!Q28-1))/(('TFA Prevalences'!P92*('RR TFA'!Q28-1)+1))</f>
        <v>7.0197550915078086E-4</v>
      </c>
      <c r="Q93" s="49">
        <f ca="1">('TFA Prevalences'!Q92*('RR TFA'!R28-1))/(('TFA Prevalences'!Q92*('RR TFA'!R28-1)+1))</f>
        <v>3.9903385618909854E-4</v>
      </c>
      <c r="R93" s="49">
        <f ca="1">('TFA Prevalences'!R92*('RR TFA'!S28-1))/(('TFA Prevalences'!R92*('RR TFA'!S28-1)+1))</f>
        <v>2.2545996333567757E-4</v>
      </c>
      <c r="S93" s="49">
        <f ca="1">('TFA Prevalences'!S92*('RR TFA'!T28-1))/(('TFA Prevalences'!S92*('RR TFA'!T28-1)+1))</f>
        <v>1.2702128914258623E-4</v>
      </c>
      <c r="T93" s="49">
        <f ca="1">('TFA Prevalences'!T92*('RR TFA'!U28-1))/(('TFA Prevalences'!T92*('RR TFA'!U28-1)+1))</f>
        <v>7.1524822217215796E-5</v>
      </c>
      <c r="U93" s="49">
        <f ca="1">('TFA Prevalences'!U92*('RR TFA'!V28-1))/(('TFA Prevalences'!U92*('RR TFA'!V28-1)+1))</f>
        <v>4.0325471245726283E-5</v>
      </c>
      <c r="V93" s="49">
        <f ca="1">('TFA Prevalences'!V92*('RR TFA'!W28-1))/(('TFA Prevalences'!V92*('RR TFA'!W28-1)+1))</f>
        <v>2.2794135187718193E-5</v>
      </c>
      <c r="W93" s="49">
        <f ca="1">('TFA Prevalences'!W92*('RR TFA'!X28-1))/(('TFA Prevalences'!W92*('RR TFA'!X28-1)+1))</f>
        <v>1.2930734904334853E-5</v>
      </c>
      <c r="X93" s="49">
        <f ca="1">('TFA Prevalences'!X92*('RR TFA'!Y28-1))/(('TFA Prevalences'!X92*('RR TFA'!Y28-1)+1))</f>
        <v>7.3672677735194951E-6</v>
      </c>
      <c r="Y93" s="49">
        <f ca="1">('TFA Prevalences'!Y92*('RR TFA'!Z28-1))/(('TFA Prevalences'!Y92*('RR TFA'!Z28-1)+1))</f>
        <v>4.2180952750736896E-6</v>
      </c>
      <c r="Z93" s="49">
        <f ca="1">('TFA Prevalences'!Z92*('RR TFA'!AA28-1))/(('TFA Prevalences'!Z92*('RR TFA'!AA28-1)+1))</f>
        <v>5.4777583614505982E-6</v>
      </c>
      <c r="AA93">
        <f t="shared" ca="1" si="30"/>
        <v>9.3681998665836097E-2</v>
      </c>
    </row>
    <row r="94" spans="1:30" s="37" customFormat="1" ht="15.5" x14ac:dyDescent="0.35">
      <c r="A94" s="43" t="s">
        <v>68</v>
      </c>
      <c r="B94" s="49">
        <f ca="1">('TFA Prevalences'!B93*('RR TFA'!C29-1))/(('TFA Prevalences'!B93*('RR TFA'!C29-1)+1))</f>
        <v>0</v>
      </c>
      <c r="C94" s="49">
        <f ca="1">('TFA Prevalences'!C93*('RR TFA'!D29-1))/(('TFA Prevalences'!C93*('RR TFA'!D29-1)+1))</f>
        <v>1.0269320214593734E-6</v>
      </c>
      <c r="D94" s="49">
        <f ca="1">('TFA Prevalences'!D93*('RR TFA'!E29-1))/(('TFA Prevalences'!D93*('RR TFA'!E29-1)+1))</f>
        <v>1.6592589598731758E-4</v>
      </c>
      <c r="E94" s="49">
        <f ca="1">('TFA Prevalences'!E93*('RR TFA'!F29-1))/(('TFA Prevalences'!E93*('RR TFA'!F29-1)+1))</f>
        <v>2.0034786524675604E-3</v>
      </c>
      <c r="F94" s="49">
        <f ca="1">('TFA Prevalences'!F93*('RR TFA'!G29-1))/(('TFA Prevalences'!F93*('RR TFA'!G29-1)+1))</f>
        <v>6.954469606207425E-3</v>
      </c>
      <c r="G94" s="49">
        <f ca="1">('TFA Prevalences'!G93*('RR TFA'!H29-1))/(('TFA Prevalences'!G93*('RR TFA'!H29-1)+1))</f>
        <v>1.2175295824852307E-2</v>
      </c>
      <c r="H94" s="49">
        <f ca="1">('TFA Prevalences'!H93*('RR TFA'!I29-1))/(('TFA Prevalences'!H93*('RR TFA'!I29-1)+1))</f>
        <v>1.4286891938880926E-2</v>
      </c>
      <c r="I94" s="49">
        <f ca="1">('TFA Prevalences'!I93*('RR TFA'!J29-1))/(('TFA Prevalences'!I93*('RR TFA'!J29-1)+1))</f>
        <v>1.3093282989465754E-2</v>
      </c>
      <c r="J94" s="49">
        <f ca="1">('TFA Prevalences'!J93*('RR TFA'!K29-1))/(('TFA Prevalences'!J93*('RR TFA'!K29-1)+1))</f>
        <v>1.0221475012348557E-2</v>
      </c>
      <c r="K94" s="49">
        <f ca="1">('TFA Prevalences'!K93*('RR TFA'!L29-1))/(('TFA Prevalences'!K93*('RR TFA'!L29-1)+1))</f>
        <v>7.1643316471305743E-3</v>
      </c>
      <c r="L94" s="49">
        <f ca="1">('TFA Prevalences'!L93*('RR TFA'!M29-1))/(('TFA Prevalences'!L93*('RR TFA'!M29-1)+1))</f>
        <v>4.6638518645897185E-3</v>
      </c>
      <c r="M94" s="49">
        <f ca="1">('TFA Prevalences'!M93*('RR TFA'!N29-1))/(('TFA Prevalences'!M93*('RR TFA'!N29-1)+1))</f>
        <v>2.8848659685409297E-3</v>
      </c>
      <c r="N94" s="49">
        <f ca="1">('TFA Prevalences'!N93*('RR TFA'!O29-1))/(('TFA Prevalences'!N93*('RR TFA'!O29-1)+1))</f>
        <v>1.7225954247234664E-3</v>
      </c>
      <c r="O94" s="49">
        <f ca="1">('TFA Prevalences'!O93*('RR TFA'!P29-1))/(('TFA Prevalences'!O93*('RR TFA'!P29-1)+1))</f>
        <v>1.0040793112949542E-3</v>
      </c>
      <c r="P94" s="49">
        <f ca="1">('TFA Prevalences'!P93*('RR TFA'!Q29-1))/(('TFA Prevalences'!P93*('RR TFA'!Q29-1)+1))</f>
        <v>5.7591313005476681E-4</v>
      </c>
      <c r="Q94" s="49">
        <f ca="1">('TFA Prevalences'!Q93*('RR TFA'!R29-1))/(('TFA Prevalences'!Q93*('RR TFA'!R29-1)+1))</f>
        <v>3.2694436780894142E-4</v>
      </c>
      <c r="R94" s="49">
        <f ca="1">('TFA Prevalences'!R93*('RR TFA'!S29-1))/(('TFA Prevalences'!R93*('RR TFA'!S29-1)+1))</f>
        <v>1.8448894144257178E-4</v>
      </c>
      <c r="S94" s="49">
        <f ca="1">('TFA Prevalences'!S93*('RR TFA'!T29-1))/(('TFA Prevalences'!S93*('RR TFA'!T29-1)+1))</f>
        <v>1.0380488216444917E-4</v>
      </c>
      <c r="T94" s="49">
        <f ca="1">('TFA Prevalences'!T93*('RR TFA'!U29-1))/(('TFA Prevalences'!T93*('RR TFA'!U29-1)+1))</f>
        <v>5.8376695091008519E-5</v>
      </c>
      <c r="U94" s="49">
        <f ca="1">('TFA Prevalences'!U93*('RR TFA'!V29-1))/(('TFA Prevalences'!U93*('RR TFA'!V29-1)+1))</f>
        <v>3.2870270775631364E-5</v>
      </c>
      <c r="V94" s="49">
        <f ca="1">('TFA Prevalences'!V93*('RR TFA'!W29-1))/(('TFA Prevalences'!V93*('RR TFA'!W29-1)+1))</f>
        <v>1.855610829304856E-5</v>
      </c>
      <c r="W94" s="49">
        <f ca="1">('TFA Prevalences'!W93*('RR TFA'!X29-1))/(('TFA Prevalences'!W93*('RR TFA'!X29-1)+1))</f>
        <v>1.0512967055823815E-5</v>
      </c>
      <c r="X94" s="49">
        <f ca="1">('TFA Prevalences'!X93*('RR TFA'!Y29-1))/(('TFA Prevalences'!X93*('RR TFA'!Y29-1)+1))</f>
        <v>5.9819802129342387E-6</v>
      </c>
      <c r="Y94" s="49">
        <f ca="1">('TFA Prevalences'!Y93*('RR TFA'!Z29-1))/(('TFA Prevalences'!Y93*('RR TFA'!Z29-1)+1))</f>
        <v>3.4204975338822644E-6</v>
      </c>
      <c r="Z94" s="49">
        <f ca="1">('TFA Prevalences'!Z93*('RR TFA'!AA29-1))/(('TFA Prevalences'!Z93*('RR TFA'!AA29-1)+1))</f>
        <v>4.4361709586990807E-6</v>
      </c>
      <c r="AA94">
        <f t="shared" ca="1" si="30"/>
        <v>7.7666877079902732E-2</v>
      </c>
      <c r="AB94" s="67"/>
      <c r="AC94" s="67"/>
      <c r="AD94" s="67"/>
    </row>
    <row r="95" spans="1:30" s="37" customFormat="1" ht="15.5" x14ac:dyDescent="0.35">
      <c r="A95" s="43" t="s">
        <v>69</v>
      </c>
      <c r="B95" s="49">
        <f ca="1">('TFA Prevalences'!B94*('RR TFA'!C30-1))/(('TFA Prevalences'!B94*('RR TFA'!C30-1)+1))</f>
        <v>0</v>
      </c>
      <c r="C95" s="49">
        <f ca="1">('TFA Prevalences'!C94*('RR TFA'!D30-1))/(('TFA Prevalences'!C94*('RR TFA'!D30-1)+1))</f>
        <v>1.0269320214593734E-6</v>
      </c>
      <c r="D95" s="49">
        <f ca="1">('TFA Prevalences'!D94*('RR TFA'!E30-1))/(('TFA Prevalences'!D94*('RR TFA'!E30-1)+1))</f>
        <v>1.6592589598731758E-4</v>
      </c>
      <c r="E95" s="49">
        <f ca="1">('TFA Prevalences'!E94*('RR TFA'!F30-1))/(('TFA Prevalences'!E94*('RR TFA'!F30-1)+1))</f>
        <v>2.0034786524675604E-3</v>
      </c>
      <c r="F95" s="49">
        <f ca="1">('TFA Prevalences'!F94*('RR TFA'!G30-1))/(('TFA Prevalences'!F94*('RR TFA'!G30-1)+1))</f>
        <v>6.954469606207425E-3</v>
      </c>
      <c r="G95" s="49">
        <f ca="1">('TFA Prevalences'!G94*('RR TFA'!H30-1))/(('TFA Prevalences'!G94*('RR TFA'!H30-1)+1))</f>
        <v>1.2175295824852307E-2</v>
      </c>
      <c r="H95" s="49">
        <f ca="1">('TFA Prevalences'!H94*('RR TFA'!I30-1))/(('TFA Prevalences'!H94*('RR TFA'!I30-1)+1))</f>
        <v>1.4286891938880926E-2</v>
      </c>
      <c r="I95" s="49">
        <f ca="1">('TFA Prevalences'!I94*('RR TFA'!J30-1))/(('TFA Prevalences'!I94*('RR TFA'!J30-1)+1))</f>
        <v>1.3093282989465754E-2</v>
      </c>
      <c r="J95" s="49">
        <f ca="1">('TFA Prevalences'!J94*('RR TFA'!K30-1))/(('TFA Prevalences'!J94*('RR TFA'!K30-1)+1))</f>
        <v>1.0221475012348555E-2</v>
      </c>
      <c r="K95" s="49">
        <f ca="1">('TFA Prevalences'!K94*('RR TFA'!L30-1))/(('TFA Prevalences'!K94*('RR TFA'!L30-1)+1))</f>
        <v>7.1643316471305743E-3</v>
      </c>
      <c r="L95" s="49">
        <f ca="1">('TFA Prevalences'!L94*('RR TFA'!M30-1))/(('TFA Prevalences'!L94*('RR TFA'!M30-1)+1))</f>
        <v>4.6638518645897185E-3</v>
      </c>
      <c r="M95" s="49">
        <f ca="1">('TFA Prevalences'!M94*('RR TFA'!N30-1))/(('TFA Prevalences'!M94*('RR TFA'!N30-1)+1))</f>
        <v>2.8848659685409297E-3</v>
      </c>
      <c r="N95" s="49">
        <f ca="1">('TFA Prevalences'!N94*('RR TFA'!O30-1))/(('TFA Prevalences'!N94*('RR TFA'!O30-1)+1))</f>
        <v>1.7225954247234664E-3</v>
      </c>
      <c r="O95" s="49">
        <f ca="1">('TFA Prevalences'!O94*('RR TFA'!P30-1))/(('TFA Prevalences'!O94*('RR TFA'!P30-1)+1))</f>
        <v>1.0040793112949542E-3</v>
      </c>
      <c r="P95" s="49">
        <f ca="1">('TFA Prevalences'!P94*('RR TFA'!Q30-1))/(('TFA Prevalences'!P94*('RR TFA'!Q30-1)+1))</f>
        <v>5.7591313005476681E-4</v>
      </c>
      <c r="Q95" s="49">
        <f ca="1">('TFA Prevalences'!Q94*('RR TFA'!R30-1))/(('TFA Prevalences'!Q94*('RR TFA'!R30-1)+1))</f>
        <v>3.2694436780894136E-4</v>
      </c>
      <c r="R95" s="49">
        <f ca="1">('TFA Prevalences'!R94*('RR TFA'!S30-1))/(('TFA Prevalences'!R94*('RR TFA'!S30-1)+1))</f>
        <v>1.8448894144257178E-4</v>
      </c>
      <c r="S95" s="49">
        <f ca="1">('TFA Prevalences'!S94*('RR TFA'!T30-1))/(('TFA Prevalences'!S94*('RR TFA'!T30-1)+1))</f>
        <v>1.0380488216444917E-4</v>
      </c>
      <c r="T95" s="49">
        <f ca="1">('TFA Prevalences'!T94*('RR TFA'!U30-1))/(('TFA Prevalences'!T94*('RR TFA'!U30-1)+1))</f>
        <v>5.8376695091008519E-5</v>
      </c>
      <c r="U95" s="49">
        <f ca="1">('TFA Prevalences'!U94*('RR TFA'!V30-1))/(('TFA Prevalences'!U94*('RR TFA'!V30-1)+1))</f>
        <v>3.2870270775631364E-5</v>
      </c>
      <c r="V95" s="49">
        <f ca="1">('TFA Prevalences'!V94*('RR TFA'!W30-1))/(('TFA Prevalences'!V94*('RR TFA'!W30-1)+1))</f>
        <v>1.855610829304856E-5</v>
      </c>
      <c r="W95" s="49">
        <f ca="1">('TFA Prevalences'!W94*('RR TFA'!X30-1))/(('TFA Prevalences'!W94*('RR TFA'!X30-1)+1))</f>
        <v>1.0512967055823815E-5</v>
      </c>
      <c r="X95" s="49">
        <f ca="1">('TFA Prevalences'!X94*('RR TFA'!Y30-1))/(('TFA Prevalences'!X94*('RR TFA'!Y30-1)+1))</f>
        <v>5.9819802129342395E-6</v>
      </c>
      <c r="Y95" s="49">
        <f ca="1">('TFA Prevalences'!Y94*('RR TFA'!Z30-1))/(('TFA Prevalences'!Y94*('RR TFA'!Z30-1)+1))</f>
        <v>3.4204975338822644E-6</v>
      </c>
      <c r="Z95" s="49">
        <f ca="1">('TFA Prevalences'!Z94*('RR TFA'!AA30-1))/(('TFA Prevalences'!Z94*('RR TFA'!AA30-1)+1))</f>
        <v>4.4361709586990799E-6</v>
      </c>
      <c r="AA95">
        <f t="shared" ca="1" si="30"/>
        <v>7.7666877079902719E-2</v>
      </c>
      <c r="AB95" s="67"/>
      <c r="AC95" s="67"/>
      <c r="AD95" s="67"/>
    </row>
    <row r="96" spans="1:30" s="37" customFormat="1" ht="15.5" x14ac:dyDescent="0.35">
      <c r="A96" s="43" t="s">
        <v>70</v>
      </c>
      <c r="B96" s="49">
        <f ca="1">('TFA Prevalences'!B95*('RR TFA'!C31-1))/(('TFA Prevalences'!B95*('RR TFA'!C31-1)+1))</f>
        <v>0</v>
      </c>
      <c r="C96" s="49">
        <f ca="1">('TFA Prevalences'!C95*('RR TFA'!D31-1))/(('TFA Prevalences'!C95*('RR TFA'!D31-1)+1))</f>
        <v>8.5350041992594529E-7</v>
      </c>
      <c r="D96" s="49">
        <f ca="1">('TFA Prevalences'!D95*('RR TFA'!E31-1))/(('TFA Prevalences'!D95*('RR TFA'!E31-1)+1))</f>
        <v>1.3776848591451021E-4</v>
      </c>
      <c r="E96" s="49">
        <f ca="1">('TFA Prevalences'!E95*('RR TFA'!F31-1))/(('TFA Prevalences'!E95*('RR TFA'!F31-1)+1))</f>
        <v>1.6623273858643098E-3</v>
      </c>
      <c r="F96" s="49">
        <f ca="1">('TFA Prevalences'!F95*('RR TFA'!G31-1))/(('TFA Prevalences'!F95*('RR TFA'!G31-1)+1))</f>
        <v>5.7693084636636586E-3</v>
      </c>
      <c r="G96" s="49">
        <f ca="1">('TFA Prevalences'!G95*('RR TFA'!H31-1))/(('TFA Prevalences'!G95*('RR TFA'!H31-1)+1))</f>
        <v>1.0099265048576772E-2</v>
      </c>
      <c r="H96" s="49">
        <f ca="1">('TFA Prevalences'!H95*('RR TFA'!I31-1))/(('TFA Prevalences'!H95*('RR TFA'!I31-1)+1))</f>
        <v>1.1843137062576468E-2</v>
      </c>
      <c r="I96" s="49">
        <f ca="1">('TFA Prevalences'!I95*('RR TFA'!J31-1))/(('TFA Prevalences'!I95*('RR TFA'!J31-1)+1))</f>
        <v>1.0840417526345195E-2</v>
      </c>
      <c r="J96" s="49">
        <f ca="1">('TFA Prevalences'!J95*('RR TFA'!K31-1))/(('TFA Prevalences'!J95*('RR TFA'!K31-1)+1))</f>
        <v>8.4498576761024898E-3</v>
      </c>
      <c r="K96" s="49">
        <f ca="1">('TFA Prevalences'!K95*('RR TFA'!L31-1))/(('TFA Prevalences'!K95*('RR TFA'!L31-1)+1))</f>
        <v>5.9133299202311388E-3</v>
      </c>
      <c r="L96" s="49">
        <f ca="1">('TFA Prevalences'!L95*('RR TFA'!M31-1))/(('TFA Prevalences'!L95*('RR TFA'!M31-1)+1))</f>
        <v>3.8437997448649212E-3</v>
      </c>
      <c r="M96" s="49">
        <f ca="1">('TFA Prevalences'!M95*('RR TFA'!N31-1))/(('TFA Prevalences'!M95*('RR TFA'!N31-1)+1))</f>
        <v>2.374397688154708E-3</v>
      </c>
      <c r="N96" s="49">
        <f ca="1">('TFA Prevalences'!N95*('RR TFA'!O31-1))/(('TFA Prevalences'!N95*('RR TFA'!O31-1)+1))</f>
        <v>1.4160148238836618E-3</v>
      </c>
      <c r="O96" s="49">
        <f ca="1">('TFA Prevalences'!O95*('RR TFA'!P31-1))/(('TFA Prevalences'!O95*('RR TFA'!P31-1)+1))</f>
        <v>8.2440629708119793E-4</v>
      </c>
      <c r="P96" s="49">
        <f ca="1">('TFA Prevalences'!P95*('RR TFA'!Q31-1))/(('TFA Prevalences'!P95*('RR TFA'!Q31-1)+1))</f>
        <v>4.7232355825725983E-4</v>
      </c>
      <c r="Q96" s="49">
        <f ca="1">('TFA Prevalences'!Q95*('RR TFA'!R31-1))/(('TFA Prevalences'!Q95*('RR TFA'!R31-1)+1))</f>
        <v>2.6784158132092981E-4</v>
      </c>
      <c r="R96" s="49">
        <f ca="1">('TFA Prevalences'!R95*('RR TFA'!S31-1))/(('TFA Prevalences'!R95*('RR TFA'!S31-1)+1))</f>
        <v>1.5097416037411195E-4</v>
      </c>
      <c r="S96" s="49">
        <f ca="1">('TFA Prevalences'!S95*('RR TFA'!T31-1))/(('TFA Prevalences'!S95*('RR TFA'!T31-1)+1))</f>
        <v>8.4855776478390157E-5</v>
      </c>
      <c r="T96" s="49">
        <f ca="1">('TFA Prevalences'!T95*('RR TFA'!U31-1))/(('TFA Prevalences'!T95*('RR TFA'!U31-1)+1))</f>
        <v>4.7668956661023428E-5</v>
      </c>
      <c r="U96" s="49">
        <f ca="1">('TFA Prevalences'!U95*('RR TFA'!V31-1))/(('TFA Prevalences'!U95*('RR TFA'!V31-1)+1))</f>
        <v>2.6812166587534115E-5</v>
      </c>
      <c r="V96" s="49">
        <f ca="1">('TFA Prevalences'!V95*('RR TFA'!W31-1))/(('TFA Prevalences'!V95*('RR TFA'!W31-1)+1))</f>
        <v>1.5119843899050814E-5</v>
      </c>
      <c r="W96" s="49">
        <f ca="1">('TFA Prevalences'!W95*('RR TFA'!X31-1))/(('TFA Prevalences'!W95*('RR TFA'!X31-1)+1))</f>
        <v>8.5568990105580861E-6</v>
      </c>
      <c r="X96" s="49">
        <f ca="1">('TFA Prevalences'!X95*('RR TFA'!Y31-1))/(('TFA Prevalences'!X95*('RR TFA'!Y31-1)+1))</f>
        <v>4.863685284625661E-6</v>
      </c>
      <c r="Y96" s="49">
        <f ca="1">('TFA Prevalences'!Y95*('RR TFA'!Z31-1))/(('TFA Prevalences'!Y95*('RR TFA'!Z31-1)+1))</f>
        <v>2.7780351724237321E-6</v>
      </c>
      <c r="Z96" s="49">
        <f ca="1">('TFA Prevalences'!Z95*('RR TFA'!AA31-1))/(('TFA Prevalences'!Z95*('RR TFA'!AA31-1)+1))</f>
        <v>3.5990129399323124E-6</v>
      </c>
      <c r="AA96">
        <f t="shared" ca="1" si="30"/>
        <v>6.4260277299664811E-2</v>
      </c>
    </row>
    <row r="97" spans="1:27" s="37" customFormat="1" ht="15.5" x14ac:dyDescent="0.35">
      <c r="A97" s="43" t="s">
        <v>71</v>
      </c>
      <c r="B97" s="49">
        <f ca="1">('TFA Prevalences'!B96*('RR TFA'!C32-1))/(('TFA Prevalences'!B96*('RR TFA'!C32-1)+1))</f>
        <v>0</v>
      </c>
      <c r="C97" s="49">
        <f ca="1">('TFA Prevalences'!C96*('RR TFA'!D32-1))/(('TFA Prevalences'!C96*('RR TFA'!D32-1)+1))</f>
        <v>8.5350041992594518E-7</v>
      </c>
      <c r="D97" s="49">
        <f ca="1">('TFA Prevalences'!D96*('RR TFA'!E32-1))/(('TFA Prevalences'!D96*('RR TFA'!E32-1)+1))</f>
        <v>1.3776848591451018E-4</v>
      </c>
      <c r="E97" s="49">
        <f ca="1">('TFA Prevalences'!E96*('RR TFA'!F32-1))/(('TFA Prevalences'!E96*('RR TFA'!F32-1)+1))</f>
        <v>1.6623273858643098E-3</v>
      </c>
      <c r="F97" s="49">
        <f ca="1">('TFA Prevalences'!F96*('RR TFA'!G32-1))/(('TFA Prevalences'!F96*('RR TFA'!G32-1)+1))</f>
        <v>5.7693084636636586E-3</v>
      </c>
      <c r="G97" s="49">
        <f ca="1">('TFA Prevalences'!G96*('RR TFA'!H32-1))/(('TFA Prevalences'!G96*('RR TFA'!H32-1)+1))</f>
        <v>1.0099265048576774E-2</v>
      </c>
      <c r="H97" s="49">
        <f ca="1">('TFA Prevalences'!H96*('RR TFA'!I32-1))/(('TFA Prevalences'!H96*('RR TFA'!I32-1)+1))</f>
        <v>1.1843137062576468E-2</v>
      </c>
      <c r="I97" s="49">
        <f ca="1">('TFA Prevalences'!I96*('RR TFA'!J32-1))/(('TFA Prevalences'!I96*('RR TFA'!J32-1)+1))</f>
        <v>1.0840417526345195E-2</v>
      </c>
      <c r="J97" s="49">
        <f ca="1">('TFA Prevalences'!J96*('RR TFA'!K32-1))/(('TFA Prevalences'!J96*('RR TFA'!K32-1)+1))</f>
        <v>8.4498576761024916E-3</v>
      </c>
      <c r="K97" s="49">
        <f ca="1">('TFA Prevalences'!K96*('RR TFA'!L32-1))/(('TFA Prevalences'!K96*('RR TFA'!L32-1)+1))</f>
        <v>5.9133299202311388E-3</v>
      </c>
      <c r="L97" s="49">
        <f ca="1">('TFA Prevalences'!L96*('RR TFA'!M32-1))/(('TFA Prevalences'!L96*('RR TFA'!M32-1)+1))</f>
        <v>3.8437997448649212E-3</v>
      </c>
      <c r="M97" s="49">
        <f ca="1">('TFA Prevalences'!M96*('RR TFA'!N32-1))/(('TFA Prevalences'!M96*('RR TFA'!N32-1)+1))</f>
        <v>2.374397688154708E-3</v>
      </c>
      <c r="N97" s="49">
        <f ca="1">('TFA Prevalences'!N96*('RR TFA'!O32-1))/(('TFA Prevalences'!N96*('RR TFA'!O32-1)+1))</f>
        <v>1.4160148238836615E-3</v>
      </c>
      <c r="O97" s="49">
        <f ca="1">('TFA Prevalences'!O96*('RR TFA'!P32-1))/(('TFA Prevalences'!O96*('RR TFA'!P32-1)+1))</f>
        <v>8.2440629708119793E-4</v>
      </c>
      <c r="P97" s="49">
        <f ca="1">('TFA Prevalences'!P96*('RR TFA'!Q32-1))/(('TFA Prevalences'!P96*('RR TFA'!Q32-1)+1))</f>
        <v>4.7232355825725983E-4</v>
      </c>
      <c r="Q97" s="49">
        <f ca="1">('TFA Prevalences'!Q96*('RR TFA'!R32-1))/(('TFA Prevalences'!Q96*('RR TFA'!R32-1)+1))</f>
        <v>2.6784158132092976E-4</v>
      </c>
      <c r="R97" s="49">
        <f ca="1">('TFA Prevalences'!R96*('RR TFA'!S32-1))/(('TFA Prevalences'!R96*('RR TFA'!S32-1)+1))</f>
        <v>1.5097416037411195E-4</v>
      </c>
      <c r="S97" s="49">
        <f ca="1">('TFA Prevalences'!S96*('RR TFA'!T32-1))/(('TFA Prevalences'!S96*('RR TFA'!T32-1)+1))</f>
        <v>8.4855776478390144E-5</v>
      </c>
      <c r="T97" s="49">
        <f ca="1">('TFA Prevalences'!T96*('RR TFA'!U32-1))/(('TFA Prevalences'!T96*('RR TFA'!U32-1)+1))</f>
        <v>4.7668956661023428E-5</v>
      </c>
      <c r="U97" s="49">
        <f ca="1">('TFA Prevalences'!U96*('RR TFA'!V32-1))/(('TFA Prevalences'!U96*('RR TFA'!V32-1)+1))</f>
        <v>2.6812166587534115E-5</v>
      </c>
      <c r="V97" s="49">
        <f ca="1">('TFA Prevalences'!V96*('RR TFA'!W32-1))/(('TFA Prevalences'!V96*('RR TFA'!W32-1)+1))</f>
        <v>1.5119843899050814E-5</v>
      </c>
      <c r="W97" s="49">
        <f ca="1">('TFA Prevalences'!W96*('RR TFA'!X32-1))/(('TFA Prevalences'!W96*('RR TFA'!X32-1)+1))</f>
        <v>8.5568990105580861E-6</v>
      </c>
      <c r="X97" s="49">
        <f ca="1">('TFA Prevalences'!X96*('RR TFA'!Y32-1))/(('TFA Prevalences'!X96*('RR TFA'!Y32-1)+1))</f>
        <v>4.863685284625661E-6</v>
      </c>
      <c r="Y97" s="49">
        <f ca="1">('TFA Prevalences'!Y96*('RR TFA'!Z32-1))/(('TFA Prevalences'!Y96*('RR TFA'!Z32-1)+1))</f>
        <v>2.7780351724237321E-6</v>
      </c>
      <c r="Z97" s="49">
        <f ca="1">('TFA Prevalences'!Z96*('RR TFA'!AA32-1))/(('TFA Prevalences'!Z96*('RR TFA'!AA32-1)+1))</f>
        <v>3.5990129399323124E-6</v>
      </c>
      <c r="AA97">
        <f t="shared" ca="1" si="30"/>
        <v>6.4260277299664811E-2</v>
      </c>
    </row>
    <row r="98" spans="1:27" s="37" customFormat="1" ht="15.5" x14ac:dyDescent="0.35">
      <c r="A98" s="43" t="s">
        <v>72</v>
      </c>
      <c r="B98" s="49">
        <f ca="1">('TFA Prevalences'!B97*('RR TFA'!C33-1))/(('TFA Prevalences'!B97*('RR TFA'!C33-1)+1))</f>
        <v>0</v>
      </c>
      <c r="C98" s="49">
        <f ca="1">('TFA Prevalences'!C97*('RR TFA'!D33-1))/(('TFA Prevalences'!C97*('RR TFA'!D33-1)+1))</f>
        <v>6.3623926326639584E-7</v>
      </c>
      <c r="D98" s="49">
        <f ca="1">('TFA Prevalences'!D97*('RR TFA'!E33-1))/(('TFA Prevalences'!D97*('RR TFA'!E33-1)+1))</f>
        <v>1.0257272252582661E-4</v>
      </c>
      <c r="E98" s="49">
        <f ca="1">('TFA Prevalences'!E97*('RR TFA'!F33-1))/(('TFA Prevalences'!E97*('RR TFA'!F33-1)+1))</f>
        <v>1.2365649636699905E-3</v>
      </c>
      <c r="F98" s="49">
        <f ca="1">('TFA Prevalences'!F97*('RR TFA'!G33-1))/(('TFA Prevalences'!F97*('RR TFA'!G33-1)+1))</f>
        <v>4.2907306769511613E-3</v>
      </c>
      <c r="G98" s="49">
        <f ca="1">('TFA Prevalences'!G97*('RR TFA'!H33-1))/(('TFA Prevalences'!G97*('RR TFA'!H33-1)+1))</f>
        <v>7.509858598368304E-3</v>
      </c>
      <c r="H98" s="49">
        <f ca="1">('TFA Prevalences'!H97*('RR TFA'!I33-1))/(('TFA Prevalences'!H97*('RR TFA'!I33-1)+1))</f>
        <v>8.7994107403377899E-3</v>
      </c>
      <c r="I98" s="49">
        <f ca="1">('TFA Prevalences'!I97*('RR TFA'!J33-1))/(('TFA Prevalences'!I97*('RR TFA'!J33-1)+1))</f>
        <v>8.0420402743704347E-3</v>
      </c>
      <c r="J98" s="49">
        <f ca="1">('TFA Prevalences'!J97*('RR TFA'!K33-1))/(('TFA Prevalences'!J97*('RR TFA'!K33-1)+1))</f>
        <v>6.2566641545206362E-3</v>
      </c>
      <c r="K98" s="49">
        <f ca="1">('TFA Prevalences'!K97*('RR TFA'!L33-1))/(('TFA Prevalences'!K97*('RR TFA'!L33-1)+1))</f>
        <v>4.3699728122349648E-3</v>
      </c>
      <c r="L98" s="49">
        <f ca="1">('TFA Prevalences'!L97*('RR TFA'!M33-1))/(('TFA Prevalences'!L97*('RR TFA'!M33-1)+1))</f>
        <v>2.8353747526562688E-3</v>
      </c>
      <c r="M98" s="49">
        <f ca="1">('TFA Prevalences'!M97*('RR TFA'!N33-1))/(('TFA Prevalences'!M97*('RR TFA'!N33-1)+1))</f>
        <v>1.7485254154203363E-3</v>
      </c>
      <c r="N98" s="49">
        <f ca="1">('TFA Prevalences'!N97*('RR TFA'!O33-1))/(('TFA Prevalences'!N97*('RR TFA'!O33-1)+1))</f>
        <v>1.0411448519897306E-3</v>
      </c>
      <c r="O98" s="49">
        <f ca="1">('TFA Prevalences'!O97*('RR TFA'!P33-1))/(('TFA Prevalences'!O97*('RR TFA'!P33-1)+1))</f>
        <v>6.0527055195676587E-4</v>
      </c>
      <c r="P98" s="49">
        <f ca="1">('TFA Prevalences'!P97*('RR TFA'!Q33-1))/(('TFA Prevalences'!P97*('RR TFA'!Q33-1)+1))</f>
        <v>3.4628880011792178E-4</v>
      </c>
      <c r="Q98" s="49">
        <f ca="1">('TFA Prevalences'!Q97*('RR TFA'!R33-1))/(('TFA Prevalences'!Q97*('RR TFA'!R33-1)+1))</f>
        <v>1.9610232071251633E-4</v>
      </c>
      <c r="R98" s="49">
        <f ca="1">('TFA Prevalences'!R97*('RR TFA'!S33-1))/(('TFA Prevalences'!R97*('RR TFA'!S33-1)+1))</f>
        <v>1.1038796566182912E-4</v>
      </c>
      <c r="S98" s="49">
        <f ca="1">('TFA Prevalences'!S97*('RR TFA'!T33-1))/(('TFA Prevalences'!S97*('RR TFA'!T33-1)+1))</f>
        <v>6.1961105932186429E-5</v>
      </c>
      <c r="T98" s="49">
        <f ca="1">('TFA Prevalences'!T97*('RR TFA'!U33-1))/(('TFA Prevalences'!T97*('RR TFA'!U33-1)+1))</f>
        <v>3.4761123429391167E-5</v>
      </c>
      <c r="U98" s="49">
        <f ca="1">('TFA Prevalences'!U97*('RR TFA'!V33-1))/(('TFA Prevalences'!U97*('RR TFA'!V33-1)+1))</f>
        <v>1.9525887830781336E-5</v>
      </c>
      <c r="V98" s="49">
        <f ca="1">('TFA Prevalences'!V97*('RR TFA'!W33-1))/(('TFA Prevalences'!V97*('RR TFA'!W33-1)+1))</f>
        <v>1.0996295452656236E-5</v>
      </c>
      <c r="W98" s="49">
        <f ca="1">('TFA Prevalences'!W97*('RR TFA'!X33-1))/(('TFA Prevalences'!W97*('RR TFA'!X33-1)+1))</f>
        <v>6.2149083838784587E-6</v>
      </c>
      <c r="X98" s="49">
        <f ca="1">('TFA Prevalences'!X97*('RR TFA'!Y33-1))/(('TFA Prevalences'!X97*('RR TFA'!Y33-1)+1))</f>
        <v>3.5277823181064377E-6</v>
      </c>
      <c r="Y98" s="49">
        <f ca="1">('TFA Prevalences'!Y97*('RR TFA'!Z33-1))/(('TFA Prevalences'!Y97*('RR TFA'!Z33-1)+1))</f>
        <v>2.0122903939479505E-6</v>
      </c>
      <c r="Z98" s="49">
        <f ca="1">('TFA Prevalences'!Z97*('RR TFA'!AA33-1))/(('TFA Prevalences'!Z97*('RR TFA'!AA33-1)+1))</f>
        <v>2.6034646880713023E-6</v>
      </c>
      <c r="AA98">
        <f t="shared" ca="1" si="30"/>
        <v>4.7633148699186771E-2</v>
      </c>
    </row>
    <row r="99" spans="1:27" s="37" customFormat="1" ht="15.5" x14ac:dyDescent="0.35">
      <c r="A99" s="43" t="s">
        <v>78</v>
      </c>
      <c r="B99" s="49">
        <f ca="1">('TFA Prevalences'!B98*('RR TFA'!C34-1))/(('TFA Prevalences'!B98*('RR TFA'!C34-1)+1))</f>
        <v>0</v>
      </c>
      <c r="C99" s="49">
        <f ca="1">('TFA Prevalences'!C98*('RR TFA'!D34-1))/(('TFA Prevalences'!C98*('RR TFA'!D34-1)+1))</f>
        <v>6.3623926326639584E-7</v>
      </c>
      <c r="D99" s="49">
        <f ca="1">('TFA Prevalences'!D98*('RR TFA'!E34-1))/(('TFA Prevalences'!D98*('RR TFA'!E34-1)+1))</f>
        <v>1.0257272252582662E-4</v>
      </c>
      <c r="E99" s="49">
        <f ca="1">('TFA Prevalences'!E98*('RR TFA'!F34-1))/(('TFA Prevalences'!E98*('RR TFA'!F34-1)+1))</f>
        <v>1.2365649636699907E-3</v>
      </c>
      <c r="F99" s="49">
        <f ca="1">('TFA Prevalences'!F98*('RR TFA'!G34-1))/(('TFA Prevalences'!F98*('RR TFA'!G34-1)+1))</f>
        <v>4.2907306769511613E-3</v>
      </c>
      <c r="G99" s="49">
        <f ca="1">('TFA Prevalences'!G98*('RR TFA'!H34-1))/(('TFA Prevalences'!G98*('RR TFA'!H34-1)+1))</f>
        <v>7.509858598368304E-3</v>
      </c>
      <c r="H99" s="49">
        <f ca="1">('TFA Prevalences'!H98*('RR TFA'!I34-1))/(('TFA Prevalences'!H98*('RR TFA'!I34-1)+1))</f>
        <v>8.7994107403377899E-3</v>
      </c>
      <c r="I99" s="49">
        <f ca="1">('TFA Prevalences'!I98*('RR TFA'!J34-1))/(('TFA Prevalences'!I98*('RR TFA'!J34-1)+1))</f>
        <v>8.0420402743704347E-3</v>
      </c>
      <c r="J99" s="49">
        <f ca="1">('TFA Prevalences'!J98*('RR TFA'!K34-1))/(('TFA Prevalences'!J98*('RR TFA'!K34-1)+1))</f>
        <v>6.2566641545206362E-3</v>
      </c>
      <c r="K99" s="49">
        <f ca="1">('TFA Prevalences'!K98*('RR TFA'!L34-1))/(('TFA Prevalences'!K98*('RR TFA'!L34-1)+1))</f>
        <v>4.3699728122349648E-3</v>
      </c>
      <c r="L99" s="49">
        <f ca="1">('TFA Prevalences'!L98*('RR TFA'!M34-1))/(('TFA Prevalences'!L98*('RR TFA'!M34-1)+1))</f>
        <v>2.8353747526562688E-3</v>
      </c>
      <c r="M99" s="49">
        <f ca="1">('TFA Prevalences'!M98*('RR TFA'!N34-1))/(('TFA Prevalences'!M98*('RR TFA'!N34-1)+1))</f>
        <v>1.7485254154203363E-3</v>
      </c>
      <c r="N99" s="49">
        <f ca="1">('TFA Prevalences'!N98*('RR TFA'!O34-1))/(('TFA Prevalences'!N98*('RR TFA'!O34-1)+1))</f>
        <v>1.0411448519897306E-3</v>
      </c>
      <c r="O99" s="49">
        <f ca="1">('TFA Prevalences'!O98*('RR TFA'!P34-1))/(('TFA Prevalences'!O98*('RR TFA'!P34-1)+1))</f>
        <v>6.0527055195676587E-4</v>
      </c>
      <c r="P99" s="49">
        <f ca="1">('TFA Prevalences'!P98*('RR TFA'!Q34-1))/(('TFA Prevalences'!P98*('RR TFA'!Q34-1)+1))</f>
        <v>3.4628880011792178E-4</v>
      </c>
      <c r="Q99" s="49">
        <f ca="1">('TFA Prevalences'!Q98*('RR TFA'!R34-1))/(('TFA Prevalences'!Q98*('RR TFA'!R34-1)+1))</f>
        <v>1.9610232071251633E-4</v>
      </c>
      <c r="R99" s="49">
        <f ca="1">('TFA Prevalences'!R98*('RR TFA'!S34-1))/(('TFA Prevalences'!R98*('RR TFA'!S34-1)+1))</f>
        <v>1.1038796566182912E-4</v>
      </c>
      <c r="S99" s="49">
        <f ca="1">('TFA Prevalences'!S98*('RR TFA'!T34-1))/(('TFA Prevalences'!S98*('RR TFA'!T34-1)+1))</f>
        <v>6.1961105932186429E-5</v>
      </c>
      <c r="T99" s="49">
        <f ca="1">('TFA Prevalences'!T98*('RR TFA'!U34-1))/(('TFA Prevalences'!T98*('RR TFA'!U34-1)+1))</f>
        <v>3.4761123429391167E-5</v>
      </c>
      <c r="U99" s="49">
        <f ca="1">('TFA Prevalences'!U98*('RR TFA'!V34-1))/(('TFA Prevalences'!U98*('RR TFA'!V34-1)+1))</f>
        <v>1.9525887830781336E-5</v>
      </c>
      <c r="V99" s="49">
        <f ca="1">('TFA Prevalences'!V98*('RR TFA'!W34-1))/(('TFA Prevalences'!V98*('RR TFA'!W34-1)+1))</f>
        <v>1.0996295452656236E-5</v>
      </c>
      <c r="W99" s="49">
        <f ca="1">('TFA Prevalences'!W98*('RR TFA'!X34-1))/(('TFA Prevalences'!W98*('RR TFA'!X34-1)+1))</f>
        <v>6.2149083838784587E-6</v>
      </c>
      <c r="X99" s="49">
        <f ca="1">('TFA Prevalences'!X98*('RR TFA'!Y34-1))/(('TFA Prevalences'!X98*('RR TFA'!Y34-1)+1))</f>
        <v>3.5277823181064377E-6</v>
      </c>
      <c r="Y99" s="49">
        <f ca="1">('TFA Prevalences'!Y98*('RR TFA'!Z34-1))/(('TFA Prevalences'!Y98*('RR TFA'!Z34-1)+1))</f>
        <v>2.0122903939479505E-6</v>
      </c>
      <c r="Z99" s="49">
        <f ca="1">('TFA Prevalences'!Z98*('RR TFA'!AA34-1))/(('TFA Prevalences'!Z98*('RR TFA'!AA34-1)+1))</f>
        <v>2.6034646880713023E-6</v>
      </c>
      <c r="AA99">
        <f t="shared" ca="1" si="30"/>
        <v>4.7633148699186771E-2</v>
      </c>
    </row>
    <row r="100" spans="1:27" x14ac:dyDescent="0.35">
      <c r="A100" s="66"/>
    </row>
    <row r="101" spans="1:27" x14ac:dyDescent="0.35">
      <c r="A101" s="66"/>
    </row>
    <row r="102" spans="1:27" x14ac:dyDescent="0.35">
      <c r="A102" s="66"/>
    </row>
    <row r="103" spans="1:27" x14ac:dyDescent="0.35">
      <c r="A103" s="66"/>
    </row>
    <row r="104" spans="1:27" x14ac:dyDescent="0.35">
      <c r="A104" s="66"/>
    </row>
    <row r="105" spans="1:27" x14ac:dyDescent="0.35">
      <c r="A105" s="66"/>
    </row>
    <row r="106" spans="1:27" x14ac:dyDescent="0.35">
      <c r="A106" s="66"/>
    </row>
    <row r="107" spans="1:27" x14ac:dyDescent="0.35">
      <c r="A107" s="66"/>
    </row>
    <row r="108" spans="1:27" x14ac:dyDescent="0.35">
      <c r="A108" s="66"/>
    </row>
    <row r="109" spans="1:27" x14ac:dyDescent="0.35">
      <c r="A109" s="66"/>
    </row>
    <row r="110" spans="1:27" x14ac:dyDescent="0.35">
      <c r="A110" s="66"/>
    </row>
    <row r="111" spans="1:27" x14ac:dyDescent="0.35">
      <c r="A111" s="66"/>
    </row>
    <row r="112" spans="1:27" x14ac:dyDescent="0.35">
      <c r="A112" s="66"/>
    </row>
    <row r="113" spans="1:1" x14ac:dyDescent="0.35">
      <c r="A113" s="66"/>
    </row>
    <row r="114" spans="1:1" x14ac:dyDescent="0.35">
      <c r="A114" s="66"/>
    </row>
  </sheetData>
  <sheetProtection formatCells="0" formatColumns="0" formatRows="0" insertColumns="0" insertRows="0" insertHyperlinks="0" deleteColumns="0" deleteRows="0" sort="0" autoFilter="0" pivotTables="0"/>
  <mergeCells count="3">
    <mergeCell ref="A2:E2"/>
    <mergeCell ref="B36:F36"/>
    <mergeCell ref="B69:F69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AD114"/>
  <sheetViews>
    <sheetView zoomScaleNormal="100" workbookViewId="0">
      <selection activeCell="B38" sqref="B38"/>
    </sheetView>
  </sheetViews>
  <sheetFormatPr defaultColWidth="9.1796875" defaultRowHeight="14.5" x14ac:dyDescent="0.35"/>
  <cols>
    <col min="1" max="1" width="9.1796875" style="37"/>
    <col min="2" max="2" width="16" style="37" bestFit="1" customWidth="1"/>
    <col min="3" max="7" width="9.1796875" style="37"/>
    <col min="8" max="8" width="16.7265625" style="37" bestFit="1" customWidth="1"/>
    <col min="9" max="9" width="11.7265625" style="37" bestFit="1" customWidth="1"/>
    <col min="10" max="13" width="9.1796875" style="37"/>
    <col min="14" max="14" width="17.1796875" style="37" bestFit="1" customWidth="1"/>
    <col min="15" max="15" width="17.1796875" style="37" customWidth="1"/>
    <col min="16" max="20" width="9.1796875" style="37"/>
    <col min="21" max="21" width="16.7265625" style="37" bestFit="1" customWidth="1"/>
    <col min="22" max="22" width="11.7265625" style="37" bestFit="1" customWidth="1"/>
    <col min="23" max="23" width="9.1796875" style="37"/>
    <col min="24" max="24" width="15.453125" style="37" bestFit="1" customWidth="1"/>
    <col min="25" max="29" width="9.1796875" style="37"/>
    <col min="30" max="30" width="16.7265625" style="37" bestFit="1" customWidth="1"/>
    <col min="31" max="16384" width="9.1796875" style="37"/>
  </cols>
  <sheetData>
    <row r="1" spans="1:30" x14ac:dyDescent="0.35">
      <c r="A1" s="37" t="s">
        <v>82</v>
      </c>
    </row>
    <row r="2" spans="1:30" x14ac:dyDescent="0.35">
      <c r="A2" s="240"/>
      <c r="B2" s="240"/>
      <c r="C2" s="240"/>
      <c r="D2" s="240"/>
      <c r="E2" s="240"/>
      <c r="F2"/>
      <c r="G2" s="69"/>
      <c r="H2" s="69"/>
      <c r="M2" s="240"/>
      <c r="N2" s="240"/>
      <c r="O2" s="240"/>
      <c r="P2" s="240"/>
      <c r="Q2" s="240"/>
      <c r="R2" s="240"/>
      <c r="S2"/>
      <c r="T2" s="98"/>
      <c r="U2" s="74"/>
      <c r="W2" s="240"/>
      <c r="X2" s="240"/>
      <c r="Y2" s="240"/>
      <c r="Z2" s="240"/>
      <c r="AA2" s="240"/>
      <c r="AB2"/>
      <c r="AC2" s="74"/>
      <c r="AD2" s="74"/>
    </row>
    <row r="3" spans="1:30" x14ac:dyDescent="0.35">
      <c r="A3" s="70"/>
      <c r="B3" t="s">
        <v>135</v>
      </c>
      <c r="C3" t="s">
        <v>129</v>
      </c>
      <c r="D3"/>
      <c r="E3" t="s">
        <v>83</v>
      </c>
      <c r="F3" t="s">
        <v>44</v>
      </c>
      <c r="G3" t="s">
        <v>133</v>
      </c>
      <c r="H3" t="s">
        <v>132</v>
      </c>
      <c r="I3" t="s">
        <v>148</v>
      </c>
      <c r="J3" t="s">
        <v>149</v>
      </c>
      <c r="U3"/>
      <c r="W3" s="70"/>
      <c r="X3"/>
      <c r="Y3"/>
      <c r="Z3"/>
      <c r="AA3"/>
      <c r="AB3"/>
      <c r="AC3"/>
      <c r="AD3"/>
    </row>
    <row r="4" spans="1:30" x14ac:dyDescent="0.35">
      <c r="A4" s="71" t="s">
        <v>45</v>
      </c>
      <c r="B4" s="15">
        <f>'Baseline and counterfactual'!I3</f>
        <v>80</v>
      </c>
      <c r="C4">
        <f>'Baseline and counterfactual'!C3</f>
        <v>0.67901</v>
      </c>
      <c r="D4">
        <f>C4-'Baseline and counterfactual'!O3</f>
        <v>0.67901</v>
      </c>
      <c r="E4" s="84">
        <f ca="1">'RR TFA'!T41</f>
        <v>0.99999999998724998</v>
      </c>
      <c r="F4">
        <f>'TFA Prevalences'!O3</f>
        <v>0</v>
      </c>
      <c r="G4">
        <f ca="1">AA71-AA38</f>
        <v>-4.7175623112927594E-12</v>
      </c>
      <c r="H4" s="19">
        <f ca="1">B4*G4</f>
        <v>-3.7740498490342076E-10</v>
      </c>
      <c r="I4" s="19">
        <f ca="1">H4*1.28/1.42</f>
        <v>-3.4019604272984405E-10</v>
      </c>
      <c r="J4" s="19">
        <f t="shared" ref="J4:J5" ca="1" si="0">H4*1.57/1.42</f>
        <v>-4.1727170866082443E-10</v>
      </c>
      <c r="U4" s="15"/>
      <c r="V4" s="67"/>
      <c r="W4" s="71"/>
      <c r="X4" s="15"/>
      <c r="Y4"/>
      <c r="Z4"/>
      <c r="AA4"/>
      <c r="AB4"/>
      <c r="AC4"/>
      <c r="AD4" s="15"/>
    </row>
    <row r="5" spans="1:30" x14ac:dyDescent="0.35">
      <c r="A5" s="71" t="s">
        <v>46</v>
      </c>
      <c r="B5" s="15">
        <f>'Baseline and counterfactual'!I4</f>
        <v>134</v>
      </c>
      <c r="C5">
        <f>'Baseline and counterfactual'!C4</f>
        <v>0.67901</v>
      </c>
      <c r="D5">
        <f>C5-'Baseline and counterfactual'!O4</f>
        <v>0.67901</v>
      </c>
      <c r="E5" s="84">
        <f ca="1">'RR TFA'!T42</f>
        <v>0.99999999998724998</v>
      </c>
      <c r="F5">
        <f>'TFA Prevalences'!O4</f>
        <v>0</v>
      </c>
      <c r="G5">
        <f t="shared" ref="G5:G17" ca="1" si="1">AA72-AA39</f>
        <v>-4.7175623112927594E-12</v>
      </c>
      <c r="H5" s="19">
        <f t="shared" ref="H5:H32" ca="1" si="2">G5*B5</f>
        <v>-6.3215334971322979E-10</v>
      </c>
      <c r="I5" s="19">
        <f t="shared" ref="I5:I7" ca="1" si="3">H5*1.28/1.42</f>
        <v>-5.6982837157248881E-10</v>
      </c>
      <c r="J5" s="19">
        <f t="shared" ca="1" si="0"/>
        <v>-6.9893011200688095E-10</v>
      </c>
      <c r="U5" s="15"/>
      <c r="W5" s="71"/>
      <c r="X5" s="15"/>
      <c r="Y5"/>
      <c r="Z5"/>
      <c r="AA5"/>
      <c r="AB5"/>
      <c r="AC5"/>
      <c r="AD5" s="15"/>
    </row>
    <row r="6" spans="1:30" x14ac:dyDescent="0.35">
      <c r="A6" s="71" t="s">
        <v>47</v>
      </c>
      <c r="B6" s="15">
        <f>'Baseline and counterfactual'!I5</f>
        <v>192</v>
      </c>
      <c r="C6">
        <f>'Baseline and counterfactual'!C5</f>
        <v>0.67901</v>
      </c>
      <c r="D6">
        <f>C6-'Baseline and counterfactual'!O5</f>
        <v>0.67901</v>
      </c>
      <c r="E6" s="84">
        <f ca="1">'RR TFA'!T43</f>
        <v>1.1765806805946857</v>
      </c>
      <c r="F6">
        <f>'TFA Prevalences'!O5</f>
        <v>0</v>
      </c>
      <c r="G6">
        <f t="shared" ca="1" si="1"/>
        <v>6.1759158727746365E-2</v>
      </c>
      <c r="H6" s="19">
        <f t="shared" ca="1" si="2"/>
        <v>11.857758475727302</v>
      </c>
      <c r="I6" s="19">
        <f t="shared" ca="1" si="3"/>
        <v>10.688683696430244</v>
      </c>
      <c r="J6" s="19">
        <f ca="1">H6*1.57/1.42</f>
        <v>13.110338596402721</v>
      </c>
      <c r="U6" s="15"/>
      <c r="W6" s="71"/>
      <c r="X6" s="15"/>
      <c r="Y6"/>
      <c r="Z6"/>
      <c r="AA6"/>
      <c r="AB6"/>
      <c r="AC6"/>
      <c r="AD6" s="15"/>
    </row>
    <row r="7" spans="1:30" x14ac:dyDescent="0.35">
      <c r="A7" s="71" t="s">
        <v>48</v>
      </c>
      <c r="B7" s="15">
        <f>'Baseline and counterfactual'!I6</f>
        <v>322</v>
      </c>
      <c r="C7">
        <f>'Baseline and counterfactual'!C6</f>
        <v>0.67901</v>
      </c>
      <c r="D7">
        <f>C7-'Baseline and counterfactual'!O6</f>
        <v>0.67901</v>
      </c>
      <c r="E7" s="84">
        <f ca="1">'RR TFA'!T44</f>
        <v>1.1765806805946857</v>
      </c>
      <c r="F7">
        <f>'TFA Prevalences'!O6</f>
        <v>0</v>
      </c>
      <c r="G7">
        <f t="shared" ca="1" si="1"/>
        <v>6.1759158727746365E-2</v>
      </c>
      <c r="H7" s="19">
        <f t="shared" ca="1" si="2"/>
        <v>19.886449110334329</v>
      </c>
      <c r="I7" s="19">
        <f t="shared" ca="1" si="3"/>
        <v>17.925813282554888</v>
      </c>
      <c r="J7" s="19">
        <f t="shared" ref="J7" ca="1" si="4">H7*1.57/1.42</f>
        <v>21.987130354383734</v>
      </c>
      <c r="U7" s="15"/>
      <c r="W7" s="71"/>
      <c r="X7" s="15"/>
      <c r="Y7"/>
      <c r="Z7"/>
      <c r="AA7"/>
      <c r="AB7"/>
      <c r="AC7"/>
      <c r="AD7" s="15"/>
    </row>
    <row r="8" spans="1:30" x14ac:dyDescent="0.35">
      <c r="A8" s="71" t="s">
        <v>49</v>
      </c>
      <c r="B8" s="15">
        <f>'Baseline and counterfactual'!I7</f>
        <v>563</v>
      </c>
      <c r="C8">
        <f>'Baseline and counterfactual'!C7</f>
        <v>0.67901</v>
      </c>
      <c r="D8">
        <f>C8-'Baseline and counterfactual'!O7</f>
        <v>0.67901</v>
      </c>
      <c r="E8" s="84">
        <f ca="1">'RR TFA'!T45</f>
        <v>1.1683160005025754</v>
      </c>
      <c r="F8">
        <f>'TFA Prevalences'!O7</f>
        <v>0</v>
      </c>
      <c r="G8">
        <f t="shared" ca="1" si="1"/>
        <v>5.901488262923979E-2</v>
      </c>
      <c r="H8" s="19">
        <f t="shared" ca="1" si="2"/>
        <v>33.225378920262003</v>
      </c>
      <c r="I8" s="19">
        <f ca="1">H8*1.27/1.4</f>
        <v>30.140165163380534</v>
      </c>
      <c r="J8" s="19">
        <f ca="1">H8*1.54/1.4</f>
        <v>36.547916812288207</v>
      </c>
      <c r="U8" s="15"/>
      <c r="W8" s="71"/>
      <c r="X8" s="15"/>
      <c r="Y8"/>
      <c r="Z8"/>
      <c r="AA8"/>
      <c r="AB8"/>
      <c r="AC8"/>
      <c r="AD8" s="15"/>
    </row>
    <row r="9" spans="1:30" x14ac:dyDescent="0.35">
      <c r="A9" s="71" t="s">
        <v>50</v>
      </c>
      <c r="B9" s="15">
        <f>'Baseline and counterfactual'!I8</f>
        <v>990</v>
      </c>
      <c r="C9">
        <f>'Baseline and counterfactual'!C8</f>
        <v>0.67901</v>
      </c>
      <c r="D9">
        <f>C9-'Baseline and counterfactual'!O8</f>
        <v>0.67901</v>
      </c>
      <c r="E9" s="84">
        <f ca="1">'RR TFA'!T46</f>
        <v>1.1683160005025754</v>
      </c>
      <c r="F9">
        <f>'TFA Prevalences'!O8</f>
        <v>0</v>
      </c>
      <c r="G9">
        <f t="shared" ca="1" si="1"/>
        <v>5.901488262923979E-2</v>
      </c>
      <c r="H9" s="19">
        <f t="shared" ca="1" si="2"/>
        <v>58.424733802947394</v>
      </c>
      <c r="I9" s="19">
        <f t="shared" ref="I9" ca="1" si="5">H9*1.27/1.4</f>
        <v>52.999579949816571</v>
      </c>
      <c r="J9" s="19">
        <f t="shared" ref="J9" ca="1" si="6">H9*1.54/1.4</f>
        <v>64.267207183242135</v>
      </c>
      <c r="U9" s="15"/>
      <c r="W9" s="71"/>
      <c r="X9" s="15"/>
      <c r="Y9"/>
      <c r="Z9"/>
      <c r="AA9"/>
      <c r="AB9"/>
      <c r="AC9"/>
      <c r="AD9" s="15"/>
    </row>
    <row r="10" spans="1:30" x14ac:dyDescent="0.35">
      <c r="A10" s="71" t="s">
        <v>51</v>
      </c>
      <c r="B10" s="15">
        <f>'Baseline and counterfactual'!I9</f>
        <v>1577</v>
      </c>
      <c r="C10">
        <f>'Baseline and counterfactual'!C9</f>
        <v>0.67901</v>
      </c>
      <c r="D10">
        <f>C10-'Baseline and counterfactual'!O9</f>
        <v>0.67901</v>
      </c>
      <c r="E10" s="84">
        <f ca="1">'RR TFA'!T47</f>
        <v>1.1393076097906951</v>
      </c>
      <c r="F10">
        <f>'TFA Prevalences'!O9</f>
        <v>0</v>
      </c>
      <c r="G10">
        <f t="shared" ca="1" si="1"/>
        <v>4.9276797706768669E-2</v>
      </c>
      <c r="H10" s="19">
        <f t="shared" ca="1" si="2"/>
        <v>77.709509983574193</v>
      </c>
      <c r="I10" s="19">
        <f ca="1">H10*1.22/1.33</f>
        <v>71.282407654105654</v>
      </c>
      <c r="J10" s="19">
        <f ca="1">H10*1.45/1.33</f>
        <v>84.720894342994413</v>
      </c>
      <c r="U10" s="15"/>
      <c r="W10" s="71"/>
      <c r="X10" s="15"/>
      <c r="Y10"/>
      <c r="Z10"/>
      <c r="AA10"/>
      <c r="AB10"/>
      <c r="AC10"/>
      <c r="AD10" s="15"/>
    </row>
    <row r="11" spans="1:30" x14ac:dyDescent="0.35">
      <c r="A11" s="71" t="s">
        <v>52</v>
      </c>
      <c r="B11" s="15">
        <f>'Baseline and counterfactual'!I10</f>
        <v>2496</v>
      </c>
      <c r="C11">
        <f>'Baseline and counterfactual'!C10</f>
        <v>0.67901</v>
      </c>
      <c r="D11">
        <f>C11-'Baseline and counterfactual'!O10</f>
        <v>0.67901</v>
      </c>
      <c r="E11" s="84">
        <f ca="1">'RR TFA'!T48</f>
        <v>1.1393076097906951</v>
      </c>
      <c r="F11">
        <f>'TFA Prevalences'!O10</f>
        <v>0</v>
      </c>
      <c r="G11">
        <f t="shared" ca="1" si="1"/>
        <v>4.9276797706768669E-2</v>
      </c>
      <c r="H11" s="19">
        <f t="shared" ca="1" si="2"/>
        <v>122.9948870760946</v>
      </c>
      <c r="I11" s="19">
        <f t="shared" ref="I11" ca="1" si="7">H11*1.22/1.33</f>
        <v>112.82237761867323</v>
      </c>
      <c r="J11" s="19">
        <f t="shared" ref="J11" ca="1" si="8">H11*1.45/1.33</f>
        <v>134.09217012055424</v>
      </c>
      <c r="U11" s="15"/>
      <c r="W11" s="71"/>
      <c r="X11" s="15"/>
      <c r="Y11"/>
      <c r="Z11"/>
      <c r="AA11"/>
      <c r="AB11"/>
      <c r="AC11"/>
      <c r="AD11" s="15"/>
    </row>
    <row r="12" spans="1:30" x14ac:dyDescent="0.35">
      <c r="A12" s="71" t="s">
        <v>53</v>
      </c>
      <c r="B12" s="15">
        <f>'Baseline and counterfactual'!I11</f>
        <v>3370</v>
      </c>
      <c r="C12">
        <f>'Baseline and counterfactual'!C11</f>
        <v>0.67901</v>
      </c>
      <c r="D12">
        <f>C12-'Baseline and counterfactual'!O11</f>
        <v>0.67901</v>
      </c>
      <c r="E12" s="84">
        <f ca="1">'RR TFA'!T49</f>
        <v>1.113644258345001</v>
      </c>
      <c r="F12">
        <f>'TFA Prevalences'!O11</f>
        <v>0</v>
      </c>
      <c r="G12">
        <f t="shared" ca="1" si="1"/>
        <v>4.0519959377550978E-2</v>
      </c>
      <c r="H12" s="19">
        <f t="shared" ca="1" si="2"/>
        <v>136.55226310234679</v>
      </c>
      <c r="I12" s="19">
        <f ca="1">H12*1.18/1.27</f>
        <v>126.87533107147179</v>
      </c>
      <c r="J12" s="19">
        <f ca="1">H12*1.36/1.27</f>
        <v>146.22919513322176</v>
      </c>
      <c r="U12" s="15"/>
      <c r="W12" s="71"/>
      <c r="X12" s="15"/>
      <c r="Y12"/>
      <c r="Z12"/>
      <c r="AA12"/>
      <c r="AB12"/>
      <c r="AC12"/>
      <c r="AD12" s="15"/>
    </row>
    <row r="13" spans="1:30" x14ac:dyDescent="0.35">
      <c r="A13" s="71" t="s">
        <v>54</v>
      </c>
      <c r="B13" s="15">
        <f>'Baseline and counterfactual'!I12</f>
        <v>4651</v>
      </c>
      <c r="C13">
        <f>'Baseline and counterfactual'!C12</f>
        <v>0.67901</v>
      </c>
      <c r="D13">
        <f>C13-'Baseline and counterfactual'!O12</f>
        <v>0.67901</v>
      </c>
      <c r="E13" s="84">
        <f ca="1">'RR TFA'!T50</f>
        <v>1.113644258345001</v>
      </c>
      <c r="F13">
        <f>'TFA Prevalences'!O12</f>
        <v>0</v>
      </c>
      <c r="G13">
        <f t="shared" ca="1" si="1"/>
        <v>4.0519959377550978E-2</v>
      </c>
      <c r="H13" s="19">
        <f t="shared" ca="1" si="2"/>
        <v>188.45833106498961</v>
      </c>
      <c r="I13" s="19">
        <f t="shared" ref="I13" ca="1" si="9">H13*1.18/1.27</f>
        <v>175.10301626510844</v>
      </c>
      <c r="J13" s="19">
        <f t="shared" ref="J13" ca="1" si="10">H13*1.36/1.27</f>
        <v>201.81364586487075</v>
      </c>
      <c r="U13" s="15"/>
      <c r="W13" s="71"/>
      <c r="X13" s="15"/>
      <c r="Y13"/>
      <c r="Z13"/>
      <c r="AA13"/>
      <c r="AB13"/>
      <c r="AC13"/>
      <c r="AD13" s="15"/>
    </row>
    <row r="14" spans="1:30" x14ac:dyDescent="0.35">
      <c r="A14" s="71" t="s">
        <v>55</v>
      </c>
      <c r="B14" s="15">
        <f>'Baseline and counterfactual'!I13</f>
        <v>5776</v>
      </c>
      <c r="C14">
        <f>'Baseline and counterfactual'!C13</f>
        <v>0.67901</v>
      </c>
      <c r="D14">
        <f>C14-'Baseline and counterfactual'!O13</f>
        <v>0.67901</v>
      </c>
      <c r="E14" s="84">
        <f ca="1">'RR TFA'!T51</f>
        <v>1.0927593520833538</v>
      </c>
      <c r="F14">
        <f>'TFA Prevalences'!O13</f>
        <v>0</v>
      </c>
      <c r="G14">
        <f t="shared" ca="1" si="1"/>
        <v>3.3291717011220613E-2</v>
      </c>
      <c r="H14" s="19">
        <f t="shared" ca="1" si="2"/>
        <v>192.29295745681026</v>
      </c>
      <c r="I14" s="19">
        <f ca="1">H14*1.15/1.22</f>
        <v>181.25975497978013</v>
      </c>
      <c r="J14" s="19">
        <f ca="1">H14*1.29/1.22</f>
        <v>203.32615993384036</v>
      </c>
      <c r="U14" s="15"/>
      <c r="W14" s="71"/>
      <c r="X14" s="15"/>
      <c r="Y14"/>
      <c r="Z14"/>
      <c r="AA14"/>
      <c r="AB14"/>
      <c r="AC14"/>
      <c r="AD14" s="15"/>
    </row>
    <row r="15" spans="1:30" x14ac:dyDescent="0.35">
      <c r="A15" s="71" t="s">
        <v>56</v>
      </c>
      <c r="B15" s="15">
        <f>'Baseline and counterfactual'!I14</f>
        <v>6596</v>
      </c>
      <c r="C15">
        <f>'Baseline and counterfactual'!C14</f>
        <v>0.67901</v>
      </c>
      <c r="D15">
        <f>C15-'Baseline and counterfactual'!O14</f>
        <v>0.67901</v>
      </c>
      <c r="E15" s="84">
        <f ca="1">'RR TFA'!T52</f>
        <v>1.0927593520833538</v>
      </c>
      <c r="F15">
        <f>'TFA Prevalences'!O14</f>
        <v>0</v>
      </c>
      <c r="G15">
        <f t="shared" ca="1" si="1"/>
        <v>3.3291717011220613E-2</v>
      </c>
      <c r="H15" s="19">
        <f t="shared" ca="1" si="2"/>
        <v>219.59216540601116</v>
      </c>
      <c r="I15" s="19">
        <f t="shared" ref="I15" ca="1" si="11">H15*1.15/1.22</f>
        <v>206.99261493189576</v>
      </c>
      <c r="J15" s="19">
        <f t="shared" ref="J15" ca="1" si="12">H15*1.29/1.22</f>
        <v>232.19171588012657</v>
      </c>
      <c r="U15" s="15"/>
      <c r="W15" s="71"/>
      <c r="X15" s="15"/>
      <c r="Y15"/>
      <c r="Z15"/>
      <c r="AA15"/>
      <c r="AB15"/>
      <c r="AC15"/>
      <c r="AD15" s="15"/>
    </row>
    <row r="16" spans="1:30" x14ac:dyDescent="0.35">
      <c r="A16" s="71" t="s">
        <v>57</v>
      </c>
      <c r="B16" s="15">
        <f>'Baseline and counterfactual'!I15</f>
        <v>7547</v>
      </c>
      <c r="C16">
        <f>'Baseline and counterfactual'!C15</f>
        <v>0.67901</v>
      </c>
      <c r="D16">
        <f>C16-'Baseline and counterfactual'!O15</f>
        <v>0.67901</v>
      </c>
      <c r="E16" s="84">
        <f ca="1">'RR TFA'!T53</f>
        <v>1.0676039996827908</v>
      </c>
      <c r="F16">
        <f>'TFA Prevalences'!O15</f>
        <v>0</v>
      </c>
      <c r="G16">
        <f t="shared" ca="1" si="1"/>
        <v>2.4459591519117727E-2</v>
      </c>
      <c r="H16" s="19">
        <f t="shared" ca="1" si="2"/>
        <v>184.59653719478149</v>
      </c>
      <c r="I16" s="19">
        <f ca="1">H16*1.11/1.16</f>
        <v>176.63978990190301</v>
      </c>
      <c r="J16" s="19">
        <f ca="1">H16*1.21/1.16</f>
        <v>192.55328448765999</v>
      </c>
      <c r="U16" s="15"/>
      <c r="W16" s="71"/>
      <c r="X16" s="15"/>
      <c r="Y16"/>
      <c r="Z16"/>
      <c r="AA16"/>
      <c r="AB16"/>
      <c r="AC16"/>
      <c r="AD16" s="15"/>
    </row>
    <row r="17" spans="1:30" x14ac:dyDescent="0.35">
      <c r="A17" s="71" t="s">
        <v>84</v>
      </c>
      <c r="B17" s="15">
        <f>'Baseline and counterfactual'!I16</f>
        <v>15790</v>
      </c>
      <c r="C17">
        <f>'Baseline and counterfactual'!C16</f>
        <v>0.67901</v>
      </c>
      <c r="D17">
        <f>C17-'Baseline and counterfactual'!O16</f>
        <v>0.67901</v>
      </c>
      <c r="E17" s="84">
        <f ca="1">'RR TFA'!T54</f>
        <v>1.0676039996827908</v>
      </c>
      <c r="F17">
        <f>'TFA Prevalences'!O16</f>
        <v>0</v>
      </c>
      <c r="G17">
        <f t="shared" ca="1" si="1"/>
        <v>2.4459591519117727E-2</v>
      </c>
      <c r="H17" s="19">
        <f t="shared" ca="1" si="2"/>
        <v>386.21695008686891</v>
      </c>
      <c r="I17" s="19">
        <f ca="1">H17*1.11/1.16</f>
        <v>369.56966775553843</v>
      </c>
      <c r="J17" s="19">
        <f ca="1">H17*1.21/1.16</f>
        <v>402.86423241819949</v>
      </c>
      <c r="U17" s="15"/>
      <c r="W17" s="71"/>
      <c r="X17" s="15"/>
      <c r="Y17"/>
      <c r="Z17"/>
      <c r="AA17"/>
      <c r="AB17"/>
      <c r="AC17"/>
      <c r="AD17" s="15"/>
    </row>
    <row r="18" spans="1:30" x14ac:dyDescent="0.35">
      <c r="A18" s="71"/>
      <c r="B18" s="72"/>
      <c r="C18"/>
      <c r="D18"/>
      <c r="E18"/>
      <c r="F18"/>
      <c r="G18"/>
      <c r="H18" s="19"/>
      <c r="I18" s="19"/>
      <c r="J18" s="19"/>
      <c r="U18" s="15"/>
      <c r="W18" s="71"/>
      <c r="X18" s="15"/>
      <c r="Y18"/>
      <c r="Z18"/>
      <c r="AA18"/>
      <c r="AB18"/>
      <c r="AC18"/>
      <c r="AD18" s="15"/>
    </row>
    <row r="19" spans="1:30" x14ac:dyDescent="0.35">
      <c r="A19" s="71" t="s">
        <v>60</v>
      </c>
      <c r="B19" s="15">
        <f>'Baseline and counterfactual'!I20</f>
        <v>65</v>
      </c>
      <c r="C19">
        <f>'Baseline and counterfactual'!C20</f>
        <v>0.67901</v>
      </c>
      <c r="D19">
        <f>C19-'Baseline and counterfactual'!O20</f>
        <v>0.67901</v>
      </c>
      <c r="E19" s="84">
        <f ca="1">'RR TFA'!T58</f>
        <v>0.99999999998724998</v>
      </c>
      <c r="F19">
        <f>'TFA Prevalences'!O18</f>
        <v>0</v>
      </c>
      <c r="G19">
        <f ca="1">AA86-AA53</f>
        <v>-4.7175623112927594E-12</v>
      </c>
      <c r="H19" s="19">
        <f t="shared" ca="1" si="2"/>
        <v>-3.0664155023402937E-10</v>
      </c>
      <c r="I19" s="19">
        <f ca="1">H19*1.28/1.42</f>
        <v>-2.7640928471799836E-10</v>
      </c>
      <c r="J19" s="19">
        <f t="shared" ref="J19:J20" ca="1" si="13">H19*1.57/1.42</f>
        <v>-3.3903326328691979E-10</v>
      </c>
      <c r="U19" s="15"/>
      <c r="W19" s="71"/>
      <c r="X19" s="15"/>
      <c r="Y19"/>
      <c r="Z19"/>
      <c r="AA19"/>
      <c r="AB19"/>
      <c r="AC19"/>
      <c r="AD19" s="15"/>
    </row>
    <row r="20" spans="1:30" x14ac:dyDescent="0.35">
      <c r="A20" s="71" t="s">
        <v>61</v>
      </c>
      <c r="B20" s="15">
        <f>'Baseline and counterfactual'!I21</f>
        <v>93</v>
      </c>
      <c r="C20">
        <f>'Baseline and counterfactual'!C21</f>
        <v>0.67901</v>
      </c>
      <c r="D20">
        <f>C20-'Baseline and counterfactual'!O21</f>
        <v>0.67901</v>
      </c>
      <c r="E20" s="84">
        <f ca="1">'RR TFA'!T59</f>
        <v>0.99999999998724998</v>
      </c>
      <c r="F20">
        <f>'TFA Prevalences'!O19</f>
        <v>0</v>
      </c>
      <c r="G20">
        <f t="shared" ref="G20:G32" ca="1" si="14">AA87-AA54</f>
        <v>-4.7175623112927594E-12</v>
      </c>
      <c r="H20" s="19">
        <f t="shared" ca="1" si="2"/>
        <v>-4.3873329495022662E-10</v>
      </c>
      <c r="I20" s="19">
        <f t="shared" ref="I20:I22" ca="1" si="15">H20*1.28/1.42</f>
        <v>-3.9547789967344374E-10</v>
      </c>
      <c r="J20" s="19">
        <f t="shared" ca="1" si="13"/>
        <v>-4.8507836131820834E-10</v>
      </c>
      <c r="U20" s="15"/>
      <c r="W20" s="71"/>
      <c r="X20" s="15"/>
      <c r="Y20"/>
      <c r="Z20"/>
      <c r="AA20"/>
      <c r="AB20"/>
      <c r="AC20"/>
      <c r="AD20" s="15"/>
    </row>
    <row r="21" spans="1:30" x14ac:dyDescent="0.35">
      <c r="A21" s="71" t="s">
        <v>62</v>
      </c>
      <c r="B21" s="15">
        <f>'Baseline and counterfactual'!I22</f>
        <v>149</v>
      </c>
      <c r="C21">
        <f>'Baseline and counterfactual'!C22</f>
        <v>0.67901</v>
      </c>
      <c r="D21">
        <f>C21-'Baseline and counterfactual'!O22</f>
        <v>0.67901</v>
      </c>
      <c r="E21" s="84">
        <f ca="1">'RR TFA'!T60</f>
        <v>1.1765806805946857</v>
      </c>
      <c r="F21">
        <f>'TFA Prevalences'!O20</f>
        <v>0</v>
      </c>
      <c r="G21">
        <f t="shared" ca="1" si="14"/>
        <v>6.1759158727746365E-2</v>
      </c>
      <c r="H21" s="19">
        <f t="shared" ca="1" si="2"/>
        <v>9.2021146504342077</v>
      </c>
      <c r="I21" s="19">
        <f t="shared" ca="1" si="15"/>
        <v>8.2948639102505535</v>
      </c>
      <c r="J21" s="19">
        <f ca="1">H21*1.57/1.42</f>
        <v>10.174169014916695</v>
      </c>
      <c r="U21" s="15"/>
      <c r="W21" s="71"/>
      <c r="X21" s="15"/>
      <c r="Y21"/>
      <c r="Z21"/>
      <c r="AA21"/>
      <c r="AB21"/>
      <c r="AC21"/>
      <c r="AD21" s="15"/>
    </row>
    <row r="22" spans="1:30" x14ac:dyDescent="0.35">
      <c r="A22" s="71" t="s">
        <v>63</v>
      </c>
      <c r="B22" s="15">
        <f>'Baseline and counterfactual'!I23</f>
        <v>326</v>
      </c>
      <c r="C22">
        <f>'Baseline and counterfactual'!C23</f>
        <v>0.67901</v>
      </c>
      <c r="D22">
        <f>C22-'Baseline and counterfactual'!O23</f>
        <v>0.67901</v>
      </c>
      <c r="E22" s="84">
        <f ca="1">'RR TFA'!T61</f>
        <v>1.1765806805946857</v>
      </c>
      <c r="F22">
        <f>'TFA Prevalences'!O21</f>
        <v>0</v>
      </c>
      <c r="G22">
        <f t="shared" ca="1" si="14"/>
        <v>6.1759158727746365E-2</v>
      </c>
      <c r="H22" s="19">
        <f t="shared" ca="1" si="2"/>
        <v>20.133485745245316</v>
      </c>
      <c r="I22" s="19">
        <f t="shared" ca="1" si="15"/>
        <v>18.148494192897189</v>
      </c>
      <c r="J22" s="19">
        <f t="shared" ref="J22" ca="1" si="16">H22*1.57/1.42</f>
        <v>22.260262408475459</v>
      </c>
      <c r="U22" s="15"/>
      <c r="W22" s="71"/>
      <c r="X22" s="15"/>
      <c r="Y22"/>
      <c r="Z22"/>
      <c r="AA22"/>
      <c r="AB22"/>
      <c r="AC22"/>
      <c r="AD22" s="15"/>
    </row>
    <row r="23" spans="1:30" x14ac:dyDescent="0.35">
      <c r="A23" s="71" t="s">
        <v>64</v>
      </c>
      <c r="B23" s="15">
        <f>'Baseline and counterfactual'!I24</f>
        <v>573</v>
      </c>
      <c r="C23">
        <f>'Baseline and counterfactual'!C24</f>
        <v>0.67901</v>
      </c>
      <c r="D23">
        <f>C23-'Baseline and counterfactual'!O24</f>
        <v>0.67901</v>
      </c>
      <c r="E23" s="84">
        <f ca="1">'RR TFA'!T62</f>
        <v>1.1683160005025754</v>
      </c>
      <c r="F23">
        <f>'TFA Prevalences'!O22</f>
        <v>0</v>
      </c>
      <c r="G23">
        <f t="shared" ca="1" si="14"/>
        <v>5.901488262923979E-2</v>
      </c>
      <c r="H23" s="19">
        <f t="shared" ca="1" si="2"/>
        <v>33.815527746554402</v>
      </c>
      <c r="I23" s="19">
        <f ca="1">H23*1.27/1.4</f>
        <v>30.675514455802922</v>
      </c>
      <c r="J23" s="19">
        <f ca="1">H23*1.54/1.4</f>
        <v>37.197080521209848</v>
      </c>
      <c r="U23" s="15"/>
      <c r="W23" s="71"/>
      <c r="X23" s="15"/>
      <c r="Y23"/>
      <c r="Z23"/>
      <c r="AA23"/>
      <c r="AB23"/>
      <c r="AC23"/>
      <c r="AD23" s="15"/>
    </row>
    <row r="24" spans="1:30" x14ac:dyDescent="0.35">
      <c r="A24" s="71" t="s">
        <v>65</v>
      </c>
      <c r="B24" s="15">
        <f>'Baseline and counterfactual'!I25</f>
        <v>899</v>
      </c>
      <c r="C24">
        <f>'Baseline and counterfactual'!C25</f>
        <v>0.67901</v>
      </c>
      <c r="D24">
        <f>C24-'Baseline and counterfactual'!O25</f>
        <v>0.67901</v>
      </c>
      <c r="E24" s="84">
        <f ca="1">'RR TFA'!T63</f>
        <v>1.1683160005025754</v>
      </c>
      <c r="F24">
        <f>'TFA Prevalences'!O23</f>
        <v>0</v>
      </c>
      <c r="G24">
        <f t="shared" ca="1" si="14"/>
        <v>5.901488262923979E-2</v>
      </c>
      <c r="H24" s="19">
        <f t="shared" ca="1" si="2"/>
        <v>53.054379483686574</v>
      </c>
      <c r="I24" s="19">
        <f t="shared" ref="I24" ca="1" si="17">H24*1.27/1.4</f>
        <v>48.12790138877282</v>
      </c>
      <c r="J24" s="19">
        <f t="shared" ref="J24" ca="1" si="18">H24*1.54/1.4</f>
        <v>58.359817432055237</v>
      </c>
      <c r="U24" s="15"/>
      <c r="W24" s="71"/>
      <c r="X24" s="15"/>
      <c r="Y24"/>
      <c r="Z24"/>
      <c r="AA24"/>
      <c r="AB24"/>
      <c r="AC24"/>
      <c r="AD24" s="15"/>
    </row>
    <row r="25" spans="1:30" x14ac:dyDescent="0.35">
      <c r="A25" s="71" t="s">
        <v>66</v>
      </c>
      <c r="B25" s="15">
        <f>'Baseline and counterfactual'!I26</f>
        <v>1522</v>
      </c>
      <c r="C25">
        <f>'Baseline and counterfactual'!C26</f>
        <v>0.67901</v>
      </c>
      <c r="D25">
        <f>C25-'Baseline and counterfactual'!O26</f>
        <v>0.67901</v>
      </c>
      <c r="E25" s="84">
        <f ca="1">'RR TFA'!T64</f>
        <v>1.1393076097906951</v>
      </c>
      <c r="F25">
        <f>'TFA Prevalences'!O24</f>
        <v>0</v>
      </c>
      <c r="G25">
        <f t="shared" ca="1" si="14"/>
        <v>4.9276797706768669E-2</v>
      </c>
      <c r="H25" s="19">
        <f t="shared" ca="1" si="2"/>
        <v>74.999286109701913</v>
      </c>
      <c r="I25" s="19">
        <f ca="1">H25*1.22/1.33</f>
        <v>68.796337634463399</v>
      </c>
      <c r="J25" s="19">
        <f ca="1">H25*1.45/1.33</f>
        <v>81.766138991780267</v>
      </c>
      <c r="U25" s="15"/>
      <c r="W25" s="71"/>
      <c r="X25" s="15"/>
      <c r="Y25"/>
      <c r="Z25"/>
      <c r="AA25"/>
      <c r="AB25"/>
      <c r="AC25"/>
      <c r="AD25" s="15"/>
    </row>
    <row r="26" spans="1:30" x14ac:dyDescent="0.35">
      <c r="A26" s="71" t="s">
        <v>67</v>
      </c>
      <c r="B26" s="15">
        <f>'Baseline and counterfactual'!I27</f>
        <v>2061</v>
      </c>
      <c r="C26">
        <f>'Baseline and counterfactual'!C27</f>
        <v>0.67901</v>
      </c>
      <c r="D26">
        <f>C26-'Baseline and counterfactual'!O27</f>
        <v>0.67901</v>
      </c>
      <c r="E26" s="84">
        <f ca="1">'RR TFA'!T65</f>
        <v>1.1393076097906951</v>
      </c>
      <c r="F26">
        <f>'TFA Prevalences'!O25</f>
        <v>0</v>
      </c>
      <c r="G26">
        <f t="shared" ca="1" si="14"/>
        <v>4.9276797706768669E-2</v>
      </c>
      <c r="H26" s="19">
        <f t="shared" ca="1" si="2"/>
        <v>101.55948007365022</v>
      </c>
      <c r="I26" s="19">
        <f t="shared" ref="I26" ca="1" si="19">H26*1.22/1.33</f>
        <v>93.159823826957336</v>
      </c>
      <c r="J26" s="19">
        <f t="shared" ref="J26" ca="1" si="20">H26*1.45/1.33</f>
        <v>110.72274143367881</v>
      </c>
      <c r="U26" s="15"/>
      <c r="W26" s="71"/>
      <c r="X26" s="15"/>
      <c r="Y26"/>
      <c r="Z26"/>
      <c r="AA26"/>
      <c r="AB26"/>
      <c r="AC26"/>
      <c r="AD26" s="15"/>
    </row>
    <row r="27" spans="1:30" x14ac:dyDescent="0.35">
      <c r="A27" s="71" t="s">
        <v>68</v>
      </c>
      <c r="B27" s="15">
        <f>'Baseline and counterfactual'!I28</f>
        <v>2578</v>
      </c>
      <c r="C27">
        <f>'Baseline and counterfactual'!C28</f>
        <v>0.67901</v>
      </c>
      <c r="D27">
        <f>C27-'Baseline and counterfactual'!O28</f>
        <v>0.67901</v>
      </c>
      <c r="E27" s="84">
        <f ca="1">'RR TFA'!T66</f>
        <v>1.113644258345001</v>
      </c>
      <c r="F27">
        <f>'TFA Prevalences'!O26</f>
        <v>0</v>
      </c>
      <c r="G27">
        <f t="shared" ca="1" si="14"/>
        <v>4.0519959377550978E-2</v>
      </c>
      <c r="H27" s="19">
        <f t="shared" ca="1" si="2"/>
        <v>104.46045527532642</v>
      </c>
      <c r="I27" s="19">
        <f ca="1">H27*1.18/1.27</f>
        <v>97.057745846366274</v>
      </c>
      <c r="J27" s="19">
        <f ca="1">H27*1.36/1.27</f>
        <v>111.86316470428658</v>
      </c>
      <c r="U27" s="15"/>
      <c r="W27" s="71"/>
      <c r="X27" s="15"/>
      <c r="Y27"/>
      <c r="Z27"/>
      <c r="AA27"/>
      <c r="AB27"/>
      <c r="AC27"/>
      <c r="AD27" s="15"/>
    </row>
    <row r="28" spans="1:30" x14ac:dyDescent="0.35">
      <c r="A28" s="71" t="s">
        <v>69</v>
      </c>
      <c r="B28" s="15">
        <f>'Baseline and counterfactual'!I29</f>
        <v>3283</v>
      </c>
      <c r="C28">
        <f>'Baseline and counterfactual'!C29</f>
        <v>0.67901</v>
      </c>
      <c r="D28">
        <f>C28-'Baseline and counterfactual'!O29</f>
        <v>0.67901</v>
      </c>
      <c r="E28" s="84">
        <f ca="1">'RR TFA'!T67</f>
        <v>1.113644258345001</v>
      </c>
      <c r="F28">
        <f>'TFA Prevalences'!O27</f>
        <v>0</v>
      </c>
      <c r="G28">
        <f t="shared" ca="1" si="14"/>
        <v>4.0519959377550978E-2</v>
      </c>
      <c r="H28" s="19">
        <f t="shared" ca="1" si="2"/>
        <v>133.02702663649987</v>
      </c>
      <c r="I28" s="19">
        <f t="shared" ref="I28" ca="1" si="21">H28*1.18/1.27</f>
        <v>123.59991451265343</v>
      </c>
      <c r="J28" s="19">
        <f t="shared" ref="J28" ca="1" si="22">H28*1.36/1.27</f>
        <v>142.45413876034632</v>
      </c>
      <c r="U28" s="15"/>
      <c r="W28" s="71"/>
      <c r="X28" s="15"/>
      <c r="Y28"/>
      <c r="Z28"/>
      <c r="AA28"/>
      <c r="AB28"/>
      <c r="AC28"/>
      <c r="AD28" s="15"/>
    </row>
    <row r="29" spans="1:30" x14ac:dyDescent="0.35">
      <c r="A29" s="71" t="s">
        <v>70</v>
      </c>
      <c r="B29" s="15">
        <f>'Baseline and counterfactual'!I30</f>
        <v>4243</v>
      </c>
      <c r="C29">
        <f>'Baseline and counterfactual'!C30</f>
        <v>0.67901</v>
      </c>
      <c r="D29">
        <f>C29-'Baseline and counterfactual'!O30</f>
        <v>0.67901</v>
      </c>
      <c r="E29" s="84">
        <f ca="1">'RR TFA'!T68</f>
        <v>1.0927593520833538</v>
      </c>
      <c r="F29">
        <f>'TFA Prevalences'!O28</f>
        <v>0</v>
      </c>
      <c r="G29">
        <f t="shared" ca="1" si="14"/>
        <v>3.3291717011220613E-2</v>
      </c>
      <c r="H29" s="19">
        <f t="shared" ca="1" si="2"/>
        <v>141.25675527860906</v>
      </c>
      <c r="I29" s="19">
        <f ca="1">H29*1.15/1.22</f>
        <v>133.15185948393477</v>
      </c>
      <c r="J29" s="19">
        <f ca="1">H29*1.29/1.22</f>
        <v>149.36165107328335</v>
      </c>
      <c r="U29" s="15"/>
      <c r="W29" s="71"/>
      <c r="X29" s="15"/>
      <c r="Y29"/>
      <c r="Z29"/>
      <c r="AA29"/>
      <c r="AB29"/>
      <c r="AC29"/>
      <c r="AD29" s="15"/>
    </row>
    <row r="30" spans="1:30" x14ac:dyDescent="0.35">
      <c r="A30" s="71" t="s">
        <v>71</v>
      </c>
      <c r="B30" s="15">
        <f>'Baseline and counterfactual'!I31</f>
        <v>5350</v>
      </c>
      <c r="C30">
        <f>'Baseline and counterfactual'!C31</f>
        <v>0.67901</v>
      </c>
      <c r="D30">
        <f>C30-'Baseline and counterfactual'!O31</f>
        <v>0.67901</v>
      </c>
      <c r="E30" s="84">
        <f ca="1">'RR TFA'!T69</f>
        <v>1.0927593520833538</v>
      </c>
      <c r="F30">
        <f>'TFA Prevalences'!O29</f>
        <v>0</v>
      </c>
      <c r="G30">
        <f t="shared" ca="1" si="14"/>
        <v>3.3291717011220613E-2</v>
      </c>
      <c r="H30" s="19">
        <f t="shared" ca="1" si="2"/>
        <v>178.11068601003029</v>
      </c>
      <c r="I30" s="19">
        <f t="shared" ref="I30" ca="1" si="23">H30*1.15/1.22</f>
        <v>167.89122041929085</v>
      </c>
      <c r="J30" s="19">
        <f t="shared" ref="J30" ca="1" si="24">H30*1.29/1.22</f>
        <v>188.33015160076974</v>
      </c>
      <c r="U30" s="15"/>
      <c r="W30" s="71"/>
      <c r="X30" s="15"/>
      <c r="Y30"/>
      <c r="Z30"/>
      <c r="AA30"/>
      <c r="AB30"/>
      <c r="AC30"/>
      <c r="AD30" s="15"/>
    </row>
    <row r="31" spans="1:30" x14ac:dyDescent="0.35">
      <c r="A31" s="71" t="s">
        <v>72</v>
      </c>
      <c r="B31" s="15">
        <f>'Baseline and counterfactual'!I32</f>
        <v>7116</v>
      </c>
      <c r="C31">
        <f>'Baseline and counterfactual'!C32</f>
        <v>0.67901</v>
      </c>
      <c r="D31">
        <f>C31-'Baseline and counterfactual'!O32</f>
        <v>0.67901</v>
      </c>
      <c r="E31" s="84">
        <f ca="1">'RR TFA'!T70</f>
        <v>1.0676039996827908</v>
      </c>
      <c r="F31">
        <f>'TFA Prevalences'!O30</f>
        <v>0</v>
      </c>
      <c r="G31">
        <f t="shared" ca="1" si="14"/>
        <v>2.4459591519117727E-2</v>
      </c>
      <c r="H31" s="19">
        <f t="shared" ca="1" si="2"/>
        <v>174.05445325004175</v>
      </c>
      <c r="I31" s="19">
        <f ca="1">H31*1.11/1.16</f>
        <v>166.55210612719515</v>
      </c>
      <c r="J31" s="19">
        <f ca="1">H31*1.21/1.16</f>
        <v>181.55680037288838</v>
      </c>
      <c r="U31" s="15"/>
      <c r="W31" s="71"/>
      <c r="X31" s="15"/>
      <c r="Y31"/>
      <c r="Z31"/>
      <c r="AA31"/>
      <c r="AB31"/>
      <c r="AC31"/>
      <c r="AD31" s="15"/>
    </row>
    <row r="32" spans="1:30" x14ac:dyDescent="0.35">
      <c r="A32" s="71" t="s">
        <v>85</v>
      </c>
      <c r="B32" s="15">
        <f>'Baseline and counterfactual'!I33</f>
        <v>21898</v>
      </c>
      <c r="C32">
        <f>'Baseline and counterfactual'!C33</f>
        <v>0.67901</v>
      </c>
      <c r="D32">
        <f>C32-'Baseline and counterfactual'!O33</f>
        <v>0.67901</v>
      </c>
      <c r="E32" s="84">
        <f ca="1">'RR TFA'!T71</f>
        <v>1.0676039996827908</v>
      </c>
      <c r="F32">
        <f>'TFA Prevalences'!O31</f>
        <v>0</v>
      </c>
      <c r="G32">
        <f t="shared" ca="1" si="14"/>
        <v>2.4459591519117727E-2</v>
      </c>
      <c r="H32" s="19">
        <f t="shared" ca="1" si="2"/>
        <v>535.61613508563994</v>
      </c>
      <c r="I32" s="19">
        <f ca="1">H32*1.11/1.16</f>
        <v>512.52923271125894</v>
      </c>
      <c r="J32" s="19">
        <f ca="1">H32*1.21/1.16</f>
        <v>558.70303746002105</v>
      </c>
      <c r="U32" s="15"/>
      <c r="W32" s="71"/>
      <c r="X32" s="15"/>
      <c r="Y32"/>
      <c r="Z32"/>
      <c r="AA32"/>
      <c r="AB32"/>
      <c r="AC32"/>
      <c r="AD32" s="15"/>
    </row>
    <row r="33" spans="1:30" x14ac:dyDescent="0.35">
      <c r="A33"/>
      <c r="B33" s="15">
        <f>SUM(B4:B32)</f>
        <v>100240</v>
      </c>
      <c r="C33"/>
      <c r="D33"/>
      <c r="E33"/>
      <c r="F33"/>
      <c r="G33"/>
      <c r="H33" s="19">
        <f ca="1">SUM(H4:H32)</f>
        <v>3191.097707024413</v>
      </c>
      <c r="I33" s="19">
        <f t="shared" ref="I33:J33" ca="1" si="25">SUM(I4:I32)</f>
        <v>3000.2842167789204</v>
      </c>
      <c r="J33" s="19">
        <f t="shared" ca="1" si="25"/>
        <v>3386.4530448995556</v>
      </c>
      <c r="U33" s="15"/>
      <c r="V33" s="68"/>
      <c r="W33"/>
      <c r="X33" s="15"/>
      <c r="Y33"/>
      <c r="Z33"/>
      <c r="AA33"/>
      <c r="AB33"/>
      <c r="AC33"/>
      <c r="AD33" s="15"/>
    </row>
    <row r="34" spans="1:30" x14ac:dyDescent="0.35">
      <c r="A34" s="66"/>
      <c r="H34" s="68"/>
      <c r="M34" s="66"/>
      <c r="N34" s="15"/>
      <c r="O34" s="15"/>
      <c r="U34" s="68"/>
      <c r="W34" s="66"/>
      <c r="X34" s="15"/>
      <c r="AD34" s="68"/>
    </row>
    <row r="35" spans="1:30" x14ac:dyDescent="0.35">
      <c r="A35" s="66"/>
      <c r="H35" s="68"/>
      <c r="M35" s="66"/>
      <c r="U35" s="68"/>
      <c r="W35" s="66"/>
      <c r="AD35" s="68"/>
    </row>
    <row r="36" spans="1:30" x14ac:dyDescent="0.35">
      <c r="A36"/>
      <c r="B36" s="233" t="s">
        <v>137</v>
      </c>
      <c r="C36" s="233"/>
      <c r="D36" s="233"/>
      <c r="E36" s="233"/>
      <c r="F36" s="233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D36" s="68"/>
    </row>
    <row r="37" spans="1:30" x14ac:dyDescent="0.35">
      <c r="A37"/>
      <c r="B37" s="33" t="s">
        <v>102</v>
      </c>
      <c r="C37" s="9" t="s">
        <v>103</v>
      </c>
      <c r="D37" s="9" t="s">
        <v>104</v>
      </c>
      <c r="E37" s="9" t="s">
        <v>105</v>
      </c>
      <c r="F37" s="9" t="s">
        <v>106</v>
      </c>
      <c r="G37" s="9" t="s">
        <v>107</v>
      </c>
      <c r="H37" s="9" t="s">
        <v>108</v>
      </c>
      <c r="I37" s="9" t="s">
        <v>109</v>
      </c>
      <c r="J37" s="9" t="s">
        <v>110</v>
      </c>
      <c r="K37" s="9" t="s">
        <v>111</v>
      </c>
      <c r="L37" s="9" t="s">
        <v>112</v>
      </c>
      <c r="M37" s="9" t="s">
        <v>113</v>
      </c>
      <c r="N37" s="9" t="s">
        <v>114</v>
      </c>
      <c r="O37" s="9" t="s">
        <v>115</v>
      </c>
      <c r="P37" s="9" t="s">
        <v>116</v>
      </c>
      <c r="Q37" s="9" t="s">
        <v>117</v>
      </c>
      <c r="R37" s="9" t="s">
        <v>118</v>
      </c>
      <c r="S37" s="9" t="s">
        <v>119</v>
      </c>
      <c r="T37" s="9" t="s">
        <v>120</v>
      </c>
      <c r="U37" s="9" t="s">
        <v>121</v>
      </c>
      <c r="V37" s="9" t="s">
        <v>122</v>
      </c>
      <c r="W37" s="9" t="s">
        <v>123</v>
      </c>
      <c r="X37" s="9" t="s">
        <v>124</v>
      </c>
      <c r="Y37" s="9" t="s">
        <v>125</v>
      </c>
      <c r="Z37" s="36" t="s">
        <v>126</v>
      </c>
      <c r="AA37" s="66" t="s">
        <v>138</v>
      </c>
      <c r="AD37" s="68"/>
    </row>
    <row r="38" spans="1:30" ht="15.5" x14ac:dyDescent="0.35">
      <c r="A38" s="43" t="s">
        <v>45</v>
      </c>
      <c r="B38" s="49">
        <f ca="1">('TFA Prevalences'!AA70*('RR TFA'!C41-1))/(('TFA Prevalences'!AA70*('RR TFA'!C41-1)+1))</f>
        <v>0</v>
      </c>
      <c r="C38" s="49">
        <f ca="1">('TFA Prevalences'!AB70*('RR TFA'!D41-1))/(('TFA Prevalences'!AB70*('RR TFA'!D41-1)+1))</f>
        <v>0</v>
      </c>
      <c r="D38" s="49">
        <f ca="1">('TFA Prevalences'!AC70*('RR TFA'!E41-1))/(('TFA Prevalences'!AC70*('RR TFA'!E41-1)+1))</f>
        <v>0</v>
      </c>
      <c r="E38" s="49">
        <f ca="1">('TFA Prevalences'!AD70*('RR TFA'!F41-1))/(('TFA Prevalences'!AD70*('RR TFA'!F41-1)+1))</f>
        <v>0</v>
      </c>
      <c r="F38" s="49">
        <f ca="1">('TFA Prevalences'!AE70*('RR TFA'!G41-1))/(('TFA Prevalences'!AE70*('RR TFA'!G41-1)+1))</f>
        <v>0</v>
      </c>
      <c r="G38" s="49">
        <f ca="1">('TFA Prevalences'!AF70*('RR TFA'!H41-1))/(('TFA Prevalences'!AF70*('RR TFA'!H41-1)+1))</f>
        <v>0</v>
      </c>
      <c r="H38" s="49">
        <f ca="1">('TFA Prevalences'!AG70*('RR TFA'!I41-1))/(('TFA Prevalences'!AG70*('RR TFA'!I41-1)+1))</f>
        <v>0</v>
      </c>
      <c r="I38" s="49">
        <f ca="1">('TFA Prevalences'!AH70*('RR TFA'!J41-1))/(('TFA Prevalences'!AH70*('RR TFA'!J41-1)+1))</f>
        <v>0</v>
      </c>
      <c r="J38" s="49">
        <f ca="1">('TFA Prevalences'!AI70*('RR TFA'!K41-1))/(('TFA Prevalences'!AI70*('RR TFA'!K41-1)+1))</f>
        <v>0</v>
      </c>
      <c r="K38" s="49">
        <f ca="1">('TFA Prevalences'!AJ70*('RR TFA'!L41-1))/(('TFA Prevalences'!AJ70*('RR TFA'!L41-1)+1))</f>
        <v>0</v>
      </c>
      <c r="L38" s="49">
        <f ca="1">('TFA Prevalences'!AK70*('RR TFA'!M41-1))/(('TFA Prevalences'!AK70*('RR TFA'!M41-1)+1))</f>
        <v>0</v>
      </c>
      <c r="M38" s="49">
        <f ca="1">('TFA Prevalences'!AL70*('RR TFA'!N41-1))/(('TFA Prevalences'!AL70*('RR TFA'!N41-1)+1))</f>
        <v>0</v>
      </c>
      <c r="N38" s="49">
        <f ca="1">('TFA Prevalences'!AM70*('RR TFA'!O41-1))/(('TFA Prevalences'!AM70*('RR TFA'!O41-1)+1))</f>
        <v>0</v>
      </c>
      <c r="O38" s="49">
        <f ca="1">('TFA Prevalences'!AN70*('RR TFA'!P41-1))/(('TFA Prevalences'!AN70*('RR TFA'!P41-1)+1))</f>
        <v>0</v>
      </c>
      <c r="P38" s="49">
        <f ca="1">('TFA Prevalences'!AO70*('RR TFA'!Q41-1))/(('TFA Prevalences'!AO70*('RR TFA'!Q41-1)+1))</f>
        <v>0</v>
      </c>
      <c r="Q38" s="49">
        <f ca="1">('TFA Prevalences'!AP70*('RR TFA'!R41-1))/(('TFA Prevalences'!AP70*('RR TFA'!R41-1)+1))</f>
        <v>0</v>
      </c>
      <c r="R38" s="49">
        <f ca="1">('TFA Prevalences'!AQ70*('RR TFA'!S41-1))/(('TFA Prevalences'!AQ70*('RR TFA'!S41-1)+1))</f>
        <v>0</v>
      </c>
      <c r="S38" s="49">
        <f ca="1">('TFA Prevalences'!AR70*('RR TFA'!T41-1))/(('TFA Prevalences'!AR70*('RR TFA'!T41-1)+1))</f>
        <v>0</v>
      </c>
      <c r="T38" s="49">
        <f ca="1">('TFA Prevalences'!AS70*('RR TFA'!U41-1))/(('TFA Prevalences'!AS70*('RR TFA'!U41-1)+1))</f>
        <v>0</v>
      </c>
      <c r="U38" s="49">
        <f ca="1">('TFA Prevalences'!AT70*('RR TFA'!V41-1))/(('TFA Prevalences'!AT70*('RR TFA'!V41-1)+1))</f>
        <v>0</v>
      </c>
      <c r="V38" s="49">
        <f ca="1">('TFA Prevalences'!AU70*('RR TFA'!W41-1))/(('TFA Prevalences'!AU70*('RR TFA'!W41-1)+1))</f>
        <v>0</v>
      </c>
      <c r="W38" s="49">
        <f ca="1">('TFA Prevalences'!AV70*('RR TFA'!X41-1))/(('TFA Prevalences'!AV70*('RR TFA'!X41-1)+1))</f>
        <v>0</v>
      </c>
      <c r="X38" s="49">
        <f ca="1">('TFA Prevalences'!AW70*('RR TFA'!Y41-1))/(('TFA Prevalences'!AW70*('RR TFA'!Y41-1)+1))</f>
        <v>0</v>
      </c>
      <c r="Y38" s="49">
        <f ca="1">('TFA Prevalences'!AX70*('RR TFA'!Z41-1))/(('TFA Prevalences'!AX70*('RR TFA'!Z41-1)+1))</f>
        <v>0</v>
      </c>
      <c r="Z38" s="49">
        <f ca="1">('TFA Prevalences'!AY70*('RR TFA'!AA41-1))/(('TFA Prevalences'!AY70*('RR TFA'!AA41-1)+1))</f>
        <v>0</v>
      </c>
      <c r="AA38">
        <f ca="1">SUM(B38:Z38)</f>
        <v>0</v>
      </c>
      <c r="AD38" s="68"/>
    </row>
    <row r="39" spans="1:30" ht="15.5" x14ac:dyDescent="0.35">
      <c r="A39" s="43" t="s">
        <v>46</v>
      </c>
      <c r="B39" s="49">
        <f ca="1">('TFA Prevalences'!AA71*('RR TFA'!C42-1))/(('TFA Prevalences'!AA71*('RR TFA'!C42-1)+1))</f>
        <v>0</v>
      </c>
      <c r="C39" s="49">
        <f ca="1">('TFA Prevalences'!AB71*('RR TFA'!D42-1))/(('TFA Prevalences'!AB71*('RR TFA'!D42-1)+1))</f>
        <v>0</v>
      </c>
      <c r="D39" s="49">
        <f ca="1">('TFA Prevalences'!AC71*('RR TFA'!E42-1))/(('TFA Prevalences'!AC71*('RR TFA'!E42-1)+1))</f>
        <v>0</v>
      </c>
      <c r="E39" s="49">
        <f ca="1">('TFA Prevalences'!AD71*('RR TFA'!F42-1))/(('TFA Prevalences'!AD71*('RR TFA'!F42-1)+1))</f>
        <v>0</v>
      </c>
      <c r="F39" s="49">
        <f ca="1">('TFA Prevalences'!AE71*('RR TFA'!G42-1))/(('TFA Prevalences'!AE71*('RR TFA'!G42-1)+1))</f>
        <v>0</v>
      </c>
      <c r="G39" s="49">
        <f ca="1">('TFA Prevalences'!AF71*('RR TFA'!H42-1))/(('TFA Prevalences'!AF71*('RR TFA'!H42-1)+1))</f>
        <v>0</v>
      </c>
      <c r="H39" s="49">
        <f ca="1">('TFA Prevalences'!AG71*('RR TFA'!I42-1))/(('TFA Prevalences'!AG71*('RR TFA'!I42-1)+1))</f>
        <v>0</v>
      </c>
      <c r="I39" s="49">
        <f ca="1">('TFA Prevalences'!AH71*('RR TFA'!J42-1))/(('TFA Prevalences'!AH71*('RR TFA'!J42-1)+1))</f>
        <v>0</v>
      </c>
      <c r="J39" s="49">
        <f ca="1">('TFA Prevalences'!AI71*('RR TFA'!K42-1))/(('TFA Prevalences'!AI71*('RR TFA'!K42-1)+1))</f>
        <v>0</v>
      </c>
      <c r="K39" s="49">
        <f ca="1">('TFA Prevalences'!AJ71*('RR TFA'!L42-1))/(('TFA Prevalences'!AJ71*('RR TFA'!L42-1)+1))</f>
        <v>0</v>
      </c>
      <c r="L39" s="49">
        <f ca="1">('TFA Prevalences'!AK71*('RR TFA'!M42-1))/(('TFA Prevalences'!AK71*('RR TFA'!M42-1)+1))</f>
        <v>0</v>
      </c>
      <c r="M39" s="49">
        <f ca="1">('TFA Prevalences'!AL71*('RR TFA'!N42-1))/(('TFA Prevalences'!AL71*('RR TFA'!N42-1)+1))</f>
        <v>0</v>
      </c>
      <c r="N39" s="49">
        <f ca="1">('TFA Prevalences'!AM71*('RR TFA'!O42-1))/(('TFA Prevalences'!AM71*('RR TFA'!O42-1)+1))</f>
        <v>0</v>
      </c>
      <c r="O39" s="49">
        <f ca="1">('TFA Prevalences'!AN71*('RR TFA'!P42-1))/(('TFA Prevalences'!AN71*('RR TFA'!P42-1)+1))</f>
        <v>0</v>
      </c>
      <c r="P39" s="49">
        <f ca="1">('TFA Prevalences'!AO71*('RR TFA'!Q42-1))/(('TFA Prevalences'!AO71*('RR TFA'!Q42-1)+1))</f>
        <v>0</v>
      </c>
      <c r="Q39" s="49">
        <f ca="1">('TFA Prevalences'!AP71*('RR TFA'!R42-1))/(('TFA Prevalences'!AP71*('RR TFA'!R42-1)+1))</f>
        <v>0</v>
      </c>
      <c r="R39" s="49">
        <f ca="1">('TFA Prevalences'!AQ71*('RR TFA'!S42-1))/(('TFA Prevalences'!AQ71*('RR TFA'!S42-1)+1))</f>
        <v>0</v>
      </c>
      <c r="S39" s="49">
        <f ca="1">('TFA Prevalences'!AR71*('RR TFA'!T42-1))/(('TFA Prevalences'!AR71*('RR TFA'!T42-1)+1))</f>
        <v>0</v>
      </c>
      <c r="T39" s="49">
        <f ca="1">('TFA Prevalences'!AS71*('RR TFA'!U42-1))/(('TFA Prevalences'!AS71*('RR TFA'!U42-1)+1))</f>
        <v>0</v>
      </c>
      <c r="U39" s="49">
        <f ca="1">('TFA Prevalences'!AT71*('RR TFA'!V42-1))/(('TFA Prevalences'!AT71*('RR TFA'!V42-1)+1))</f>
        <v>0</v>
      </c>
      <c r="V39" s="49">
        <f ca="1">('TFA Prevalences'!AU71*('RR TFA'!W42-1))/(('TFA Prevalences'!AU71*('RR TFA'!W42-1)+1))</f>
        <v>0</v>
      </c>
      <c r="W39" s="49">
        <f ca="1">('TFA Prevalences'!AV71*('RR TFA'!X42-1))/(('TFA Prevalences'!AV71*('RR TFA'!X42-1)+1))</f>
        <v>0</v>
      </c>
      <c r="X39" s="49">
        <f ca="1">('TFA Prevalences'!AW71*('RR TFA'!Y42-1))/(('TFA Prevalences'!AW71*('RR TFA'!Y42-1)+1))</f>
        <v>0</v>
      </c>
      <c r="Y39" s="49">
        <f ca="1">('TFA Prevalences'!AX71*('RR TFA'!Z42-1))/(('TFA Prevalences'!AX71*('RR TFA'!Z42-1)+1))</f>
        <v>0</v>
      </c>
      <c r="Z39" s="49">
        <f ca="1">('TFA Prevalences'!AY71*('RR TFA'!AA42-1))/(('TFA Prevalences'!AY71*('RR TFA'!AA42-1)+1))</f>
        <v>0</v>
      </c>
      <c r="AA39">
        <f t="shared" ref="AA39:AA51" ca="1" si="26">SUM(B39:Z39)</f>
        <v>0</v>
      </c>
      <c r="AD39" s="68"/>
    </row>
    <row r="40" spans="1:30" ht="15.5" x14ac:dyDescent="0.35">
      <c r="A40" s="43" t="s">
        <v>47</v>
      </c>
      <c r="B40" s="49">
        <f ca="1">('TFA Prevalences'!AA72*('RR TFA'!C43-1))/(('TFA Prevalences'!AA72*('RR TFA'!C43-1)+1))</f>
        <v>0</v>
      </c>
      <c r="C40" s="49">
        <f ca="1">('TFA Prevalences'!AB72*('RR TFA'!D43-1))/(('TFA Prevalences'!AB72*('RR TFA'!D43-1)+1))</f>
        <v>0</v>
      </c>
      <c r="D40" s="49">
        <f ca="1">('TFA Prevalences'!AC72*('RR TFA'!E43-1))/(('TFA Prevalences'!AC72*('RR TFA'!E43-1)+1))</f>
        <v>0</v>
      </c>
      <c r="E40" s="49">
        <f ca="1">('TFA Prevalences'!AD72*('RR TFA'!F43-1))/(('TFA Prevalences'!AD72*('RR TFA'!F43-1)+1))</f>
        <v>0</v>
      </c>
      <c r="F40" s="49">
        <f ca="1">('TFA Prevalences'!AE72*('RR TFA'!G43-1))/(('TFA Prevalences'!AE72*('RR TFA'!G43-1)+1))</f>
        <v>0</v>
      </c>
      <c r="G40" s="49">
        <f ca="1">('TFA Prevalences'!AF72*('RR TFA'!H43-1))/(('TFA Prevalences'!AF72*('RR TFA'!H43-1)+1))</f>
        <v>0</v>
      </c>
      <c r="H40" s="49">
        <f ca="1">('TFA Prevalences'!AG72*('RR TFA'!I43-1))/(('TFA Prevalences'!AG72*('RR TFA'!I43-1)+1))</f>
        <v>0</v>
      </c>
      <c r="I40" s="49">
        <f ca="1">('TFA Prevalences'!AH72*('RR TFA'!J43-1))/(('TFA Prevalences'!AH72*('RR TFA'!J43-1)+1))</f>
        <v>0</v>
      </c>
      <c r="J40" s="49">
        <f ca="1">('TFA Prevalences'!AI72*('RR TFA'!K43-1))/(('TFA Prevalences'!AI72*('RR TFA'!K43-1)+1))</f>
        <v>0</v>
      </c>
      <c r="K40" s="49">
        <f ca="1">('TFA Prevalences'!AJ72*('RR TFA'!L43-1))/(('TFA Prevalences'!AJ72*('RR TFA'!L43-1)+1))</f>
        <v>0</v>
      </c>
      <c r="L40" s="49">
        <f ca="1">('TFA Prevalences'!AK72*('RR TFA'!M43-1))/(('TFA Prevalences'!AK72*('RR TFA'!M43-1)+1))</f>
        <v>0</v>
      </c>
      <c r="M40" s="49">
        <f ca="1">('TFA Prevalences'!AL72*('RR TFA'!N43-1))/(('TFA Prevalences'!AL72*('RR TFA'!N43-1)+1))</f>
        <v>0</v>
      </c>
      <c r="N40" s="49">
        <f ca="1">('TFA Prevalences'!AM72*('RR TFA'!O43-1))/(('TFA Prevalences'!AM72*('RR TFA'!O43-1)+1))</f>
        <v>0</v>
      </c>
      <c r="O40" s="49">
        <f ca="1">('TFA Prevalences'!AN72*('RR TFA'!P43-1))/(('TFA Prevalences'!AN72*('RR TFA'!P43-1)+1))</f>
        <v>0</v>
      </c>
      <c r="P40" s="49">
        <f ca="1">('TFA Prevalences'!AO72*('RR TFA'!Q43-1))/(('TFA Prevalences'!AO72*('RR TFA'!Q43-1)+1))</f>
        <v>0</v>
      </c>
      <c r="Q40" s="49">
        <f ca="1">('TFA Prevalences'!AP72*('RR TFA'!R43-1))/(('TFA Prevalences'!AP72*('RR TFA'!R43-1)+1))</f>
        <v>0</v>
      </c>
      <c r="R40" s="49">
        <f ca="1">('TFA Prevalences'!AQ72*('RR TFA'!S43-1))/(('TFA Prevalences'!AQ72*('RR TFA'!S43-1)+1))</f>
        <v>0</v>
      </c>
      <c r="S40" s="49">
        <f ca="1">('TFA Prevalences'!AR72*('RR TFA'!T43-1))/(('TFA Prevalences'!AR72*('RR TFA'!T43-1)+1))</f>
        <v>0</v>
      </c>
      <c r="T40" s="49">
        <f ca="1">('TFA Prevalences'!AS72*('RR TFA'!U43-1))/(('TFA Prevalences'!AS72*('RR TFA'!U43-1)+1))</f>
        <v>0</v>
      </c>
      <c r="U40" s="49">
        <f ca="1">('TFA Prevalences'!AT72*('RR TFA'!V43-1))/(('TFA Prevalences'!AT72*('RR TFA'!V43-1)+1))</f>
        <v>0</v>
      </c>
      <c r="V40" s="49">
        <f ca="1">('TFA Prevalences'!AU72*('RR TFA'!W43-1))/(('TFA Prevalences'!AU72*('RR TFA'!W43-1)+1))</f>
        <v>0</v>
      </c>
      <c r="W40" s="49">
        <f ca="1">('TFA Prevalences'!AV72*('RR TFA'!X43-1))/(('TFA Prevalences'!AV72*('RR TFA'!X43-1)+1))</f>
        <v>0</v>
      </c>
      <c r="X40" s="49">
        <f ca="1">('TFA Prevalences'!AW72*('RR TFA'!Y43-1))/(('TFA Prevalences'!AW72*('RR TFA'!Y43-1)+1))</f>
        <v>0</v>
      </c>
      <c r="Y40" s="49">
        <f ca="1">('TFA Prevalences'!AX72*('RR TFA'!Z43-1))/(('TFA Prevalences'!AX72*('RR TFA'!Z43-1)+1))</f>
        <v>0</v>
      </c>
      <c r="Z40" s="49">
        <f ca="1">('TFA Prevalences'!AY72*('RR TFA'!AA43-1))/(('TFA Prevalences'!AY72*('RR TFA'!AA43-1)+1))</f>
        <v>0</v>
      </c>
      <c r="AA40">
        <f t="shared" ca="1" si="26"/>
        <v>0</v>
      </c>
      <c r="AD40" s="68"/>
    </row>
    <row r="41" spans="1:30" ht="15.5" x14ac:dyDescent="0.35">
      <c r="A41" s="43" t="s">
        <v>48</v>
      </c>
      <c r="B41" s="49">
        <f ca="1">('TFA Prevalences'!AA73*('RR TFA'!C44-1))/(('TFA Prevalences'!AA73*('RR TFA'!C44-1)+1))</f>
        <v>0</v>
      </c>
      <c r="C41" s="49">
        <f ca="1">('TFA Prevalences'!AB73*('RR TFA'!D44-1))/(('TFA Prevalences'!AB73*('RR TFA'!D44-1)+1))</f>
        <v>0</v>
      </c>
      <c r="D41" s="49">
        <f ca="1">('TFA Prevalences'!AC73*('RR TFA'!E44-1))/(('TFA Prevalences'!AC73*('RR TFA'!E44-1)+1))</f>
        <v>0</v>
      </c>
      <c r="E41" s="49">
        <f ca="1">('TFA Prevalences'!AD73*('RR TFA'!F44-1))/(('TFA Prevalences'!AD73*('RR TFA'!F44-1)+1))</f>
        <v>0</v>
      </c>
      <c r="F41" s="49">
        <f ca="1">('TFA Prevalences'!AE73*('RR TFA'!G44-1))/(('TFA Prevalences'!AE73*('RR TFA'!G44-1)+1))</f>
        <v>0</v>
      </c>
      <c r="G41" s="49">
        <f ca="1">('TFA Prevalences'!AF73*('RR TFA'!H44-1))/(('TFA Prevalences'!AF73*('RR TFA'!H44-1)+1))</f>
        <v>0</v>
      </c>
      <c r="H41" s="49">
        <f ca="1">('TFA Prevalences'!AG73*('RR TFA'!I44-1))/(('TFA Prevalences'!AG73*('RR TFA'!I44-1)+1))</f>
        <v>0</v>
      </c>
      <c r="I41" s="49">
        <f ca="1">('TFA Prevalences'!AH73*('RR TFA'!J44-1))/(('TFA Prevalences'!AH73*('RR TFA'!J44-1)+1))</f>
        <v>0</v>
      </c>
      <c r="J41" s="49">
        <f ca="1">('TFA Prevalences'!AI73*('RR TFA'!K44-1))/(('TFA Prevalences'!AI73*('RR TFA'!K44-1)+1))</f>
        <v>0</v>
      </c>
      <c r="K41" s="49">
        <f ca="1">('TFA Prevalences'!AJ73*('RR TFA'!L44-1))/(('TFA Prevalences'!AJ73*('RR TFA'!L44-1)+1))</f>
        <v>0</v>
      </c>
      <c r="L41" s="49">
        <f ca="1">('TFA Prevalences'!AK73*('RR TFA'!M44-1))/(('TFA Prevalences'!AK73*('RR TFA'!M44-1)+1))</f>
        <v>0</v>
      </c>
      <c r="M41" s="49">
        <f ca="1">('TFA Prevalences'!AL73*('RR TFA'!N44-1))/(('TFA Prevalences'!AL73*('RR TFA'!N44-1)+1))</f>
        <v>0</v>
      </c>
      <c r="N41" s="49">
        <f ca="1">('TFA Prevalences'!AM73*('RR TFA'!O44-1))/(('TFA Prevalences'!AM73*('RR TFA'!O44-1)+1))</f>
        <v>0</v>
      </c>
      <c r="O41" s="49">
        <f ca="1">('TFA Prevalences'!AN73*('RR TFA'!P44-1))/(('TFA Prevalences'!AN73*('RR TFA'!P44-1)+1))</f>
        <v>0</v>
      </c>
      <c r="P41" s="49">
        <f ca="1">('TFA Prevalences'!AO73*('RR TFA'!Q44-1))/(('TFA Prevalences'!AO73*('RR TFA'!Q44-1)+1))</f>
        <v>0</v>
      </c>
      <c r="Q41" s="49">
        <f ca="1">('TFA Prevalences'!AP73*('RR TFA'!R44-1))/(('TFA Prevalences'!AP73*('RR TFA'!R44-1)+1))</f>
        <v>0</v>
      </c>
      <c r="R41" s="49">
        <f ca="1">('TFA Prevalences'!AQ73*('RR TFA'!S44-1))/(('TFA Prevalences'!AQ73*('RR TFA'!S44-1)+1))</f>
        <v>0</v>
      </c>
      <c r="S41" s="49">
        <f ca="1">('TFA Prevalences'!AR73*('RR TFA'!T44-1))/(('TFA Prevalences'!AR73*('RR TFA'!T44-1)+1))</f>
        <v>0</v>
      </c>
      <c r="T41" s="49">
        <f ca="1">('TFA Prevalences'!AS73*('RR TFA'!U44-1))/(('TFA Prevalences'!AS73*('RR TFA'!U44-1)+1))</f>
        <v>0</v>
      </c>
      <c r="U41" s="49">
        <f ca="1">('TFA Prevalences'!AT73*('RR TFA'!V44-1))/(('TFA Prevalences'!AT73*('RR TFA'!V44-1)+1))</f>
        <v>0</v>
      </c>
      <c r="V41" s="49">
        <f ca="1">('TFA Prevalences'!AU73*('RR TFA'!W44-1))/(('TFA Prevalences'!AU73*('RR TFA'!W44-1)+1))</f>
        <v>0</v>
      </c>
      <c r="W41" s="49">
        <f ca="1">('TFA Prevalences'!AV73*('RR TFA'!X44-1))/(('TFA Prevalences'!AV73*('RR TFA'!X44-1)+1))</f>
        <v>0</v>
      </c>
      <c r="X41" s="49">
        <f ca="1">('TFA Prevalences'!AW73*('RR TFA'!Y44-1))/(('TFA Prevalences'!AW73*('RR TFA'!Y44-1)+1))</f>
        <v>0</v>
      </c>
      <c r="Y41" s="49">
        <f ca="1">('TFA Prevalences'!AX73*('RR TFA'!Z44-1))/(('TFA Prevalences'!AX73*('RR TFA'!Z44-1)+1))</f>
        <v>0</v>
      </c>
      <c r="Z41" s="49">
        <f ca="1">('TFA Prevalences'!AY73*('RR TFA'!AA44-1))/(('TFA Prevalences'!AY73*('RR TFA'!AA44-1)+1))</f>
        <v>0</v>
      </c>
      <c r="AA41">
        <f t="shared" ca="1" si="26"/>
        <v>0</v>
      </c>
      <c r="AD41" s="68"/>
    </row>
    <row r="42" spans="1:30" ht="15.5" x14ac:dyDescent="0.35">
      <c r="A42" s="43" t="s">
        <v>49</v>
      </c>
      <c r="B42" s="49">
        <f ca="1">('TFA Prevalences'!AA74*('RR TFA'!C45-1))/(('TFA Prevalences'!AA74*('RR TFA'!C45-1)+1))</f>
        <v>0</v>
      </c>
      <c r="C42" s="49">
        <f ca="1">('TFA Prevalences'!AB74*('RR TFA'!D45-1))/(('TFA Prevalences'!AB74*('RR TFA'!D45-1)+1))</f>
        <v>0</v>
      </c>
      <c r="D42" s="49">
        <f ca="1">('TFA Prevalences'!AC74*('RR TFA'!E45-1))/(('TFA Prevalences'!AC74*('RR TFA'!E45-1)+1))</f>
        <v>0</v>
      </c>
      <c r="E42" s="49">
        <f ca="1">('TFA Prevalences'!AD74*('RR TFA'!F45-1))/(('TFA Prevalences'!AD74*('RR TFA'!F45-1)+1))</f>
        <v>0</v>
      </c>
      <c r="F42" s="49">
        <f ca="1">('TFA Prevalences'!AE74*('RR TFA'!G45-1))/(('TFA Prevalences'!AE74*('RR TFA'!G45-1)+1))</f>
        <v>0</v>
      </c>
      <c r="G42" s="49">
        <f ca="1">('TFA Prevalences'!AF74*('RR TFA'!H45-1))/(('TFA Prevalences'!AF74*('RR TFA'!H45-1)+1))</f>
        <v>0</v>
      </c>
      <c r="H42" s="49">
        <f ca="1">('TFA Prevalences'!AG74*('RR TFA'!I45-1))/(('TFA Prevalences'!AG74*('RR TFA'!I45-1)+1))</f>
        <v>0</v>
      </c>
      <c r="I42" s="49">
        <f ca="1">('TFA Prevalences'!AH74*('RR TFA'!J45-1))/(('TFA Prevalences'!AH74*('RR TFA'!J45-1)+1))</f>
        <v>0</v>
      </c>
      <c r="J42" s="49">
        <f ca="1">('TFA Prevalences'!AI74*('RR TFA'!K45-1))/(('TFA Prevalences'!AI74*('RR TFA'!K45-1)+1))</f>
        <v>0</v>
      </c>
      <c r="K42" s="49">
        <f ca="1">('TFA Prevalences'!AJ74*('RR TFA'!L45-1))/(('TFA Prevalences'!AJ74*('RR TFA'!L45-1)+1))</f>
        <v>0</v>
      </c>
      <c r="L42" s="49">
        <f ca="1">('TFA Prevalences'!AK74*('RR TFA'!M45-1))/(('TFA Prevalences'!AK74*('RR TFA'!M45-1)+1))</f>
        <v>0</v>
      </c>
      <c r="M42" s="49">
        <f ca="1">('TFA Prevalences'!AL74*('RR TFA'!N45-1))/(('TFA Prevalences'!AL74*('RR TFA'!N45-1)+1))</f>
        <v>0</v>
      </c>
      <c r="N42" s="49">
        <f ca="1">('TFA Prevalences'!AM74*('RR TFA'!O45-1))/(('TFA Prevalences'!AM74*('RR TFA'!O45-1)+1))</f>
        <v>0</v>
      </c>
      <c r="O42" s="49">
        <f ca="1">('TFA Prevalences'!AN74*('RR TFA'!P45-1))/(('TFA Prevalences'!AN74*('RR TFA'!P45-1)+1))</f>
        <v>0</v>
      </c>
      <c r="P42" s="49">
        <f ca="1">('TFA Prevalences'!AO74*('RR TFA'!Q45-1))/(('TFA Prevalences'!AO74*('RR TFA'!Q45-1)+1))</f>
        <v>0</v>
      </c>
      <c r="Q42" s="49">
        <f ca="1">('TFA Prevalences'!AP74*('RR TFA'!R45-1))/(('TFA Prevalences'!AP74*('RR TFA'!R45-1)+1))</f>
        <v>0</v>
      </c>
      <c r="R42" s="49">
        <f ca="1">('TFA Prevalences'!AQ74*('RR TFA'!S45-1))/(('TFA Prevalences'!AQ74*('RR TFA'!S45-1)+1))</f>
        <v>0</v>
      </c>
      <c r="S42" s="49">
        <f ca="1">('TFA Prevalences'!AR74*('RR TFA'!T45-1))/(('TFA Prevalences'!AR74*('RR TFA'!T45-1)+1))</f>
        <v>0</v>
      </c>
      <c r="T42" s="49">
        <f ca="1">('TFA Prevalences'!AS74*('RR TFA'!U45-1))/(('TFA Prevalences'!AS74*('RR TFA'!U45-1)+1))</f>
        <v>0</v>
      </c>
      <c r="U42" s="49">
        <f ca="1">('TFA Prevalences'!AT74*('RR TFA'!V45-1))/(('TFA Prevalences'!AT74*('RR TFA'!V45-1)+1))</f>
        <v>0</v>
      </c>
      <c r="V42" s="49">
        <f ca="1">('TFA Prevalences'!AU74*('RR TFA'!W45-1))/(('TFA Prevalences'!AU74*('RR TFA'!W45-1)+1))</f>
        <v>0</v>
      </c>
      <c r="W42" s="49">
        <f ca="1">('TFA Prevalences'!AV74*('RR TFA'!X45-1))/(('TFA Prevalences'!AV74*('RR TFA'!X45-1)+1))</f>
        <v>0</v>
      </c>
      <c r="X42" s="49">
        <f ca="1">('TFA Prevalences'!AW74*('RR TFA'!Y45-1))/(('TFA Prevalences'!AW74*('RR TFA'!Y45-1)+1))</f>
        <v>0</v>
      </c>
      <c r="Y42" s="49">
        <f ca="1">('TFA Prevalences'!AX74*('RR TFA'!Z45-1))/(('TFA Prevalences'!AX74*('RR TFA'!Z45-1)+1))</f>
        <v>0</v>
      </c>
      <c r="Z42" s="49">
        <f ca="1">('TFA Prevalences'!AY74*('RR TFA'!AA45-1))/(('TFA Prevalences'!AY74*('RR TFA'!AA45-1)+1))</f>
        <v>0</v>
      </c>
      <c r="AA42">
        <f t="shared" ca="1" si="26"/>
        <v>0</v>
      </c>
      <c r="AD42" s="68"/>
    </row>
    <row r="43" spans="1:30" ht="15.5" x14ac:dyDescent="0.35">
      <c r="A43" s="43" t="s">
        <v>50</v>
      </c>
      <c r="B43" s="49">
        <f ca="1">('TFA Prevalences'!AA75*('RR TFA'!C46-1))/(('TFA Prevalences'!AA75*('RR TFA'!C46-1)+1))</f>
        <v>0</v>
      </c>
      <c r="C43" s="49">
        <f ca="1">('TFA Prevalences'!AB75*('RR TFA'!D46-1))/(('TFA Prevalences'!AB75*('RR TFA'!D46-1)+1))</f>
        <v>0</v>
      </c>
      <c r="D43" s="49">
        <f ca="1">('TFA Prevalences'!AC75*('RR TFA'!E46-1))/(('TFA Prevalences'!AC75*('RR TFA'!E46-1)+1))</f>
        <v>0</v>
      </c>
      <c r="E43" s="49">
        <f ca="1">('TFA Prevalences'!AD75*('RR TFA'!F46-1))/(('TFA Prevalences'!AD75*('RR TFA'!F46-1)+1))</f>
        <v>0</v>
      </c>
      <c r="F43" s="49">
        <f ca="1">('TFA Prevalences'!AE75*('RR TFA'!G46-1))/(('TFA Prevalences'!AE75*('RR TFA'!G46-1)+1))</f>
        <v>0</v>
      </c>
      <c r="G43" s="49">
        <f ca="1">('TFA Prevalences'!AF75*('RR TFA'!H46-1))/(('TFA Prevalences'!AF75*('RR TFA'!H46-1)+1))</f>
        <v>0</v>
      </c>
      <c r="H43" s="49">
        <f ca="1">('TFA Prevalences'!AG75*('RR TFA'!I46-1))/(('TFA Prevalences'!AG75*('RR TFA'!I46-1)+1))</f>
        <v>0</v>
      </c>
      <c r="I43" s="49">
        <f ca="1">('TFA Prevalences'!AH75*('RR TFA'!J46-1))/(('TFA Prevalences'!AH75*('RR TFA'!J46-1)+1))</f>
        <v>0</v>
      </c>
      <c r="J43" s="49">
        <f ca="1">('TFA Prevalences'!AI75*('RR TFA'!K46-1))/(('TFA Prevalences'!AI75*('RR TFA'!K46-1)+1))</f>
        <v>0</v>
      </c>
      <c r="K43" s="49">
        <f ca="1">('TFA Prevalences'!AJ75*('RR TFA'!L46-1))/(('TFA Prevalences'!AJ75*('RR TFA'!L46-1)+1))</f>
        <v>0</v>
      </c>
      <c r="L43" s="49">
        <f ca="1">('TFA Prevalences'!AK75*('RR TFA'!M46-1))/(('TFA Prevalences'!AK75*('RR TFA'!M46-1)+1))</f>
        <v>0</v>
      </c>
      <c r="M43" s="49">
        <f ca="1">('TFA Prevalences'!AL75*('RR TFA'!N46-1))/(('TFA Prevalences'!AL75*('RR TFA'!N46-1)+1))</f>
        <v>0</v>
      </c>
      <c r="N43" s="49">
        <f ca="1">('TFA Prevalences'!AM75*('RR TFA'!O46-1))/(('TFA Prevalences'!AM75*('RR TFA'!O46-1)+1))</f>
        <v>0</v>
      </c>
      <c r="O43" s="49">
        <f ca="1">('TFA Prevalences'!AN75*('RR TFA'!P46-1))/(('TFA Prevalences'!AN75*('RR TFA'!P46-1)+1))</f>
        <v>0</v>
      </c>
      <c r="P43" s="49">
        <f ca="1">('TFA Prevalences'!AO75*('RR TFA'!Q46-1))/(('TFA Prevalences'!AO75*('RR TFA'!Q46-1)+1))</f>
        <v>0</v>
      </c>
      <c r="Q43" s="49">
        <f ca="1">('TFA Prevalences'!AP75*('RR TFA'!R46-1))/(('TFA Prevalences'!AP75*('RR TFA'!R46-1)+1))</f>
        <v>0</v>
      </c>
      <c r="R43" s="49">
        <f ca="1">('TFA Prevalences'!AQ75*('RR TFA'!S46-1))/(('TFA Prevalences'!AQ75*('RR TFA'!S46-1)+1))</f>
        <v>0</v>
      </c>
      <c r="S43" s="49">
        <f ca="1">('TFA Prevalences'!AR75*('RR TFA'!T46-1))/(('TFA Prevalences'!AR75*('RR TFA'!T46-1)+1))</f>
        <v>0</v>
      </c>
      <c r="T43" s="49">
        <f ca="1">('TFA Prevalences'!AS75*('RR TFA'!U46-1))/(('TFA Prevalences'!AS75*('RR TFA'!U46-1)+1))</f>
        <v>0</v>
      </c>
      <c r="U43" s="49">
        <f ca="1">('TFA Prevalences'!AT75*('RR TFA'!V46-1))/(('TFA Prevalences'!AT75*('RR TFA'!V46-1)+1))</f>
        <v>0</v>
      </c>
      <c r="V43" s="49">
        <f ca="1">('TFA Prevalences'!AU75*('RR TFA'!W46-1))/(('TFA Prevalences'!AU75*('RR TFA'!W46-1)+1))</f>
        <v>0</v>
      </c>
      <c r="W43" s="49">
        <f ca="1">('TFA Prevalences'!AV75*('RR TFA'!X46-1))/(('TFA Prevalences'!AV75*('RR TFA'!X46-1)+1))</f>
        <v>0</v>
      </c>
      <c r="X43" s="49">
        <f ca="1">('TFA Prevalences'!AW75*('RR TFA'!Y46-1))/(('TFA Prevalences'!AW75*('RR TFA'!Y46-1)+1))</f>
        <v>0</v>
      </c>
      <c r="Y43" s="49">
        <f ca="1">('TFA Prevalences'!AX75*('RR TFA'!Z46-1))/(('TFA Prevalences'!AX75*('RR TFA'!Z46-1)+1))</f>
        <v>0</v>
      </c>
      <c r="Z43" s="49">
        <f ca="1">('TFA Prevalences'!AY75*('RR TFA'!AA46-1))/(('TFA Prevalences'!AY75*('RR TFA'!AA46-1)+1))</f>
        <v>0</v>
      </c>
      <c r="AA43">
        <f t="shared" ca="1" si="26"/>
        <v>0</v>
      </c>
      <c r="AD43" s="68"/>
    </row>
    <row r="44" spans="1:30" ht="15.5" x14ac:dyDescent="0.35">
      <c r="A44" s="43" t="s">
        <v>51</v>
      </c>
      <c r="B44" s="49">
        <f ca="1">('TFA Prevalences'!AA76*('RR TFA'!C47-1))/(('TFA Prevalences'!AA76*('RR TFA'!C47-1)+1))</f>
        <v>0</v>
      </c>
      <c r="C44" s="49">
        <f ca="1">('TFA Prevalences'!AB76*('RR TFA'!D47-1))/(('TFA Prevalences'!AB76*('RR TFA'!D47-1)+1))</f>
        <v>0</v>
      </c>
      <c r="D44" s="49">
        <f ca="1">('TFA Prevalences'!AC76*('RR TFA'!E47-1))/(('TFA Prevalences'!AC76*('RR TFA'!E47-1)+1))</f>
        <v>0</v>
      </c>
      <c r="E44" s="49">
        <f ca="1">('TFA Prevalences'!AD76*('RR TFA'!F47-1))/(('TFA Prevalences'!AD76*('RR TFA'!F47-1)+1))</f>
        <v>0</v>
      </c>
      <c r="F44" s="49">
        <f ca="1">('TFA Prevalences'!AE76*('RR TFA'!G47-1))/(('TFA Prevalences'!AE76*('RR TFA'!G47-1)+1))</f>
        <v>0</v>
      </c>
      <c r="G44" s="49">
        <f ca="1">('TFA Prevalences'!AF76*('RR TFA'!H47-1))/(('TFA Prevalences'!AF76*('RR TFA'!H47-1)+1))</f>
        <v>0</v>
      </c>
      <c r="H44" s="49">
        <f ca="1">('TFA Prevalences'!AG76*('RR TFA'!I47-1))/(('TFA Prevalences'!AG76*('RR TFA'!I47-1)+1))</f>
        <v>0</v>
      </c>
      <c r="I44" s="49">
        <f ca="1">('TFA Prevalences'!AH76*('RR TFA'!J47-1))/(('TFA Prevalences'!AH76*('RR TFA'!J47-1)+1))</f>
        <v>0</v>
      </c>
      <c r="J44" s="49">
        <f ca="1">('TFA Prevalences'!AI76*('RR TFA'!K47-1))/(('TFA Prevalences'!AI76*('RR TFA'!K47-1)+1))</f>
        <v>0</v>
      </c>
      <c r="K44" s="49">
        <f ca="1">('TFA Prevalences'!AJ76*('RR TFA'!L47-1))/(('TFA Prevalences'!AJ76*('RR TFA'!L47-1)+1))</f>
        <v>0</v>
      </c>
      <c r="L44" s="49">
        <f ca="1">('TFA Prevalences'!AK76*('RR TFA'!M47-1))/(('TFA Prevalences'!AK76*('RR TFA'!M47-1)+1))</f>
        <v>0</v>
      </c>
      <c r="M44" s="49">
        <f ca="1">('TFA Prevalences'!AL76*('RR TFA'!N47-1))/(('TFA Prevalences'!AL76*('RR TFA'!N47-1)+1))</f>
        <v>0</v>
      </c>
      <c r="N44" s="49">
        <f ca="1">('TFA Prevalences'!AM76*('RR TFA'!O47-1))/(('TFA Prevalences'!AM76*('RR TFA'!O47-1)+1))</f>
        <v>0</v>
      </c>
      <c r="O44" s="49">
        <f ca="1">('TFA Prevalences'!AN76*('RR TFA'!P47-1))/(('TFA Prevalences'!AN76*('RR TFA'!P47-1)+1))</f>
        <v>0</v>
      </c>
      <c r="P44" s="49">
        <f ca="1">('TFA Prevalences'!AO76*('RR TFA'!Q47-1))/(('TFA Prevalences'!AO76*('RR TFA'!Q47-1)+1))</f>
        <v>0</v>
      </c>
      <c r="Q44" s="49">
        <f ca="1">('TFA Prevalences'!AP76*('RR TFA'!R47-1))/(('TFA Prevalences'!AP76*('RR TFA'!R47-1)+1))</f>
        <v>0</v>
      </c>
      <c r="R44" s="49">
        <f ca="1">('TFA Prevalences'!AQ76*('RR TFA'!S47-1))/(('TFA Prevalences'!AQ76*('RR TFA'!S47-1)+1))</f>
        <v>0</v>
      </c>
      <c r="S44" s="49">
        <f ca="1">('TFA Prevalences'!AR76*('RR TFA'!T47-1))/(('TFA Prevalences'!AR76*('RR TFA'!T47-1)+1))</f>
        <v>0</v>
      </c>
      <c r="T44" s="49">
        <f ca="1">('TFA Prevalences'!AS76*('RR TFA'!U47-1))/(('TFA Prevalences'!AS76*('RR TFA'!U47-1)+1))</f>
        <v>0</v>
      </c>
      <c r="U44" s="49">
        <f ca="1">('TFA Prevalences'!AT76*('RR TFA'!V47-1))/(('TFA Prevalences'!AT76*('RR TFA'!V47-1)+1))</f>
        <v>0</v>
      </c>
      <c r="V44" s="49">
        <f ca="1">('TFA Prevalences'!AU76*('RR TFA'!W47-1))/(('TFA Prevalences'!AU76*('RR TFA'!W47-1)+1))</f>
        <v>0</v>
      </c>
      <c r="W44" s="49">
        <f ca="1">('TFA Prevalences'!AV76*('RR TFA'!X47-1))/(('TFA Prevalences'!AV76*('RR TFA'!X47-1)+1))</f>
        <v>0</v>
      </c>
      <c r="X44" s="49">
        <f ca="1">('TFA Prevalences'!AW76*('RR TFA'!Y47-1))/(('TFA Prevalences'!AW76*('RR TFA'!Y47-1)+1))</f>
        <v>0</v>
      </c>
      <c r="Y44" s="49">
        <f ca="1">('TFA Prevalences'!AX76*('RR TFA'!Z47-1))/(('TFA Prevalences'!AX76*('RR TFA'!Z47-1)+1))</f>
        <v>0</v>
      </c>
      <c r="Z44" s="49">
        <f ca="1">('TFA Prevalences'!AY76*('RR TFA'!AA47-1))/(('TFA Prevalences'!AY76*('RR TFA'!AA47-1)+1))</f>
        <v>0</v>
      </c>
      <c r="AA44">
        <f t="shared" ca="1" si="26"/>
        <v>0</v>
      </c>
    </row>
    <row r="45" spans="1:30" ht="15.5" x14ac:dyDescent="0.35">
      <c r="A45" s="43" t="s">
        <v>52</v>
      </c>
      <c r="B45" s="49">
        <f ca="1">('TFA Prevalences'!AA77*('RR TFA'!C48-1))/(('TFA Prevalences'!AA77*('RR TFA'!C48-1)+1))</f>
        <v>0</v>
      </c>
      <c r="C45" s="49">
        <f ca="1">('TFA Prevalences'!AB77*('RR TFA'!D48-1))/(('TFA Prevalences'!AB77*('RR TFA'!D48-1)+1))</f>
        <v>0</v>
      </c>
      <c r="D45" s="49">
        <f ca="1">('TFA Prevalences'!AC77*('RR TFA'!E48-1))/(('TFA Prevalences'!AC77*('RR TFA'!E48-1)+1))</f>
        <v>0</v>
      </c>
      <c r="E45" s="49">
        <f ca="1">('TFA Prevalences'!AD77*('RR TFA'!F48-1))/(('TFA Prevalences'!AD77*('RR TFA'!F48-1)+1))</f>
        <v>0</v>
      </c>
      <c r="F45" s="49">
        <f ca="1">('TFA Prevalences'!AE77*('RR TFA'!G48-1))/(('TFA Prevalences'!AE77*('RR TFA'!G48-1)+1))</f>
        <v>0</v>
      </c>
      <c r="G45" s="49">
        <f ca="1">('TFA Prevalences'!AF77*('RR TFA'!H48-1))/(('TFA Prevalences'!AF77*('RR TFA'!H48-1)+1))</f>
        <v>0</v>
      </c>
      <c r="H45" s="49">
        <f ca="1">('TFA Prevalences'!AG77*('RR TFA'!I48-1))/(('TFA Prevalences'!AG77*('RR TFA'!I48-1)+1))</f>
        <v>0</v>
      </c>
      <c r="I45" s="49">
        <f ca="1">('TFA Prevalences'!AH77*('RR TFA'!J48-1))/(('TFA Prevalences'!AH77*('RR TFA'!J48-1)+1))</f>
        <v>0</v>
      </c>
      <c r="J45" s="49">
        <f ca="1">('TFA Prevalences'!AI77*('RR TFA'!K48-1))/(('TFA Prevalences'!AI77*('RR TFA'!K48-1)+1))</f>
        <v>0</v>
      </c>
      <c r="K45" s="49">
        <f ca="1">('TFA Prevalences'!AJ77*('RR TFA'!L48-1))/(('TFA Prevalences'!AJ77*('RR TFA'!L48-1)+1))</f>
        <v>0</v>
      </c>
      <c r="L45" s="49">
        <f ca="1">('TFA Prevalences'!AK77*('RR TFA'!M48-1))/(('TFA Prevalences'!AK77*('RR TFA'!M48-1)+1))</f>
        <v>0</v>
      </c>
      <c r="M45" s="49">
        <f ca="1">('TFA Prevalences'!AL77*('RR TFA'!N48-1))/(('TFA Prevalences'!AL77*('RR TFA'!N48-1)+1))</f>
        <v>0</v>
      </c>
      <c r="N45" s="49">
        <f ca="1">('TFA Prevalences'!AM77*('RR TFA'!O48-1))/(('TFA Prevalences'!AM77*('RR TFA'!O48-1)+1))</f>
        <v>0</v>
      </c>
      <c r="O45" s="49">
        <f ca="1">('TFA Prevalences'!AN77*('RR TFA'!P48-1))/(('TFA Prevalences'!AN77*('RR TFA'!P48-1)+1))</f>
        <v>0</v>
      </c>
      <c r="P45" s="49">
        <f ca="1">('TFA Prevalences'!AO77*('RR TFA'!Q48-1))/(('TFA Prevalences'!AO77*('RR TFA'!Q48-1)+1))</f>
        <v>0</v>
      </c>
      <c r="Q45" s="49">
        <f ca="1">('TFA Prevalences'!AP77*('RR TFA'!R48-1))/(('TFA Prevalences'!AP77*('RR TFA'!R48-1)+1))</f>
        <v>0</v>
      </c>
      <c r="R45" s="49">
        <f ca="1">('TFA Prevalences'!AQ77*('RR TFA'!S48-1))/(('TFA Prevalences'!AQ77*('RR TFA'!S48-1)+1))</f>
        <v>0</v>
      </c>
      <c r="S45" s="49">
        <f ca="1">('TFA Prevalences'!AR77*('RR TFA'!T48-1))/(('TFA Prevalences'!AR77*('RR TFA'!T48-1)+1))</f>
        <v>0</v>
      </c>
      <c r="T45" s="49">
        <f ca="1">('TFA Prevalences'!AS77*('RR TFA'!U48-1))/(('TFA Prevalences'!AS77*('RR TFA'!U48-1)+1))</f>
        <v>0</v>
      </c>
      <c r="U45" s="49">
        <f ca="1">('TFA Prevalences'!AT77*('RR TFA'!V48-1))/(('TFA Prevalences'!AT77*('RR TFA'!V48-1)+1))</f>
        <v>0</v>
      </c>
      <c r="V45" s="49">
        <f ca="1">('TFA Prevalences'!AU77*('RR TFA'!W48-1))/(('TFA Prevalences'!AU77*('RR TFA'!W48-1)+1))</f>
        <v>0</v>
      </c>
      <c r="W45" s="49">
        <f ca="1">('TFA Prevalences'!AV77*('RR TFA'!X48-1))/(('TFA Prevalences'!AV77*('RR TFA'!X48-1)+1))</f>
        <v>0</v>
      </c>
      <c r="X45" s="49">
        <f ca="1">('TFA Prevalences'!AW77*('RR TFA'!Y48-1))/(('TFA Prevalences'!AW77*('RR TFA'!Y48-1)+1))</f>
        <v>0</v>
      </c>
      <c r="Y45" s="49">
        <f ca="1">('TFA Prevalences'!AX77*('RR TFA'!Z48-1))/(('TFA Prevalences'!AX77*('RR TFA'!Z48-1)+1))</f>
        <v>0</v>
      </c>
      <c r="Z45" s="49">
        <f ca="1">('TFA Prevalences'!AY77*('RR TFA'!AA48-1))/(('TFA Prevalences'!AY77*('RR TFA'!AA48-1)+1))</f>
        <v>0</v>
      </c>
      <c r="AA45">
        <f t="shared" ca="1" si="26"/>
        <v>0</v>
      </c>
    </row>
    <row r="46" spans="1:30" ht="15.5" x14ac:dyDescent="0.35">
      <c r="A46" s="43" t="s">
        <v>53</v>
      </c>
      <c r="B46" s="49">
        <f ca="1">('TFA Prevalences'!AA78*('RR TFA'!C49-1))/(('TFA Prevalences'!AA78*('RR TFA'!C49-1)+1))</f>
        <v>0</v>
      </c>
      <c r="C46" s="49">
        <f ca="1">('TFA Prevalences'!AB78*('RR TFA'!D49-1))/(('TFA Prevalences'!AB78*('RR TFA'!D49-1)+1))</f>
        <v>0</v>
      </c>
      <c r="D46" s="49">
        <f ca="1">('TFA Prevalences'!AC78*('RR TFA'!E49-1))/(('TFA Prevalences'!AC78*('RR TFA'!E49-1)+1))</f>
        <v>0</v>
      </c>
      <c r="E46" s="49">
        <f ca="1">('TFA Prevalences'!AD78*('RR TFA'!F49-1))/(('TFA Prevalences'!AD78*('RR TFA'!F49-1)+1))</f>
        <v>0</v>
      </c>
      <c r="F46" s="49">
        <f ca="1">('TFA Prevalences'!AE78*('RR TFA'!G49-1))/(('TFA Prevalences'!AE78*('RR TFA'!G49-1)+1))</f>
        <v>0</v>
      </c>
      <c r="G46" s="49">
        <f ca="1">('TFA Prevalences'!AF78*('RR TFA'!H49-1))/(('TFA Prevalences'!AF78*('RR TFA'!H49-1)+1))</f>
        <v>0</v>
      </c>
      <c r="H46" s="49">
        <f ca="1">('TFA Prevalences'!AG78*('RR TFA'!I49-1))/(('TFA Prevalences'!AG78*('RR TFA'!I49-1)+1))</f>
        <v>0</v>
      </c>
      <c r="I46" s="49">
        <f ca="1">('TFA Prevalences'!AH78*('RR TFA'!J49-1))/(('TFA Prevalences'!AH78*('RR TFA'!J49-1)+1))</f>
        <v>0</v>
      </c>
      <c r="J46" s="49">
        <f ca="1">('TFA Prevalences'!AI78*('RR TFA'!K49-1))/(('TFA Prevalences'!AI78*('RR TFA'!K49-1)+1))</f>
        <v>0</v>
      </c>
      <c r="K46" s="49">
        <f ca="1">('TFA Prevalences'!AJ78*('RR TFA'!L49-1))/(('TFA Prevalences'!AJ78*('RR TFA'!L49-1)+1))</f>
        <v>0</v>
      </c>
      <c r="L46" s="49">
        <f ca="1">('TFA Prevalences'!AK78*('RR TFA'!M49-1))/(('TFA Prevalences'!AK78*('RR TFA'!M49-1)+1))</f>
        <v>0</v>
      </c>
      <c r="M46" s="49">
        <f ca="1">('TFA Prevalences'!AL78*('RR TFA'!N49-1))/(('TFA Prevalences'!AL78*('RR TFA'!N49-1)+1))</f>
        <v>0</v>
      </c>
      <c r="N46" s="49">
        <f ca="1">('TFA Prevalences'!AM78*('RR TFA'!O49-1))/(('TFA Prevalences'!AM78*('RR TFA'!O49-1)+1))</f>
        <v>0</v>
      </c>
      <c r="O46" s="49">
        <f ca="1">('TFA Prevalences'!AN78*('RR TFA'!P49-1))/(('TFA Prevalences'!AN78*('RR TFA'!P49-1)+1))</f>
        <v>0</v>
      </c>
      <c r="P46" s="49">
        <f ca="1">('TFA Prevalences'!AO78*('RR TFA'!Q49-1))/(('TFA Prevalences'!AO78*('RR TFA'!Q49-1)+1))</f>
        <v>0</v>
      </c>
      <c r="Q46" s="49">
        <f ca="1">('TFA Prevalences'!AP78*('RR TFA'!R49-1))/(('TFA Prevalences'!AP78*('RR TFA'!R49-1)+1))</f>
        <v>0</v>
      </c>
      <c r="R46" s="49">
        <f ca="1">('TFA Prevalences'!AQ78*('RR TFA'!S49-1))/(('TFA Prevalences'!AQ78*('RR TFA'!S49-1)+1))</f>
        <v>0</v>
      </c>
      <c r="S46" s="49">
        <f ca="1">('TFA Prevalences'!AR78*('RR TFA'!T49-1))/(('TFA Prevalences'!AR78*('RR TFA'!T49-1)+1))</f>
        <v>0</v>
      </c>
      <c r="T46" s="49">
        <f ca="1">('TFA Prevalences'!AS78*('RR TFA'!U49-1))/(('TFA Prevalences'!AS78*('RR TFA'!U49-1)+1))</f>
        <v>0</v>
      </c>
      <c r="U46" s="49">
        <f ca="1">('TFA Prevalences'!AT78*('RR TFA'!V49-1))/(('TFA Prevalences'!AT78*('RR TFA'!V49-1)+1))</f>
        <v>0</v>
      </c>
      <c r="V46" s="49">
        <f ca="1">('TFA Prevalences'!AU78*('RR TFA'!W49-1))/(('TFA Prevalences'!AU78*('RR TFA'!W49-1)+1))</f>
        <v>0</v>
      </c>
      <c r="W46" s="49">
        <f ca="1">('TFA Prevalences'!AV78*('RR TFA'!X49-1))/(('TFA Prevalences'!AV78*('RR TFA'!X49-1)+1))</f>
        <v>0</v>
      </c>
      <c r="X46" s="49">
        <f ca="1">('TFA Prevalences'!AW78*('RR TFA'!Y49-1))/(('TFA Prevalences'!AW78*('RR TFA'!Y49-1)+1))</f>
        <v>0</v>
      </c>
      <c r="Y46" s="49">
        <f ca="1">('TFA Prevalences'!AX78*('RR TFA'!Z49-1))/(('TFA Prevalences'!AX78*('RR TFA'!Z49-1)+1))</f>
        <v>0</v>
      </c>
      <c r="Z46" s="49">
        <f ca="1">('TFA Prevalences'!AY78*('RR TFA'!AA49-1))/(('TFA Prevalences'!AY78*('RR TFA'!AA49-1)+1))</f>
        <v>0</v>
      </c>
      <c r="AA46">
        <f t="shared" ca="1" si="26"/>
        <v>0</v>
      </c>
    </row>
    <row r="47" spans="1:30" ht="15.5" x14ac:dyDescent="0.35">
      <c r="A47" s="43" t="s">
        <v>54</v>
      </c>
      <c r="B47" s="49">
        <f ca="1">('TFA Prevalences'!AA79*('RR TFA'!C50-1))/(('TFA Prevalences'!AA79*('RR TFA'!C50-1)+1))</f>
        <v>0</v>
      </c>
      <c r="C47" s="49">
        <f ca="1">('TFA Prevalences'!AB79*('RR TFA'!D50-1))/(('TFA Prevalences'!AB79*('RR TFA'!D50-1)+1))</f>
        <v>0</v>
      </c>
      <c r="D47" s="49">
        <f ca="1">('TFA Prevalences'!AC79*('RR TFA'!E50-1))/(('TFA Prevalences'!AC79*('RR TFA'!E50-1)+1))</f>
        <v>0</v>
      </c>
      <c r="E47" s="49">
        <f ca="1">('TFA Prevalences'!AD79*('RR TFA'!F50-1))/(('TFA Prevalences'!AD79*('RR TFA'!F50-1)+1))</f>
        <v>0</v>
      </c>
      <c r="F47" s="49">
        <f ca="1">('TFA Prevalences'!AE79*('RR TFA'!G50-1))/(('TFA Prevalences'!AE79*('RR TFA'!G50-1)+1))</f>
        <v>0</v>
      </c>
      <c r="G47" s="49">
        <f ca="1">('TFA Prevalences'!AF79*('RR TFA'!H50-1))/(('TFA Prevalences'!AF79*('RR TFA'!H50-1)+1))</f>
        <v>0</v>
      </c>
      <c r="H47" s="49">
        <f ca="1">('TFA Prevalences'!AG79*('RR TFA'!I50-1))/(('TFA Prevalences'!AG79*('RR TFA'!I50-1)+1))</f>
        <v>0</v>
      </c>
      <c r="I47" s="49">
        <f ca="1">('TFA Prevalences'!AH79*('RR TFA'!J50-1))/(('TFA Prevalences'!AH79*('RR TFA'!J50-1)+1))</f>
        <v>0</v>
      </c>
      <c r="J47" s="49">
        <f ca="1">('TFA Prevalences'!AI79*('RR TFA'!K50-1))/(('TFA Prevalences'!AI79*('RR TFA'!K50-1)+1))</f>
        <v>0</v>
      </c>
      <c r="K47" s="49">
        <f ca="1">('TFA Prevalences'!AJ79*('RR TFA'!L50-1))/(('TFA Prevalences'!AJ79*('RR TFA'!L50-1)+1))</f>
        <v>0</v>
      </c>
      <c r="L47" s="49">
        <f ca="1">('TFA Prevalences'!AK79*('RR TFA'!M50-1))/(('TFA Prevalences'!AK79*('RR TFA'!M50-1)+1))</f>
        <v>0</v>
      </c>
      <c r="M47" s="49">
        <f ca="1">('TFA Prevalences'!AL79*('RR TFA'!N50-1))/(('TFA Prevalences'!AL79*('RR TFA'!N50-1)+1))</f>
        <v>0</v>
      </c>
      <c r="N47" s="49">
        <f ca="1">('TFA Prevalences'!AM79*('RR TFA'!O50-1))/(('TFA Prevalences'!AM79*('RR TFA'!O50-1)+1))</f>
        <v>0</v>
      </c>
      <c r="O47" s="49">
        <f ca="1">('TFA Prevalences'!AN79*('RR TFA'!P50-1))/(('TFA Prevalences'!AN79*('RR TFA'!P50-1)+1))</f>
        <v>0</v>
      </c>
      <c r="P47" s="49">
        <f ca="1">('TFA Prevalences'!AO79*('RR TFA'!Q50-1))/(('TFA Prevalences'!AO79*('RR TFA'!Q50-1)+1))</f>
        <v>0</v>
      </c>
      <c r="Q47" s="49">
        <f ca="1">('TFA Prevalences'!AP79*('RR TFA'!R50-1))/(('TFA Prevalences'!AP79*('RR TFA'!R50-1)+1))</f>
        <v>0</v>
      </c>
      <c r="R47" s="49">
        <f ca="1">('TFA Prevalences'!AQ79*('RR TFA'!S50-1))/(('TFA Prevalences'!AQ79*('RR TFA'!S50-1)+1))</f>
        <v>0</v>
      </c>
      <c r="S47" s="49">
        <f ca="1">('TFA Prevalences'!AR79*('RR TFA'!T50-1))/(('TFA Prevalences'!AR79*('RR TFA'!T50-1)+1))</f>
        <v>0</v>
      </c>
      <c r="T47" s="49">
        <f ca="1">('TFA Prevalences'!AS79*('RR TFA'!U50-1))/(('TFA Prevalences'!AS79*('RR TFA'!U50-1)+1))</f>
        <v>0</v>
      </c>
      <c r="U47" s="49">
        <f ca="1">('TFA Prevalences'!AT79*('RR TFA'!V50-1))/(('TFA Prevalences'!AT79*('RR TFA'!V50-1)+1))</f>
        <v>0</v>
      </c>
      <c r="V47" s="49">
        <f ca="1">('TFA Prevalences'!AU79*('RR TFA'!W50-1))/(('TFA Prevalences'!AU79*('RR TFA'!W50-1)+1))</f>
        <v>0</v>
      </c>
      <c r="W47" s="49">
        <f ca="1">('TFA Prevalences'!AV79*('RR TFA'!X50-1))/(('TFA Prevalences'!AV79*('RR TFA'!X50-1)+1))</f>
        <v>0</v>
      </c>
      <c r="X47" s="49">
        <f ca="1">('TFA Prevalences'!AW79*('RR TFA'!Y50-1))/(('TFA Prevalences'!AW79*('RR TFA'!Y50-1)+1))</f>
        <v>0</v>
      </c>
      <c r="Y47" s="49">
        <f ca="1">('TFA Prevalences'!AX79*('RR TFA'!Z50-1))/(('TFA Prevalences'!AX79*('RR TFA'!Z50-1)+1))</f>
        <v>0</v>
      </c>
      <c r="Z47" s="49">
        <f ca="1">('TFA Prevalences'!AY79*('RR TFA'!AA50-1))/(('TFA Prevalences'!AY79*('RR TFA'!AA50-1)+1))</f>
        <v>0</v>
      </c>
      <c r="AA47">
        <f t="shared" ca="1" si="26"/>
        <v>0</v>
      </c>
    </row>
    <row r="48" spans="1:30" ht="15.5" x14ac:dyDescent="0.35">
      <c r="A48" s="43" t="s">
        <v>55</v>
      </c>
      <c r="B48" s="49">
        <f ca="1">('TFA Prevalences'!AA80*('RR TFA'!C51-1))/(('TFA Prevalences'!AA80*('RR TFA'!C51-1)+1))</f>
        <v>0</v>
      </c>
      <c r="C48" s="49">
        <f ca="1">('TFA Prevalences'!AB80*('RR TFA'!D51-1))/(('TFA Prevalences'!AB80*('RR TFA'!D51-1)+1))</f>
        <v>0</v>
      </c>
      <c r="D48" s="49">
        <f ca="1">('TFA Prevalences'!AC80*('RR TFA'!E51-1))/(('TFA Prevalences'!AC80*('RR TFA'!E51-1)+1))</f>
        <v>0</v>
      </c>
      <c r="E48" s="49">
        <f ca="1">('TFA Prevalences'!AD80*('RR TFA'!F51-1))/(('TFA Prevalences'!AD80*('RR TFA'!F51-1)+1))</f>
        <v>0</v>
      </c>
      <c r="F48" s="49">
        <f ca="1">('TFA Prevalences'!AE80*('RR TFA'!G51-1))/(('TFA Prevalences'!AE80*('RR TFA'!G51-1)+1))</f>
        <v>0</v>
      </c>
      <c r="G48" s="49">
        <f ca="1">('TFA Prevalences'!AF80*('RR TFA'!H51-1))/(('TFA Prevalences'!AF80*('RR TFA'!H51-1)+1))</f>
        <v>0</v>
      </c>
      <c r="H48" s="49">
        <f ca="1">('TFA Prevalences'!AG80*('RR TFA'!I51-1))/(('TFA Prevalences'!AG80*('RR TFA'!I51-1)+1))</f>
        <v>0</v>
      </c>
      <c r="I48" s="49">
        <f ca="1">('TFA Prevalences'!AH80*('RR TFA'!J51-1))/(('TFA Prevalences'!AH80*('RR TFA'!J51-1)+1))</f>
        <v>0</v>
      </c>
      <c r="J48" s="49">
        <f ca="1">('TFA Prevalences'!AI80*('RR TFA'!K51-1))/(('TFA Prevalences'!AI80*('RR TFA'!K51-1)+1))</f>
        <v>0</v>
      </c>
      <c r="K48" s="49">
        <f ca="1">('TFA Prevalences'!AJ80*('RR TFA'!L51-1))/(('TFA Prevalences'!AJ80*('RR TFA'!L51-1)+1))</f>
        <v>0</v>
      </c>
      <c r="L48" s="49">
        <f ca="1">('TFA Prevalences'!AK80*('RR TFA'!M51-1))/(('TFA Prevalences'!AK80*('RR TFA'!M51-1)+1))</f>
        <v>0</v>
      </c>
      <c r="M48" s="49">
        <f ca="1">('TFA Prevalences'!AL80*('RR TFA'!N51-1))/(('TFA Prevalences'!AL80*('RR TFA'!N51-1)+1))</f>
        <v>0</v>
      </c>
      <c r="N48" s="49">
        <f ca="1">('TFA Prevalences'!AM80*('RR TFA'!O51-1))/(('TFA Prevalences'!AM80*('RR TFA'!O51-1)+1))</f>
        <v>0</v>
      </c>
      <c r="O48" s="49">
        <f ca="1">('TFA Prevalences'!AN80*('RR TFA'!P51-1))/(('TFA Prevalences'!AN80*('RR TFA'!P51-1)+1))</f>
        <v>0</v>
      </c>
      <c r="P48" s="49">
        <f ca="1">('TFA Prevalences'!AO80*('RR TFA'!Q51-1))/(('TFA Prevalences'!AO80*('RR TFA'!Q51-1)+1))</f>
        <v>0</v>
      </c>
      <c r="Q48" s="49">
        <f ca="1">('TFA Prevalences'!AP80*('RR TFA'!R51-1))/(('TFA Prevalences'!AP80*('RR TFA'!R51-1)+1))</f>
        <v>0</v>
      </c>
      <c r="R48" s="49">
        <f ca="1">('TFA Prevalences'!AQ80*('RR TFA'!S51-1))/(('TFA Prevalences'!AQ80*('RR TFA'!S51-1)+1))</f>
        <v>0</v>
      </c>
      <c r="S48" s="49">
        <f ca="1">('TFA Prevalences'!AR80*('RR TFA'!T51-1))/(('TFA Prevalences'!AR80*('RR TFA'!T51-1)+1))</f>
        <v>0</v>
      </c>
      <c r="T48" s="49">
        <f ca="1">('TFA Prevalences'!AS80*('RR TFA'!U51-1))/(('TFA Prevalences'!AS80*('RR TFA'!U51-1)+1))</f>
        <v>0</v>
      </c>
      <c r="U48" s="49">
        <f ca="1">('TFA Prevalences'!AT80*('RR TFA'!V51-1))/(('TFA Prevalences'!AT80*('RR TFA'!V51-1)+1))</f>
        <v>0</v>
      </c>
      <c r="V48" s="49">
        <f ca="1">('TFA Prevalences'!AU80*('RR TFA'!W51-1))/(('TFA Prevalences'!AU80*('RR TFA'!W51-1)+1))</f>
        <v>0</v>
      </c>
      <c r="W48" s="49">
        <f ca="1">('TFA Prevalences'!AV80*('RR TFA'!X51-1))/(('TFA Prevalences'!AV80*('RR TFA'!X51-1)+1))</f>
        <v>0</v>
      </c>
      <c r="X48" s="49">
        <f ca="1">('TFA Prevalences'!AW80*('RR TFA'!Y51-1))/(('TFA Prevalences'!AW80*('RR TFA'!Y51-1)+1))</f>
        <v>0</v>
      </c>
      <c r="Y48" s="49">
        <f ca="1">('TFA Prevalences'!AX80*('RR TFA'!Z51-1))/(('TFA Prevalences'!AX80*('RR TFA'!Z51-1)+1))</f>
        <v>0</v>
      </c>
      <c r="Z48" s="49">
        <f ca="1">('TFA Prevalences'!AY80*('RR TFA'!AA51-1))/(('TFA Prevalences'!AY80*('RR TFA'!AA51-1)+1))</f>
        <v>0</v>
      </c>
      <c r="AA48">
        <f t="shared" ca="1" si="26"/>
        <v>0</v>
      </c>
    </row>
    <row r="49" spans="1:30" ht="15.5" x14ac:dyDescent="0.35">
      <c r="A49" s="43" t="s">
        <v>56</v>
      </c>
      <c r="B49" s="49">
        <f ca="1">('TFA Prevalences'!AA81*('RR TFA'!C52-1))/(('TFA Prevalences'!AA81*('RR TFA'!C52-1)+1))</f>
        <v>0</v>
      </c>
      <c r="C49" s="49">
        <f ca="1">('TFA Prevalences'!AB81*('RR TFA'!D52-1))/(('TFA Prevalences'!AB81*('RR TFA'!D52-1)+1))</f>
        <v>0</v>
      </c>
      <c r="D49" s="49">
        <f ca="1">('TFA Prevalences'!AC81*('RR TFA'!E52-1))/(('TFA Prevalences'!AC81*('RR TFA'!E52-1)+1))</f>
        <v>0</v>
      </c>
      <c r="E49" s="49">
        <f ca="1">('TFA Prevalences'!AD81*('RR TFA'!F52-1))/(('TFA Prevalences'!AD81*('RR TFA'!F52-1)+1))</f>
        <v>0</v>
      </c>
      <c r="F49" s="49">
        <f ca="1">('TFA Prevalences'!AE81*('RR TFA'!G52-1))/(('TFA Prevalences'!AE81*('RR TFA'!G52-1)+1))</f>
        <v>0</v>
      </c>
      <c r="G49" s="49">
        <f ca="1">('TFA Prevalences'!AF81*('RR TFA'!H52-1))/(('TFA Prevalences'!AF81*('RR TFA'!H52-1)+1))</f>
        <v>0</v>
      </c>
      <c r="H49" s="49">
        <f ca="1">('TFA Prevalences'!AG81*('RR TFA'!I52-1))/(('TFA Prevalences'!AG81*('RR TFA'!I52-1)+1))</f>
        <v>0</v>
      </c>
      <c r="I49" s="49">
        <f ca="1">('TFA Prevalences'!AH81*('RR TFA'!J52-1))/(('TFA Prevalences'!AH81*('RR TFA'!J52-1)+1))</f>
        <v>0</v>
      </c>
      <c r="J49" s="49">
        <f ca="1">('TFA Prevalences'!AI81*('RR TFA'!K52-1))/(('TFA Prevalences'!AI81*('RR TFA'!K52-1)+1))</f>
        <v>0</v>
      </c>
      <c r="K49" s="49">
        <f ca="1">('TFA Prevalences'!AJ81*('RR TFA'!L52-1))/(('TFA Prevalences'!AJ81*('RR TFA'!L52-1)+1))</f>
        <v>0</v>
      </c>
      <c r="L49" s="49">
        <f ca="1">('TFA Prevalences'!AK81*('RR TFA'!M52-1))/(('TFA Prevalences'!AK81*('RR TFA'!M52-1)+1))</f>
        <v>0</v>
      </c>
      <c r="M49" s="49">
        <f ca="1">('TFA Prevalences'!AL81*('RR TFA'!N52-1))/(('TFA Prevalences'!AL81*('RR TFA'!N52-1)+1))</f>
        <v>0</v>
      </c>
      <c r="N49" s="49">
        <f ca="1">('TFA Prevalences'!AM81*('RR TFA'!O52-1))/(('TFA Prevalences'!AM81*('RR TFA'!O52-1)+1))</f>
        <v>0</v>
      </c>
      <c r="O49" s="49">
        <f ca="1">('TFA Prevalences'!AN81*('RR TFA'!P52-1))/(('TFA Prevalences'!AN81*('RR TFA'!P52-1)+1))</f>
        <v>0</v>
      </c>
      <c r="P49" s="49">
        <f ca="1">('TFA Prevalences'!AO81*('RR TFA'!Q52-1))/(('TFA Prevalences'!AO81*('RR TFA'!Q52-1)+1))</f>
        <v>0</v>
      </c>
      <c r="Q49" s="49">
        <f ca="1">('TFA Prevalences'!AP81*('RR TFA'!R52-1))/(('TFA Prevalences'!AP81*('RR TFA'!R52-1)+1))</f>
        <v>0</v>
      </c>
      <c r="R49" s="49">
        <f ca="1">('TFA Prevalences'!AQ81*('RR TFA'!S52-1))/(('TFA Prevalences'!AQ81*('RR TFA'!S52-1)+1))</f>
        <v>0</v>
      </c>
      <c r="S49" s="49">
        <f ca="1">('TFA Prevalences'!AR81*('RR TFA'!T52-1))/(('TFA Prevalences'!AR81*('RR TFA'!T52-1)+1))</f>
        <v>0</v>
      </c>
      <c r="T49" s="49">
        <f ca="1">('TFA Prevalences'!AS81*('RR TFA'!U52-1))/(('TFA Prevalences'!AS81*('RR TFA'!U52-1)+1))</f>
        <v>0</v>
      </c>
      <c r="U49" s="49">
        <f ca="1">('TFA Prevalences'!AT81*('RR TFA'!V52-1))/(('TFA Prevalences'!AT81*('RR TFA'!V52-1)+1))</f>
        <v>0</v>
      </c>
      <c r="V49" s="49">
        <f ca="1">('TFA Prevalences'!AU81*('RR TFA'!W52-1))/(('TFA Prevalences'!AU81*('RR TFA'!W52-1)+1))</f>
        <v>0</v>
      </c>
      <c r="W49" s="49">
        <f ca="1">('TFA Prevalences'!AV81*('RR TFA'!X52-1))/(('TFA Prevalences'!AV81*('RR TFA'!X52-1)+1))</f>
        <v>0</v>
      </c>
      <c r="X49" s="49">
        <f ca="1">('TFA Prevalences'!AW81*('RR TFA'!Y52-1))/(('TFA Prevalences'!AW81*('RR TFA'!Y52-1)+1))</f>
        <v>0</v>
      </c>
      <c r="Y49" s="49">
        <f ca="1">('TFA Prevalences'!AX81*('RR TFA'!Z52-1))/(('TFA Prevalences'!AX81*('RR TFA'!Z52-1)+1))</f>
        <v>0</v>
      </c>
      <c r="Z49" s="49">
        <f ca="1">('TFA Prevalences'!AY81*('RR TFA'!AA52-1))/(('TFA Prevalences'!AY81*('RR TFA'!AA52-1)+1))</f>
        <v>0</v>
      </c>
      <c r="AA49">
        <f t="shared" ca="1" si="26"/>
        <v>0</v>
      </c>
    </row>
    <row r="50" spans="1:30" ht="15.5" x14ac:dyDescent="0.35">
      <c r="A50" s="43" t="s">
        <v>57</v>
      </c>
      <c r="B50" s="49">
        <f ca="1">('TFA Prevalences'!AA82*('RR TFA'!C53-1))/(('TFA Prevalences'!AA82*('RR TFA'!C53-1)+1))</f>
        <v>0</v>
      </c>
      <c r="C50" s="49">
        <f ca="1">('TFA Prevalences'!AB82*('RR TFA'!D53-1))/(('TFA Prevalences'!AB82*('RR TFA'!D53-1)+1))</f>
        <v>0</v>
      </c>
      <c r="D50" s="49">
        <f ca="1">('TFA Prevalences'!AC82*('RR TFA'!E53-1))/(('TFA Prevalences'!AC82*('RR TFA'!E53-1)+1))</f>
        <v>0</v>
      </c>
      <c r="E50" s="49">
        <f ca="1">('TFA Prevalences'!AD82*('RR TFA'!F53-1))/(('TFA Prevalences'!AD82*('RR TFA'!F53-1)+1))</f>
        <v>0</v>
      </c>
      <c r="F50" s="49">
        <f ca="1">('TFA Prevalences'!AE82*('RR TFA'!G53-1))/(('TFA Prevalences'!AE82*('RR TFA'!G53-1)+1))</f>
        <v>0</v>
      </c>
      <c r="G50" s="49">
        <f ca="1">('TFA Prevalences'!AF82*('RR TFA'!H53-1))/(('TFA Prevalences'!AF82*('RR TFA'!H53-1)+1))</f>
        <v>0</v>
      </c>
      <c r="H50" s="49">
        <f ca="1">('TFA Prevalences'!AG82*('RR TFA'!I53-1))/(('TFA Prevalences'!AG82*('RR TFA'!I53-1)+1))</f>
        <v>0</v>
      </c>
      <c r="I50" s="49">
        <f ca="1">('TFA Prevalences'!AH82*('RR TFA'!J53-1))/(('TFA Prevalences'!AH82*('RR TFA'!J53-1)+1))</f>
        <v>0</v>
      </c>
      <c r="J50" s="49">
        <f ca="1">('TFA Prevalences'!AI82*('RR TFA'!K53-1))/(('TFA Prevalences'!AI82*('RR TFA'!K53-1)+1))</f>
        <v>0</v>
      </c>
      <c r="K50" s="49">
        <f ca="1">('TFA Prevalences'!AJ82*('RR TFA'!L53-1))/(('TFA Prevalences'!AJ82*('RR TFA'!L53-1)+1))</f>
        <v>0</v>
      </c>
      <c r="L50" s="49">
        <f ca="1">('TFA Prevalences'!AK82*('RR TFA'!M53-1))/(('TFA Prevalences'!AK82*('RR TFA'!M53-1)+1))</f>
        <v>0</v>
      </c>
      <c r="M50" s="49">
        <f ca="1">('TFA Prevalences'!AL82*('RR TFA'!N53-1))/(('TFA Prevalences'!AL82*('RR TFA'!N53-1)+1))</f>
        <v>0</v>
      </c>
      <c r="N50" s="49">
        <f ca="1">('TFA Prevalences'!AM82*('RR TFA'!O53-1))/(('TFA Prevalences'!AM82*('RR TFA'!O53-1)+1))</f>
        <v>0</v>
      </c>
      <c r="O50" s="49">
        <f ca="1">('TFA Prevalences'!AN82*('RR TFA'!P53-1))/(('TFA Prevalences'!AN82*('RR TFA'!P53-1)+1))</f>
        <v>0</v>
      </c>
      <c r="P50" s="49">
        <f ca="1">('TFA Prevalences'!AO82*('RR TFA'!Q53-1))/(('TFA Prevalences'!AO82*('RR TFA'!Q53-1)+1))</f>
        <v>0</v>
      </c>
      <c r="Q50" s="49">
        <f ca="1">('TFA Prevalences'!AP82*('RR TFA'!R53-1))/(('TFA Prevalences'!AP82*('RR TFA'!R53-1)+1))</f>
        <v>0</v>
      </c>
      <c r="R50" s="49">
        <f ca="1">('TFA Prevalences'!AQ82*('RR TFA'!S53-1))/(('TFA Prevalences'!AQ82*('RR TFA'!S53-1)+1))</f>
        <v>0</v>
      </c>
      <c r="S50" s="49">
        <f ca="1">('TFA Prevalences'!AR82*('RR TFA'!T53-1))/(('TFA Prevalences'!AR82*('RR TFA'!T53-1)+1))</f>
        <v>0</v>
      </c>
      <c r="T50" s="49">
        <f ca="1">('TFA Prevalences'!AS82*('RR TFA'!U53-1))/(('TFA Prevalences'!AS82*('RR TFA'!U53-1)+1))</f>
        <v>0</v>
      </c>
      <c r="U50" s="49">
        <f ca="1">('TFA Prevalences'!AT82*('RR TFA'!V53-1))/(('TFA Prevalences'!AT82*('RR TFA'!V53-1)+1))</f>
        <v>0</v>
      </c>
      <c r="V50" s="49">
        <f ca="1">('TFA Prevalences'!AU82*('RR TFA'!W53-1))/(('TFA Prevalences'!AU82*('RR TFA'!W53-1)+1))</f>
        <v>0</v>
      </c>
      <c r="W50" s="49">
        <f ca="1">('TFA Prevalences'!AV82*('RR TFA'!X53-1))/(('TFA Prevalences'!AV82*('RR TFA'!X53-1)+1))</f>
        <v>0</v>
      </c>
      <c r="X50" s="49">
        <f ca="1">('TFA Prevalences'!AW82*('RR TFA'!Y53-1))/(('TFA Prevalences'!AW82*('RR TFA'!Y53-1)+1))</f>
        <v>0</v>
      </c>
      <c r="Y50" s="49">
        <f ca="1">('TFA Prevalences'!AX82*('RR TFA'!Z53-1))/(('TFA Prevalences'!AX82*('RR TFA'!Z53-1)+1))</f>
        <v>0</v>
      </c>
      <c r="Z50" s="49">
        <f ca="1">('TFA Prevalences'!AY82*('RR TFA'!AA53-1))/(('TFA Prevalences'!AY82*('RR TFA'!AA53-1)+1))</f>
        <v>0</v>
      </c>
      <c r="AA50">
        <f t="shared" ca="1" si="26"/>
        <v>0</v>
      </c>
      <c r="AB50" s="67"/>
      <c r="AC50" s="67"/>
      <c r="AD50" s="67"/>
    </row>
    <row r="51" spans="1:30" ht="15.5" x14ac:dyDescent="0.35">
      <c r="A51" s="43" t="s">
        <v>77</v>
      </c>
      <c r="B51" s="49">
        <f ca="1">('TFA Prevalences'!AA83*('RR TFA'!C54-1))/(('TFA Prevalences'!AA83*('RR TFA'!C54-1)+1))</f>
        <v>0</v>
      </c>
      <c r="C51" s="49">
        <f ca="1">('TFA Prevalences'!AB83*('RR TFA'!D54-1))/(('TFA Prevalences'!AB83*('RR TFA'!D54-1)+1))</f>
        <v>0</v>
      </c>
      <c r="D51" s="49">
        <f ca="1">('TFA Prevalences'!AC83*('RR TFA'!E54-1))/(('TFA Prevalences'!AC83*('RR TFA'!E54-1)+1))</f>
        <v>0</v>
      </c>
      <c r="E51" s="49">
        <f ca="1">('TFA Prevalences'!AD83*('RR TFA'!F54-1))/(('TFA Prevalences'!AD83*('RR TFA'!F54-1)+1))</f>
        <v>0</v>
      </c>
      <c r="F51" s="49">
        <f ca="1">('TFA Prevalences'!AE83*('RR TFA'!G54-1))/(('TFA Prevalences'!AE83*('RR TFA'!G54-1)+1))</f>
        <v>0</v>
      </c>
      <c r="G51" s="49">
        <f ca="1">('TFA Prevalences'!AF83*('RR TFA'!H54-1))/(('TFA Prevalences'!AF83*('RR TFA'!H54-1)+1))</f>
        <v>0</v>
      </c>
      <c r="H51" s="49">
        <f ca="1">('TFA Prevalences'!AG83*('RR TFA'!I54-1))/(('TFA Prevalences'!AG83*('RR TFA'!I54-1)+1))</f>
        <v>0</v>
      </c>
      <c r="I51" s="49">
        <f ca="1">('TFA Prevalences'!AH83*('RR TFA'!J54-1))/(('TFA Prevalences'!AH83*('RR TFA'!J54-1)+1))</f>
        <v>0</v>
      </c>
      <c r="J51" s="49">
        <f ca="1">('TFA Prevalences'!AI83*('RR TFA'!K54-1))/(('TFA Prevalences'!AI83*('RR TFA'!K54-1)+1))</f>
        <v>0</v>
      </c>
      <c r="K51" s="49">
        <f ca="1">('TFA Prevalences'!AJ83*('RR TFA'!L54-1))/(('TFA Prevalences'!AJ83*('RR TFA'!L54-1)+1))</f>
        <v>0</v>
      </c>
      <c r="L51" s="49">
        <f ca="1">('TFA Prevalences'!AK83*('RR TFA'!M54-1))/(('TFA Prevalences'!AK83*('RR TFA'!M54-1)+1))</f>
        <v>0</v>
      </c>
      <c r="M51" s="49">
        <f ca="1">('TFA Prevalences'!AL83*('RR TFA'!N54-1))/(('TFA Prevalences'!AL83*('RR TFA'!N54-1)+1))</f>
        <v>0</v>
      </c>
      <c r="N51" s="49">
        <f ca="1">('TFA Prevalences'!AM83*('RR TFA'!O54-1))/(('TFA Prevalences'!AM83*('RR TFA'!O54-1)+1))</f>
        <v>0</v>
      </c>
      <c r="O51" s="49">
        <f ca="1">('TFA Prevalences'!AN83*('RR TFA'!P54-1))/(('TFA Prevalences'!AN83*('RR TFA'!P54-1)+1))</f>
        <v>0</v>
      </c>
      <c r="P51" s="49">
        <f ca="1">('TFA Prevalences'!AO83*('RR TFA'!Q54-1))/(('TFA Prevalences'!AO83*('RR TFA'!Q54-1)+1))</f>
        <v>0</v>
      </c>
      <c r="Q51" s="49">
        <f ca="1">('TFA Prevalences'!AP83*('RR TFA'!R54-1))/(('TFA Prevalences'!AP83*('RR TFA'!R54-1)+1))</f>
        <v>0</v>
      </c>
      <c r="R51" s="49">
        <f ca="1">('TFA Prevalences'!AQ83*('RR TFA'!S54-1))/(('TFA Prevalences'!AQ83*('RR TFA'!S54-1)+1))</f>
        <v>0</v>
      </c>
      <c r="S51" s="49">
        <f ca="1">('TFA Prevalences'!AR83*('RR TFA'!T54-1))/(('TFA Prevalences'!AR83*('RR TFA'!T54-1)+1))</f>
        <v>0</v>
      </c>
      <c r="T51" s="49">
        <f ca="1">('TFA Prevalences'!AS83*('RR TFA'!U54-1))/(('TFA Prevalences'!AS83*('RR TFA'!U54-1)+1))</f>
        <v>0</v>
      </c>
      <c r="U51" s="49">
        <f ca="1">('TFA Prevalences'!AT83*('RR TFA'!V54-1))/(('TFA Prevalences'!AT83*('RR TFA'!V54-1)+1))</f>
        <v>0</v>
      </c>
      <c r="V51" s="49">
        <f ca="1">('TFA Prevalences'!AU83*('RR TFA'!W54-1))/(('TFA Prevalences'!AU83*('RR TFA'!W54-1)+1))</f>
        <v>0</v>
      </c>
      <c r="W51" s="49">
        <f ca="1">('TFA Prevalences'!AV83*('RR TFA'!X54-1))/(('TFA Prevalences'!AV83*('RR TFA'!X54-1)+1))</f>
        <v>0</v>
      </c>
      <c r="X51" s="49">
        <f ca="1">('TFA Prevalences'!AW83*('RR TFA'!Y54-1))/(('TFA Prevalences'!AW83*('RR TFA'!Y54-1)+1))</f>
        <v>0</v>
      </c>
      <c r="Y51" s="49">
        <f ca="1">('TFA Prevalences'!AX83*('RR TFA'!Z54-1))/(('TFA Prevalences'!AX83*('RR TFA'!Z54-1)+1))</f>
        <v>0</v>
      </c>
      <c r="Z51" s="49">
        <f ca="1">('TFA Prevalences'!AY83*('RR TFA'!AA54-1))/(('TFA Prevalences'!AY83*('RR TFA'!AA54-1)+1))</f>
        <v>0</v>
      </c>
      <c r="AA51">
        <f t="shared" ca="1" si="26"/>
        <v>0</v>
      </c>
    </row>
    <row r="52" spans="1:30" ht="15.5" x14ac:dyDescent="0.35">
      <c r="A52" s="4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/>
    </row>
    <row r="53" spans="1:30" ht="15.5" x14ac:dyDescent="0.35">
      <c r="A53" s="43" t="s">
        <v>60</v>
      </c>
      <c r="B53" s="49">
        <f ca="1">('TFA Prevalences'!AA85*('RR TFA'!C58-1))/(('TFA Prevalences'!AA85*('RR TFA'!C58-1)+1))</f>
        <v>0</v>
      </c>
      <c r="C53" s="49">
        <f ca="1">('TFA Prevalences'!AB85*('RR TFA'!D58-1))/(('TFA Prevalences'!AB85*('RR TFA'!D58-1)+1))</f>
        <v>0</v>
      </c>
      <c r="D53" s="49">
        <f ca="1">('TFA Prevalences'!AC85*('RR TFA'!E58-1))/(('TFA Prevalences'!AC85*('RR TFA'!E58-1)+1))</f>
        <v>0</v>
      </c>
      <c r="E53" s="49">
        <f ca="1">('TFA Prevalences'!AD85*('RR TFA'!F58-1))/(('TFA Prevalences'!AD85*('RR TFA'!F58-1)+1))</f>
        <v>0</v>
      </c>
      <c r="F53" s="49">
        <f ca="1">('TFA Prevalences'!AE85*('RR TFA'!G58-1))/(('TFA Prevalences'!AE85*('RR TFA'!G58-1)+1))</f>
        <v>0</v>
      </c>
      <c r="G53" s="49">
        <f ca="1">('TFA Prevalences'!AF85*('RR TFA'!H58-1))/(('TFA Prevalences'!AF85*('RR TFA'!H58-1)+1))</f>
        <v>0</v>
      </c>
      <c r="H53" s="49">
        <f ca="1">('TFA Prevalences'!AG85*('RR TFA'!I58-1))/(('TFA Prevalences'!AG85*('RR TFA'!I58-1)+1))</f>
        <v>0</v>
      </c>
      <c r="I53" s="49">
        <f ca="1">('TFA Prevalences'!AH85*('RR TFA'!J58-1))/(('TFA Prevalences'!AH85*('RR TFA'!J58-1)+1))</f>
        <v>0</v>
      </c>
      <c r="J53" s="49">
        <f ca="1">('TFA Prevalences'!AI85*('RR TFA'!K58-1))/(('TFA Prevalences'!AI85*('RR TFA'!K58-1)+1))</f>
        <v>0</v>
      </c>
      <c r="K53" s="49">
        <f ca="1">('TFA Prevalences'!AJ85*('RR TFA'!L58-1))/(('TFA Prevalences'!AJ85*('RR TFA'!L58-1)+1))</f>
        <v>0</v>
      </c>
      <c r="L53" s="49">
        <f ca="1">('TFA Prevalences'!AK85*('RR TFA'!M58-1))/(('TFA Prevalences'!AK85*('RR TFA'!M58-1)+1))</f>
        <v>0</v>
      </c>
      <c r="M53" s="49">
        <f ca="1">('TFA Prevalences'!AL85*('RR TFA'!N58-1))/(('TFA Prevalences'!AL85*('RR TFA'!N58-1)+1))</f>
        <v>0</v>
      </c>
      <c r="N53" s="49">
        <f ca="1">('TFA Prevalences'!AM85*('RR TFA'!O58-1))/(('TFA Prevalences'!AM85*('RR TFA'!O58-1)+1))</f>
        <v>0</v>
      </c>
      <c r="O53" s="49">
        <f ca="1">('TFA Prevalences'!AN85*('RR TFA'!P58-1))/(('TFA Prevalences'!AN85*('RR TFA'!P58-1)+1))</f>
        <v>0</v>
      </c>
      <c r="P53" s="49">
        <f ca="1">('TFA Prevalences'!AO85*('RR TFA'!Q58-1))/(('TFA Prevalences'!AO85*('RR TFA'!Q58-1)+1))</f>
        <v>0</v>
      </c>
      <c r="Q53" s="49">
        <f ca="1">('TFA Prevalences'!AP85*('RR TFA'!R58-1))/(('TFA Prevalences'!AP85*('RR TFA'!R58-1)+1))</f>
        <v>0</v>
      </c>
      <c r="R53" s="49">
        <f ca="1">('TFA Prevalences'!AQ85*('RR TFA'!S58-1))/(('TFA Prevalences'!AQ85*('RR TFA'!S58-1)+1))</f>
        <v>0</v>
      </c>
      <c r="S53" s="49">
        <f ca="1">('TFA Prevalences'!AR85*('RR TFA'!T58-1))/(('TFA Prevalences'!AR85*('RR TFA'!T58-1)+1))</f>
        <v>0</v>
      </c>
      <c r="T53" s="49">
        <f ca="1">('TFA Prevalences'!AS85*('RR TFA'!U58-1))/(('TFA Prevalences'!AS85*('RR TFA'!U58-1)+1))</f>
        <v>0</v>
      </c>
      <c r="U53" s="49">
        <f ca="1">('TFA Prevalences'!AT85*('RR TFA'!V58-1))/(('TFA Prevalences'!AT85*('RR TFA'!V58-1)+1))</f>
        <v>0</v>
      </c>
      <c r="V53" s="49">
        <f ca="1">('TFA Prevalences'!AU85*('RR TFA'!W58-1))/(('TFA Prevalences'!AU85*('RR TFA'!W58-1)+1))</f>
        <v>0</v>
      </c>
      <c r="W53" s="49">
        <f ca="1">('TFA Prevalences'!AV85*('RR TFA'!X58-1))/(('TFA Prevalences'!AV85*('RR TFA'!X58-1)+1))</f>
        <v>0</v>
      </c>
      <c r="X53" s="49">
        <f ca="1">('TFA Prevalences'!AW85*('RR TFA'!Y58-1))/(('TFA Prevalences'!AW85*('RR TFA'!Y58-1)+1))</f>
        <v>0</v>
      </c>
      <c r="Y53" s="49">
        <f ca="1">('TFA Prevalences'!AX85*('RR TFA'!Z58-1))/(('TFA Prevalences'!AX85*('RR TFA'!Z58-1)+1))</f>
        <v>0</v>
      </c>
      <c r="Z53" s="49">
        <f ca="1">('TFA Prevalences'!AY85*('RR TFA'!AA58-1))/(('TFA Prevalences'!AY85*('RR TFA'!AA58-1)+1))</f>
        <v>0</v>
      </c>
      <c r="AA53">
        <f ca="1">SUM(B53:Z53)</f>
        <v>0</v>
      </c>
    </row>
    <row r="54" spans="1:30" ht="15.5" x14ac:dyDescent="0.35">
      <c r="A54" s="43" t="s">
        <v>61</v>
      </c>
      <c r="B54" s="49">
        <f ca="1">('TFA Prevalences'!AA86*('RR TFA'!C59-1))/(('TFA Prevalences'!AA86*('RR TFA'!C59-1)+1))</f>
        <v>0</v>
      </c>
      <c r="C54" s="49">
        <f ca="1">('TFA Prevalences'!AB86*('RR TFA'!D59-1))/(('TFA Prevalences'!AB86*('RR TFA'!D59-1)+1))</f>
        <v>0</v>
      </c>
      <c r="D54" s="49">
        <f ca="1">('TFA Prevalences'!AC86*('RR TFA'!E59-1))/(('TFA Prevalences'!AC86*('RR TFA'!E59-1)+1))</f>
        <v>0</v>
      </c>
      <c r="E54" s="49">
        <f ca="1">('TFA Prevalences'!AD86*('RR TFA'!F59-1))/(('TFA Prevalences'!AD86*('RR TFA'!F59-1)+1))</f>
        <v>0</v>
      </c>
      <c r="F54" s="49">
        <f ca="1">('TFA Prevalences'!AE86*('RR TFA'!G59-1))/(('TFA Prevalences'!AE86*('RR TFA'!G59-1)+1))</f>
        <v>0</v>
      </c>
      <c r="G54" s="49">
        <f ca="1">('TFA Prevalences'!AF86*('RR TFA'!H59-1))/(('TFA Prevalences'!AF86*('RR TFA'!H59-1)+1))</f>
        <v>0</v>
      </c>
      <c r="H54" s="49">
        <f ca="1">('TFA Prevalences'!AG86*('RR TFA'!I59-1))/(('TFA Prevalences'!AG86*('RR TFA'!I59-1)+1))</f>
        <v>0</v>
      </c>
      <c r="I54" s="49">
        <f ca="1">('TFA Prevalences'!AH86*('RR TFA'!J59-1))/(('TFA Prevalences'!AH86*('RR TFA'!J59-1)+1))</f>
        <v>0</v>
      </c>
      <c r="J54" s="49">
        <f ca="1">('TFA Prevalences'!AI86*('RR TFA'!K59-1))/(('TFA Prevalences'!AI86*('RR TFA'!K59-1)+1))</f>
        <v>0</v>
      </c>
      <c r="K54" s="49">
        <f ca="1">('TFA Prevalences'!AJ86*('RR TFA'!L59-1))/(('TFA Prevalences'!AJ86*('RR TFA'!L59-1)+1))</f>
        <v>0</v>
      </c>
      <c r="L54" s="49">
        <f ca="1">('TFA Prevalences'!AK86*('RR TFA'!M59-1))/(('TFA Prevalences'!AK86*('RR TFA'!M59-1)+1))</f>
        <v>0</v>
      </c>
      <c r="M54" s="49">
        <f ca="1">('TFA Prevalences'!AL86*('RR TFA'!N59-1))/(('TFA Prevalences'!AL86*('RR TFA'!N59-1)+1))</f>
        <v>0</v>
      </c>
      <c r="N54" s="49">
        <f ca="1">('TFA Prevalences'!AM86*('RR TFA'!O59-1))/(('TFA Prevalences'!AM86*('RR TFA'!O59-1)+1))</f>
        <v>0</v>
      </c>
      <c r="O54" s="49">
        <f ca="1">('TFA Prevalences'!AN86*('RR TFA'!P59-1))/(('TFA Prevalences'!AN86*('RR TFA'!P59-1)+1))</f>
        <v>0</v>
      </c>
      <c r="P54" s="49">
        <f ca="1">('TFA Prevalences'!AO86*('RR TFA'!Q59-1))/(('TFA Prevalences'!AO86*('RR TFA'!Q59-1)+1))</f>
        <v>0</v>
      </c>
      <c r="Q54" s="49">
        <f ca="1">('TFA Prevalences'!AP86*('RR TFA'!R59-1))/(('TFA Prevalences'!AP86*('RR TFA'!R59-1)+1))</f>
        <v>0</v>
      </c>
      <c r="R54" s="49">
        <f ca="1">('TFA Prevalences'!AQ86*('RR TFA'!S59-1))/(('TFA Prevalences'!AQ86*('RR TFA'!S59-1)+1))</f>
        <v>0</v>
      </c>
      <c r="S54" s="49">
        <f ca="1">('TFA Prevalences'!AR86*('RR TFA'!T59-1))/(('TFA Prevalences'!AR86*('RR TFA'!T59-1)+1))</f>
        <v>0</v>
      </c>
      <c r="T54" s="49">
        <f ca="1">('TFA Prevalences'!AS86*('RR TFA'!U59-1))/(('TFA Prevalences'!AS86*('RR TFA'!U59-1)+1))</f>
        <v>0</v>
      </c>
      <c r="U54" s="49">
        <f ca="1">('TFA Prevalences'!AT86*('RR TFA'!V59-1))/(('TFA Prevalences'!AT86*('RR TFA'!V59-1)+1))</f>
        <v>0</v>
      </c>
      <c r="V54" s="49">
        <f ca="1">('TFA Prevalences'!AU86*('RR TFA'!W59-1))/(('TFA Prevalences'!AU86*('RR TFA'!W59-1)+1))</f>
        <v>0</v>
      </c>
      <c r="W54" s="49">
        <f ca="1">('TFA Prevalences'!AV86*('RR TFA'!X59-1))/(('TFA Prevalences'!AV86*('RR TFA'!X59-1)+1))</f>
        <v>0</v>
      </c>
      <c r="X54" s="49">
        <f ca="1">('TFA Prevalences'!AW86*('RR TFA'!Y59-1))/(('TFA Prevalences'!AW86*('RR TFA'!Y59-1)+1))</f>
        <v>0</v>
      </c>
      <c r="Y54" s="49">
        <f ca="1">('TFA Prevalences'!AX86*('RR TFA'!Z59-1))/(('TFA Prevalences'!AX86*('RR TFA'!Z59-1)+1))</f>
        <v>0</v>
      </c>
      <c r="Z54" s="49">
        <f ca="1">('TFA Prevalences'!AY86*('RR TFA'!AA59-1))/(('TFA Prevalences'!AY86*('RR TFA'!AA59-1)+1))</f>
        <v>0</v>
      </c>
      <c r="AA54">
        <f t="shared" ref="AA54:AA66" ca="1" si="27">SUM(B54:Z54)</f>
        <v>0</v>
      </c>
    </row>
    <row r="55" spans="1:30" ht="15.5" x14ac:dyDescent="0.35">
      <c r="A55" s="43" t="s">
        <v>62</v>
      </c>
      <c r="B55" s="49">
        <f ca="1">('TFA Prevalences'!AA87*('RR TFA'!C60-1))/(('TFA Prevalences'!AA87*('RR TFA'!C60-1)+1))</f>
        <v>0</v>
      </c>
      <c r="C55" s="49">
        <f ca="1">('TFA Prevalences'!AB87*('RR TFA'!D60-1))/(('TFA Prevalences'!AB87*('RR TFA'!D60-1)+1))</f>
        <v>0</v>
      </c>
      <c r="D55" s="49">
        <f ca="1">('TFA Prevalences'!AC87*('RR TFA'!E60-1))/(('TFA Prevalences'!AC87*('RR TFA'!E60-1)+1))</f>
        <v>0</v>
      </c>
      <c r="E55" s="49">
        <f ca="1">('TFA Prevalences'!AD87*('RR TFA'!F60-1))/(('TFA Prevalences'!AD87*('RR TFA'!F60-1)+1))</f>
        <v>0</v>
      </c>
      <c r="F55" s="49">
        <f ca="1">('TFA Prevalences'!AE87*('RR TFA'!G60-1))/(('TFA Prevalences'!AE87*('RR TFA'!G60-1)+1))</f>
        <v>0</v>
      </c>
      <c r="G55" s="49">
        <f ca="1">('TFA Prevalences'!AF87*('RR TFA'!H60-1))/(('TFA Prevalences'!AF87*('RR TFA'!H60-1)+1))</f>
        <v>0</v>
      </c>
      <c r="H55" s="49">
        <f ca="1">('TFA Prevalences'!AG87*('RR TFA'!I60-1))/(('TFA Prevalences'!AG87*('RR TFA'!I60-1)+1))</f>
        <v>0</v>
      </c>
      <c r="I55" s="49">
        <f ca="1">('TFA Prevalences'!AH87*('RR TFA'!J60-1))/(('TFA Prevalences'!AH87*('RR TFA'!J60-1)+1))</f>
        <v>0</v>
      </c>
      <c r="J55" s="49">
        <f ca="1">('TFA Prevalences'!AI87*('RR TFA'!K60-1))/(('TFA Prevalences'!AI87*('RR TFA'!K60-1)+1))</f>
        <v>0</v>
      </c>
      <c r="K55" s="49">
        <f ca="1">('TFA Prevalences'!AJ87*('RR TFA'!L60-1))/(('TFA Prevalences'!AJ87*('RR TFA'!L60-1)+1))</f>
        <v>0</v>
      </c>
      <c r="L55" s="49">
        <f ca="1">('TFA Prevalences'!AK87*('RR TFA'!M60-1))/(('TFA Prevalences'!AK87*('RR TFA'!M60-1)+1))</f>
        <v>0</v>
      </c>
      <c r="M55" s="49">
        <f ca="1">('TFA Prevalences'!AL87*('RR TFA'!N60-1))/(('TFA Prevalences'!AL87*('RR TFA'!N60-1)+1))</f>
        <v>0</v>
      </c>
      <c r="N55" s="49">
        <f ca="1">('TFA Prevalences'!AM87*('RR TFA'!O60-1))/(('TFA Prevalences'!AM87*('RR TFA'!O60-1)+1))</f>
        <v>0</v>
      </c>
      <c r="O55" s="49">
        <f ca="1">('TFA Prevalences'!AN87*('RR TFA'!P60-1))/(('TFA Prevalences'!AN87*('RR TFA'!P60-1)+1))</f>
        <v>0</v>
      </c>
      <c r="P55" s="49">
        <f ca="1">('TFA Prevalences'!AO87*('RR TFA'!Q60-1))/(('TFA Prevalences'!AO87*('RR TFA'!Q60-1)+1))</f>
        <v>0</v>
      </c>
      <c r="Q55" s="49">
        <f ca="1">('TFA Prevalences'!AP87*('RR TFA'!R60-1))/(('TFA Prevalences'!AP87*('RR TFA'!R60-1)+1))</f>
        <v>0</v>
      </c>
      <c r="R55" s="49">
        <f ca="1">('TFA Prevalences'!AQ87*('RR TFA'!S60-1))/(('TFA Prevalences'!AQ87*('RR TFA'!S60-1)+1))</f>
        <v>0</v>
      </c>
      <c r="S55" s="49">
        <f ca="1">('TFA Prevalences'!AR87*('RR TFA'!T60-1))/(('TFA Prevalences'!AR87*('RR TFA'!T60-1)+1))</f>
        <v>0</v>
      </c>
      <c r="T55" s="49">
        <f ca="1">('TFA Prevalences'!AS87*('RR TFA'!U60-1))/(('TFA Prevalences'!AS87*('RR TFA'!U60-1)+1))</f>
        <v>0</v>
      </c>
      <c r="U55" s="49">
        <f ca="1">('TFA Prevalences'!AT87*('RR TFA'!V60-1))/(('TFA Prevalences'!AT87*('RR TFA'!V60-1)+1))</f>
        <v>0</v>
      </c>
      <c r="V55" s="49">
        <f ca="1">('TFA Prevalences'!AU87*('RR TFA'!W60-1))/(('TFA Prevalences'!AU87*('RR TFA'!W60-1)+1))</f>
        <v>0</v>
      </c>
      <c r="W55" s="49">
        <f ca="1">('TFA Prevalences'!AV87*('RR TFA'!X60-1))/(('TFA Prevalences'!AV87*('RR TFA'!X60-1)+1))</f>
        <v>0</v>
      </c>
      <c r="X55" s="49">
        <f ca="1">('TFA Prevalences'!AW87*('RR TFA'!Y60-1))/(('TFA Prevalences'!AW87*('RR TFA'!Y60-1)+1))</f>
        <v>0</v>
      </c>
      <c r="Y55" s="49">
        <f ca="1">('TFA Prevalences'!AX87*('RR TFA'!Z60-1))/(('TFA Prevalences'!AX87*('RR TFA'!Z60-1)+1))</f>
        <v>0</v>
      </c>
      <c r="Z55" s="49">
        <f ca="1">('TFA Prevalences'!AY87*('RR TFA'!AA60-1))/(('TFA Prevalences'!AY87*('RR TFA'!AA60-1)+1))</f>
        <v>0</v>
      </c>
      <c r="AA55">
        <f t="shared" ca="1" si="27"/>
        <v>0</v>
      </c>
    </row>
    <row r="56" spans="1:30" ht="15.5" x14ac:dyDescent="0.35">
      <c r="A56" s="43" t="s">
        <v>63</v>
      </c>
      <c r="B56" s="49">
        <f ca="1">('TFA Prevalences'!AA88*('RR TFA'!C61-1))/(('TFA Prevalences'!AA88*('RR TFA'!C61-1)+1))</f>
        <v>0</v>
      </c>
      <c r="C56" s="49">
        <f ca="1">('TFA Prevalences'!AB88*('RR TFA'!D61-1))/(('TFA Prevalences'!AB88*('RR TFA'!D61-1)+1))</f>
        <v>0</v>
      </c>
      <c r="D56" s="49">
        <f ca="1">('TFA Prevalences'!AC88*('RR TFA'!E61-1))/(('TFA Prevalences'!AC88*('RR TFA'!E61-1)+1))</f>
        <v>0</v>
      </c>
      <c r="E56" s="49">
        <f ca="1">('TFA Prevalences'!AD88*('RR TFA'!F61-1))/(('TFA Prevalences'!AD88*('RR TFA'!F61-1)+1))</f>
        <v>0</v>
      </c>
      <c r="F56" s="49">
        <f ca="1">('TFA Prevalences'!AE88*('RR TFA'!G61-1))/(('TFA Prevalences'!AE88*('RR TFA'!G61-1)+1))</f>
        <v>0</v>
      </c>
      <c r="G56" s="49">
        <f ca="1">('TFA Prevalences'!AF88*('RR TFA'!H61-1))/(('TFA Prevalences'!AF88*('RR TFA'!H61-1)+1))</f>
        <v>0</v>
      </c>
      <c r="H56" s="49">
        <f ca="1">('TFA Prevalences'!AG88*('RR TFA'!I61-1))/(('TFA Prevalences'!AG88*('RR TFA'!I61-1)+1))</f>
        <v>0</v>
      </c>
      <c r="I56" s="49">
        <f ca="1">('TFA Prevalences'!AH88*('RR TFA'!J61-1))/(('TFA Prevalences'!AH88*('RR TFA'!J61-1)+1))</f>
        <v>0</v>
      </c>
      <c r="J56" s="49">
        <f ca="1">('TFA Prevalences'!AI88*('RR TFA'!K61-1))/(('TFA Prevalences'!AI88*('RR TFA'!K61-1)+1))</f>
        <v>0</v>
      </c>
      <c r="K56" s="49">
        <f ca="1">('TFA Prevalences'!AJ88*('RR TFA'!L61-1))/(('TFA Prevalences'!AJ88*('RR TFA'!L61-1)+1))</f>
        <v>0</v>
      </c>
      <c r="L56" s="49">
        <f ca="1">('TFA Prevalences'!AK88*('RR TFA'!M61-1))/(('TFA Prevalences'!AK88*('RR TFA'!M61-1)+1))</f>
        <v>0</v>
      </c>
      <c r="M56" s="49">
        <f ca="1">('TFA Prevalences'!AL88*('RR TFA'!N61-1))/(('TFA Prevalences'!AL88*('RR TFA'!N61-1)+1))</f>
        <v>0</v>
      </c>
      <c r="N56" s="49">
        <f ca="1">('TFA Prevalences'!AM88*('RR TFA'!O61-1))/(('TFA Prevalences'!AM88*('RR TFA'!O61-1)+1))</f>
        <v>0</v>
      </c>
      <c r="O56" s="49">
        <f ca="1">('TFA Prevalences'!AN88*('RR TFA'!P61-1))/(('TFA Prevalences'!AN88*('RR TFA'!P61-1)+1))</f>
        <v>0</v>
      </c>
      <c r="P56" s="49">
        <f ca="1">('TFA Prevalences'!AO88*('RR TFA'!Q61-1))/(('TFA Prevalences'!AO88*('RR TFA'!Q61-1)+1))</f>
        <v>0</v>
      </c>
      <c r="Q56" s="49">
        <f ca="1">('TFA Prevalences'!AP88*('RR TFA'!R61-1))/(('TFA Prevalences'!AP88*('RR TFA'!R61-1)+1))</f>
        <v>0</v>
      </c>
      <c r="R56" s="49">
        <f ca="1">('TFA Prevalences'!AQ88*('RR TFA'!S61-1))/(('TFA Prevalences'!AQ88*('RR TFA'!S61-1)+1))</f>
        <v>0</v>
      </c>
      <c r="S56" s="49">
        <f ca="1">('TFA Prevalences'!AR88*('RR TFA'!T61-1))/(('TFA Prevalences'!AR88*('RR TFA'!T61-1)+1))</f>
        <v>0</v>
      </c>
      <c r="T56" s="49">
        <f ca="1">('TFA Prevalences'!AS88*('RR TFA'!U61-1))/(('TFA Prevalences'!AS88*('RR TFA'!U61-1)+1))</f>
        <v>0</v>
      </c>
      <c r="U56" s="49">
        <f ca="1">('TFA Prevalences'!AT88*('RR TFA'!V61-1))/(('TFA Prevalences'!AT88*('RR TFA'!V61-1)+1))</f>
        <v>0</v>
      </c>
      <c r="V56" s="49">
        <f ca="1">('TFA Prevalences'!AU88*('RR TFA'!W61-1))/(('TFA Prevalences'!AU88*('RR TFA'!W61-1)+1))</f>
        <v>0</v>
      </c>
      <c r="W56" s="49">
        <f ca="1">('TFA Prevalences'!AV88*('RR TFA'!X61-1))/(('TFA Prevalences'!AV88*('RR TFA'!X61-1)+1))</f>
        <v>0</v>
      </c>
      <c r="X56" s="49">
        <f ca="1">('TFA Prevalences'!AW88*('RR TFA'!Y61-1))/(('TFA Prevalences'!AW88*('RR TFA'!Y61-1)+1))</f>
        <v>0</v>
      </c>
      <c r="Y56" s="49">
        <f ca="1">('TFA Prevalences'!AX88*('RR TFA'!Z61-1))/(('TFA Prevalences'!AX88*('RR TFA'!Z61-1)+1))</f>
        <v>0</v>
      </c>
      <c r="Z56" s="49">
        <f ca="1">('TFA Prevalences'!AY88*('RR TFA'!AA61-1))/(('TFA Prevalences'!AY88*('RR TFA'!AA61-1)+1))</f>
        <v>0</v>
      </c>
      <c r="AA56">
        <f t="shared" ca="1" si="27"/>
        <v>0</v>
      </c>
    </row>
    <row r="57" spans="1:30" ht="15.5" x14ac:dyDescent="0.35">
      <c r="A57" s="43" t="s">
        <v>64</v>
      </c>
      <c r="B57" s="49">
        <f ca="1">('TFA Prevalences'!AA89*('RR TFA'!C62-1))/(('TFA Prevalences'!AA89*('RR TFA'!C62-1)+1))</f>
        <v>0</v>
      </c>
      <c r="C57" s="49">
        <f ca="1">('TFA Prevalences'!AB89*('RR TFA'!D62-1))/(('TFA Prevalences'!AB89*('RR TFA'!D62-1)+1))</f>
        <v>0</v>
      </c>
      <c r="D57" s="49">
        <f ca="1">('TFA Prevalences'!AC89*('RR TFA'!E62-1))/(('TFA Prevalences'!AC89*('RR TFA'!E62-1)+1))</f>
        <v>0</v>
      </c>
      <c r="E57" s="49">
        <f ca="1">('TFA Prevalences'!AD89*('RR TFA'!F62-1))/(('TFA Prevalences'!AD89*('RR TFA'!F62-1)+1))</f>
        <v>0</v>
      </c>
      <c r="F57" s="49">
        <f ca="1">('TFA Prevalences'!AE89*('RR TFA'!G62-1))/(('TFA Prevalences'!AE89*('RR TFA'!G62-1)+1))</f>
        <v>0</v>
      </c>
      <c r="G57" s="49">
        <f ca="1">('TFA Prevalences'!AF89*('RR TFA'!H62-1))/(('TFA Prevalences'!AF89*('RR TFA'!H62-1)+1))</f>
        <v>0</v>
      </c>
      <c r="H57" s="49">
        <f ca="1">('TFA Prevalences'!AG89*('RR TFA'!I62-1))/(('TFA Prevalences'!AG89*('RR TFA'!I62-1)+1))</f>
        <v>0</v>
      </c>
      <c r="I57" s="49">
        <f ca="1">('TFA Prevalences'!AH89*('RR TFA'!J62-1))/(('TFA Prevalences'!AH89*('RR TFA'!J62-1)+1))</f>
        <v>0</v>
      </c>
      <c r="J57" s="49">
        <f ca="1">('TFA Prevalences'!AI89*('RR TFA'!K62-1))/(('TFA Prevalences'!AI89*('RR TFA'!K62-1)+1))</f>
        <v>0</v>
      </c>
      <c r="K57" s="49">
        <f ca="1">('TFA Prevalences'!AJ89*('RR TFA'!L62-1))/(('TFA Prevalences'!AJ89*('RR TFA'!L62-1)+1))</f>
        <v>0</v>
      </c>
      <c r="L57" s="49">
        <f ca="1">('TFA Prevalences'!AK89*('RR TFA'!M62-1))/(('TFA Prevalences'!AK89*('RR TFA'!M62-1)+1))</f>
        <v>0</v>
      </c>
      <c r="M57" s="49">
        <f ca="1">('TFA Prevalences'!AL89*('RR TFA'!N62-1))/(('TFA Prevalences'!AL89*('RR TFA'!N62-1)+1))</f>
        <v>0</v>
      </c>
      <c r="N57" s="49">
        <f ca="1">('TFA Prevalences'!AM89*('RR TFA'!O62-1))/(('TFA Prevalences'!AM89*('RR TFA'!O62-1)+1))</f>
        <v>0</v>
      </c>
      <c r="O57" s="49">
        <f ca="1">('TFA Prevalences'!AN89*('RR TFA'!P62-1))/(('TFA Prevalences'!AN89*('RR TFA'!P62-1)+1))</f>
        <v>0</v>
      </c>
      <c r="P57" s="49">
        <f ca="1">('TFA Prevalences'!AO89*('RR TFA'!Q62-1))/(('TFA Prevalences'!AO89*('RR TFA'!Q62-1)+1))</f>
        <v>0</v>
      </c>
      <c r="Q57" s="49">
        <f ca="1">('TFA Prevalences'!AP89*('RR TFA'!R62-1))/(('TFA Prevalences'!AP89*('RR TFA'!R62-1)+1))</f>
        <v>0</v>
      </c>
      <c r="R57" s="49">
        <f ca="1">('TFA Prevalences'!AQ89*('RR TFA'!S62-1))/(('TFA Prevalences'!AQ89*('RR TFA'!S62-1)+1))</f>
        <v>0</v>
      </c>
      <c r="S57" s="49">
        <f ca="1">('TFA Prevalences'!AR89*('RR TFA'!T62-1))/(('TFA Prevalences'!AR89*('RR TFA'!T62-1)+1))</f>
        <v>0</v>
      </c>
      <c r="T57" s="49">
        <f ca="1">('TFA Prevalences'!AS89*('RR TFA'!U62-1))/(('TFA Prevalences'!AS89*('RR TFA'!U62-1)+1))</f>
        <v>0</v>
      </c>
      <c r="U57" s="49">
        <f ca="1">('TFA Prevalences'!AT89*('RR TFA'!V62-1))/(('TFA Prevalences'!AT89*('RR TFA'!V62-1)+1))</f>
        <v>0</v>
      </c>
      <c r="V57" s="49">
        <f ca="1">('TFA Prevalences'!AU89*('RR TFA'!W62-1))/(('TFA Prevalences'!AU89*('RR TFA'!W62-1)+1))</f>
        <v>0</v>
      </c>
      <c r="W57" s="49">
        <f ca="1">('TFA Prevalences'!AV89*('RR TFA'!X62-1))/(('TFA Prevalences'!AV89*('RR TFA'!X62-1)+1))</f>
        <v>0</v>
      </c>
      <c r="X57" s="49">
        <f ca="1">('TFA Prevalences'!AW89*('RR TFA'!Y62-1))/(('TFA Prevalences'!AW89*('RR TFA'!Y62-1)+1))</f>
        <v>0</v>
      </c>
      <c r="Y57" s="49">
        <f ca="1">('TFA Prevalences'!AX89*('RR TFA'!Z62-1))/(('TFA Prevalences'!AX89*('RR TFA'!Z62-1)+1))</f>
        <v>0</v>
      </c>
      <c r="Z57" s="49">
        <f ca="1">('TFA Prevalences'!AY89*('RR TFA'!AA62-1))/(('TFA Prevalences'!AY89*('RR TFA'!AA62-1)+1))</f>
        <v>0</v>
      </c>
      <c r="AA57">
        <f t="shared" ca="1" si="27"/>
        <v>0</v>
      </c>
    </row>
    <row r="58" spans="1:30" ht="15.5" x14ac:dyDescent="0.35">
      <c r="A58" s="43" t="s">
        <v>65</v>
      </c>
      <c r="B58" s="49">
        <f ca="1">('TFA Prevalences'!AA90*('RR TFA'!C63-1))/(('TFA Prevalences'!AA90*('RR TFA'!C63-1)+1))</f>
        <v>0</v>
      </c>
      <c r="C58" s="49">
        <f ca="1">('TFA Prevalences'!AB90*('RR TFA'!D63-1))/(('TFA Prevalences'!AB90*('RR TFA'!D63-1)+1))</f>
        <v>0</v>
      </c>
      <c r="D58" s="49">
        <f ca="1">('TFA Prevalences'!AC90*('RR TFA'!E63-1))/(('TFA Prevalences'!AC90*('RR TFA'!E63-1)+1))</f>
        <v>0</v>
      </c>
      <c r="E58" s="49">
        <f ca="1">('TFA Prevalences'!AD90*('RR TFA'!F63-1))/(('TFA Prevalences'!AD90*('RR TFA'!F63-1)+1))</f>
        <v>0</v>
      </c>
      <c r="F58" s="49">
        <f ca="1">('TFA Prevalences'!AE90*('RR TFA'!G63-1))/(('TFA Prevalences'!AE90*('RR TFA'!G63-1)+1))</f>
        <v>0</v>
      </c>
      <c r="G58" s="49">
        <f ca="1">('TFA Prevalences'!AF90*('RR TFA'!H63-1))/(('TFA Prevalences'!AF90*('RR TFA'!H63-1)+1))</f>
        <v>0</v>
      </c>
      <c r="H58" s="49">
        <f ca="1">('TFA Prevalences'!AG90*('RR TFA'!I63-1))/(('TFA Prevalences'!AG90*('RR TFA'!I63-1)+1))</f>
        <v>0</v>
      </c>
      <c r="I58" s="49">
        <f ca="1">('TFA Prevalences'!AH90*('RR TFA'!J63-1))/(('TFA Prevalences'!AH90*('RR TFA'!J63-1)+1))</f>
        <v>0</v>
      </c>
      <c r="J58" s="49">
        <f ca="1">('TFA Prevalences'!AI90*('RR TFA'!K63-1))/(('TFA Prevalences'!AI90*('RR TFA'!K63-1)+1))</f>
        <v>0</v>
      </c>
      <c r="K58" s="49">
        <f ca="1">('TFA Prevalences'!AJ90*('RR TFA'!L63-1))/(('TFA Prevalences'!AJ90*('RR TFA'!L63-1)+1))</f>
        <v>0</v>
      </c>
      <c r="L58" s="49">
        <f ca="1">('TFA Prevalences'!AK90*('RR TFA'!M63-1))/(('TFA Prevalences'!AK90*('RR TFA'!M63-1)+1))</f>
        <v>0</v>
      </c>
      <c r="M58" s="49">
        <f ca="1">('TFA Prevalences'!AL90*('RR TFA'!N63-1))/(('TFA Prevalences'!AL90*('RR TFA'!N63-1)+1))</f>
        <v>0</v>
      </c>
      <c r="N58" s="49">
        <f ca="1">('TFA Prevalences'!AM90*('RR TFA'!O63-1))/(('TFA Prevalences'!AM90*('RR TFA'!O63-1)+1))</f>
        <v>0</v>
      </c>
      <c r="O58" s="49">
        <f ca="1">('TFA Prevalences'!AN90*('RR TFA'!P63-1))/(('TFA Prevalences'!AN90*('RR TFA'!P63-1)+1))</f>
        <v>0</v>
      </c>
      <c r="P58" s="49">
        <f ca="1">('TFA Prevalences'!AO90*('RR TFA'!Q63-1))/(('TFA Prevalences'!AO90*('RR TFA'!Q63-1)+1))</f>
        <v>0</v>
      </c>
      <c r="Q58" s="49">
        <f ca="1">('TFA Prevalences'!AP90*('RR TFA'!R63-1))/(('TFA Prevalences'!AP90*('RR TFA'!R63-1)+1))</f>
        <v>0</v>
      </c>
      <c r="R58" s="49">
        <f ca="1">('TFA Prevalences'!AQ90*('RR TFA'!S63-1))/(('TFA Prevalences'!AQ90*('RR TFA'!S63-1)+1))</f>
        <v>0</v>
      </c>
      <c r="S58" s="49">
        <f ca="1">('TFA Prevalences'!AR90*('RR TFA'!T63-1))/(('TFA Prevalences'!AR90*('RR TFA'!T63-1)+1))</f>
        <v>0</v>
      </c>
      <c r="T58" s="49">
        <f ca="1">('TFA Prevalences'!AS90*('RR TFA'!U63-1))/(('TFA Prevalences'!AS90*('RR TFA'!U63-1)+1))</f>
        <v>0</v>
      </c>
      <c r="U58" s="49">
        <f ca="1">('TFA Prevalences'!AT90*('RR TFA'!V63-1))/(('TFA Prevalences'!AT90*('RR TFA'!V63-1)+1))</f>
        <v>0</v>
      </c>
      <c r="V58" s="49">
        <f ca="1">('TFA Prevalences'!AU90*('RR TFA'!W63-1))/(('TFA Prevalences'!AU90*('RR TFA'!W63-1)+1))</f>
        <v>0</v>
      </c>
      <c r="W58" s="49">
        <f ca="1">('TFA Prevalences'!AV90*('RR TFA'!X63-1))/(('TFA Prevalences'!AV90*('RR TFA'!X63-1)+1))</f>
        <v>0</v>
      </c>
      <c r="X58" s="49">
        <f ca="1">('TFA Prevalences'!AW90*('RR TFA'!Y63-1))/(('TFA Prevalences'!AW90*('RR TFA'!Y63-1)+1))</f>
        <v>0</v>
      </c>
      <c r="Y58" s="49">
        <f ca="1">('TFA Prevalences'!AX90*('RR TFA'!Z63-1))/(('TFA Prevalences'!AX90*('RR TFA'!Z63-1)+1))</f>
        <v>0</v>
      </c>
      <c r="Z58" s="49">
        <f ca="1">('TFA Prevalences'!AY90*('RR TFA'!AA63-1))/(('TFA Prevalences'!AY90*('RR TFA'!AA63-1)+1))</f>
        <v>0</v>
      </c>
      <c r="AA58">
        <f t="shared" ca="1" si="27"/>
        <v>0</v>
      </c>
    </row>
    <row r="59" spans="1:30" ht="15.5" x14ac:dyDescent="0.35">
      <c r="A59" s="43" t="s">
        <v>66</v>
      </c>
      <c r="B59" s="49">
        <f ca="1">('TFA Prevalences'!AA91*('RR TFA'!C64-1))/(('TFA Prevalences'!AA91*('RR TFA'!C64-1)+1))</f>
        <v>0</v>
      </c>
      <c r="C59" s="49">
        <f ca="1">('TFA Prevalences'!AB91*('RR TFA'!D64-1))/(('TFA Prevalences'!AB91*('RR TFA'!D64-1)+1))</f>
        <v>0</v>
      </c>
      <c r="D59" s="49">
        <f ca="1">('TFA Prevalences'!AC91*('RR TFA'!E64-1))/(('TFA Prevalences'!AC91*('RR TFA'!E64-1)+1))</f>
        <v>0</v>
      </c>
      <c r="E59" s="49">
        <f ca="1">('TFA Prevalences'!AD91*('RR TFA'!F64-1))/(('TFA Prevalences'!AD91*('RR TFA'!F64-1)+1))</f>
        <v>0</v>
      </c>
      <c r="F59" s="49">
        <f ca="1">('TFA Prevalences'!AE91*('RR TFA'!G64-1))/(('TFA Prevalences'!AE91*('RR TFA'!G64-1)+1))</f>
        <v>0</v>
      </c>
      <c r="G59" s="49">
        <f ca="1">('TFA Prevalences'!AF91*('RR TFA'!H64-1))/(('TFA Prevalences'!AF91*('RR TFA'!H64-1)+1))</f>
        <v>0</v>
      </c>
      <c r="H59" s="49">
        <f ca="1">('TFA Prevalences'!AG91*('RR TFA'!I64-1))/(('TFA Prevalences'!AG91*('RR TFA'!I64-1)+1))</f>
        <v>0</v>
      </c>
      <c r="I59" s="49">
        <f ca="1">('TFA Prevalences'!AH91*('RR TFA'!J64-1))/(('TFA Prevalences'!AH91*('RR TFA'!J64-1)+1))</f>
        <v>0</v>
      </c>
      <c r="J59" s="49">
        <f ca="1">('TFA Prevalences'!AI91*('RR TFA'!K64-1))/(('TFA Prevalences'!AI91*('RR TFA'!K64-1)+1))</f>
        <v>0</v>
      </c>
      <c r="K59" s="49">
        <f ca="1">('TFA Prevalences'!AJ91*('RR TFA'!L64-1))/(('TFA Prevalences'!AJ91*('RR TFA'!L64-1)+1))</f>
        <v>0</v>
      </c>
      <c r="L59" s="49">
        <f ca="1">('TFA Prevalences'!AK91*('RR TFA'!M64-1))/(('TFA Prevalences'!AK91*('RR TFA'!M64-1)+1))</f>
        <v>0</v>
      </c>
      <c r="M59" s="49">
        <f ca="1">('TFA Prevalences'!AL91*('RR TFA'!N64-1))/(('TFA Prevalences'!AL91*('RR TFA'!N64-1)+1))</f>
        <v>0</v>
      </c>
      <c r="N59" s="49">
        <f ca="1">('TFA Prevalences'!AM91*('RR TFA'!O64-1))/(('TFA Prevalences'!AM91*('RR TFA'!O64-1)+1))</f>
        <v>0</v>
      </c>
      <c r="O59" s="49">
        <f ca="1">('TFA Prevalences'!AN91*('RR TFA'!P64-1))/(('TFA Prevalences'!AN91*('RR TFA'!P64-1)+1))</f>
        <v>0</v>
      </c>
      <c r="P59" s="49">
        <f ca="1">('TFA Prevalences'!AO91*('RR TFA'!Q64-1))/(('TFA Prevalences'!AO91*('RR TFA'!Q64-1)+1))</f>
        <v>0</v>
      </c>
      <c r="Q59" s="49">
        <f ca="1">('TFA Prevalences'!AP91*('RR TFA'!R64-1))/(('TFA Prevalences'!AP91*('RR TFA'!R64-1)+1))</f>
        <v>0</v>
      </c>
      <c r="R59" s="49">
        <f ca="1">('TFA Prevalences'!AQ91*('RR TFA'!S64-1))/(('TFA Prevalences'!AQ91*('RR TFA'!S64-1)+1))</f>
        <v>0</v>
      </c>
      <c r="S59" s="49">
        <f ca="1">('TFA Prevalences'!AR91*('RR TFA'!T64-1))/(('TFA Prevalences'!AR91*('RR TFA'!T64-1)+1))</f>
        <v>0</v>
      </c>
      <c r="T59" s="49">
        <f ca="1">('TFA Prevalences'!AS91*('RR TFA'!U64-1))/(('TFA Prevalences'!AS91*('RR TFA'!U64-1)+1))</f>
        <v>0</v>
      </c>
      <c r="U59" s="49">
        <f ca="1">('TFA Prevalences'!AT91*('RR TFA'!V64-1))/(('TFA Prevalences'!AT91*('RR TFA'!V64-1)+1))</f>
        <v>0</v>
      </c>
      <c r="V59" s="49">
        <f ca="1">('TFA Prevalences'!AU91*('RR TFA'!W64-1))/(('TFA Prevalences'!AU91*('RR TFA'!W64-1)+1))</f>
        <v>0</v>
      </c>
      <c r="W59" s="49">
        <f ca="1">('TFA Prevalences'!AV91*('RR TFA'!X64-1))/(('TFA Prevalences'!AV91*('RR TFA'!X64-1)+1))</f>
        <v>0</v>
      </c>
      <c r="X59" s="49">
        <f ca="1">('TFA Prevalences'!AW91*('RR TFA'!Y64-1))/(('TFA Prevalences'!AW91*('RR TFA'!Y64-1)+1))</f>
        <v>0</v>
      </c>
      <c r="Y59" s="49">
        <f ca="1">('TFA Prevalences'!AX91*('RR TFA'!Z64-1))/(('TFA Prevalences'!AX91*('RR TFA'!Z64-1)+1))</f>
        <v>0</v>
      </c>
      <c r="Z59" s="49">
        <f ca="1">('TFA Prevalences'!AY91*('RR TFA'!AA64-1))/(('TFA Prevalences'!AY91*('RR TFA'!AA64-1)+1))</f>
        <v>0</v>
      </c>
      <c r="AA59">
        <f t="shared" ca="1" si="27"/>
        <v>0</v>
      </c>
    </row>
    <row r="60" spans="1:30" ht="15.5" x14ac:dyDescent="0.35">
      <c r="A60" s="43" t="s">
        <v>67</v>
      </c>
      <c r="B60" s="49">
        <f ca="1">('TFA Prevalences'!AA92*('RR TFA'!C65-1))/(('TFA Prevalences'!AA92*('RR TFA'!C65-1)+1))</f>
        <v>0</v>
      </c>
      <c r="C60" s="49">
        <f ca="1">('TFA Prevalences'!AB92*('RR TFA'!D65-1))/(('TFA Prevalences'!AB92*('RR TFA'!D65-1)+1))</f>
        <v>0</v>
      </c>
      <c r="D60" s="49">
        <f ca="1">('TFA Prevalences'!AC92*('RR TFA'!E65-1))/(('TFA Prevalences'!AC92*('RR TFA'!E65-1)+1))</f>
        <v>0</v>
      </c>
      <c r="E60" s="49">
        <f ca="1">('TFA Prevalences'!AD92*('RR TFA'!F65-1))/(('TFA Prevalences'!AD92*('RR TFA'!F65-1)+1))</f>
        <v>0</v>
      </c>
      <c r="F60" s="49">
        <f ca="1">('TFA Prevalences'!AE92*('RR TFA'!G65-1))/(('TFA Prevalences'!AE92*('RR TFA'!G65-1)+1))</f>
        <v>0</v>
      </c>
      <c r="G60" s="49">
        <f ca="1">('TFA Prevalences'!AF92*('RR TFA'!H65-1))/(('TFA Prevalences'!AF92*('RR TFA'!H65-1)+1))</f>
        <v>0</v>
      </c>
      <c r="H60" s="49">
        <f ca="1">('TFA Prevalences'!AG92*('RR TFA'!I65-1))/(('TFA Prevalences'!AG92*('RR TFA'!I65-1)+1))</f>
        <v>0</v>
      </c>
      <c r="I60" s="49">
        <f ca="1">('TFA Prevalences'!AH92*('RR TFA'!J65-1))/(('TFA Prevalences'!AH92*('RR TFA'!J65-1)+1))</f>
        <v>0</v>
      </c>
      <c r="J60" s="49">
        <f ca="1">('TFA Prevalences'!AI92*('RR TFA'!K65-1))/(('TFA Prevalences'!AI92*('RR TFA'!K65-1)+1))</f>
        <v>0</v>
      </c>
      <c r="K60" s="49">
        <f ca="1">('TFA Prevalences'!AJ92*('RR TFA'!L65-1))/(('TFA Prevalences'!AJ92*('RR TFA'!L65-1)+1))</f>
        <v>0</v>
      </c>
      <c r="L60" s="49">
        <f ca="1">('TFA Prevalences'!AK92*('RR TFA'!M65-1))/(('TFA Prevalences'!AK92*('RR TFA'!M65-1)+1))</f>
        <v>0</v>
      </c>
      <c r="M60" s="49">
        <f ca="1">('TFA Prevalences'!AL92*('RR TFA'!N65-1))/(('TFA Prevalences'!AL92*('RR TFA'!N65-1)+1))</f>
        <v>0</v>
      </c>
      <c r="N60" s="49">
        <f ca="1">('TFA Prevalences'!AM92*('RR TFA'!O65-1))/(('TFA Prevalences'!AM92*('RR TFA'!O65-1)+1))</f>
        <v>0</v>
      </c>
      <c r="O60" s="49">
        <f ca="1">('TFA Prevalences'!AN92*('RR TFA'!P65-1))/(('TFA Prevalences'!AN92*('RR TFA'!P65-1)+1))</f>
        <v>0</v>
      </c>
      <c r="P60" s="49">
        <f ca="1">('TFA Prevalences'!AO92*('RR TFA'!Q65-1))/(('TFA Prevalences'!AO92*('RR TFA'!Q65-1)+1))</f>
        <v>0</v>
      </c>
      <c r="Q60" s="49">
        <f ca="1">('TFA Prevalences'!AP92*('RR TFA'!R65-1))/(('TFA Prevalences'!AP92*('RR TFA'!R65-1)+1))</f>
        <v>0</v>
      </c>
      <c r="R60" s="49">
        <f ca="1">('TFA Prevalences'!AQ92*('RR TFA'!S65-1))/(('TFA Prevalences'!AQ92*('RR TFA'!S65-1)+1))</f>
        <v>0</v>
      </c>
      <c r="S60" s="49">
        <f ca="1">('TFA Prevalences'!AR92*('RR TFA'!T65-1))/(('TFA Prevalences'!AR92*('RR TFA'!T65-1)+1))</f>
        <v>0</v>
      </c>
      <c r="T60" s="49">
        <f ca="1">('TFA Prevalences'!AS92*('RR TFA'!U65-1))/(('TFA Prevalences'!AS92*('RR TFA'!U65-1)+1))</f>
        <v>0</v>
      </c>
      <c r="U60" s="49">
        <f ca="1">('TFA Prevalences'!AT92*('RR TFA'!V65-1))/(('TFA Prevalences'!AT92*('RR TFA'!V65-1)+1))</f>
        <v>0</v>
      </c>
      <c r="V60" s="49">
        <f ca="1">('TFA Prevalences'!AU92*('RR TFA'!W65-1))/(('TFA Prevalences'!AU92*('RR TFA'!W65-1)+1))</f>
        <v>0</v>
      </c>
      <c r="W60" s="49">
        <f ca="1">('TFA Prevalences'!AV92*('RR TFA'!X65-1))/(('TFA Prevalences'!AV92*('RR TFA'!X65-1)+1))</f>
        <v>0</v>
      </c>
      <c r="X60" s="49">
        <f ca="1">('TFA Prevalences'!AW92*('RR TFA'!Y65-1))/(('TFA Prevalences'!AW92*('RR TFA'!Y65-1)+1))</f>
        <v>0</v>
      </c>
      <c r="Y60" s="49">
        <f ca="1">('TFA Prevalences'!AX92*('RR TFA'!Z65-1))/(('TFA Prevalences'!AX92*('RR TFA'!Z65-1)+1))</f>
        <v>0</v>
      </c>
      <c r="Z60" s="49">
        <f ca="1">('TFA Prevalences'!AY92*('RR TFA'!AA65-1))/(('TFA Prevalences'!AY92*('RR TFA'!AA65-1)+1))</f>
        <v>0</v>
      </c>
      <c r="AA60">
        <f t="shared" ca="1" si="27"/>
        <v>0</v>
      </c>
    </row>
    <row r="61" spans="1:30" ht="15.5" x14ac:dyDescent="0.35">
      <c r="A61" s="43" t="s">
        <v>68</v>
      </c>
      <c r="B61" s="49">
        <f ca="1">('TFA Prevalences'!AA93*('RR TFA'!C66-1))/(('TFA Prevalences'!AA93*('RR TFA'!C66-1)+1))</f>
        <v>0</v>
      </c>
      <c r="C61" s="49">
        <f ca="1">('TFA Prevalences'!AB93*('RR TFA'!D66-1))/(('TFA Prevalences'!AB93*('RR TFA'!D66-1)+1))</f>
        <v>0</v>
      </c>
      <c r="D61" s="49">
        <f ca="1">('TFA Prevalences'!AC93*('RR TFA'!E66-1))/(('TFA Prevalences'!AC93*('RR TFA'!E66-1)+1))</f>
        <v>0</v>
      </c>
      <c r="E61" s="49">
        <f ca="1">('TFA Prevalences'!AD93*('RR TFA'!F66-1))/(('TFA Prevalences'!AD93*('RR TFA'!F66-1)+1))</f>
        <v>0</v>
      </c>
      <c r="F61" s="49">
        <f ca="1">('TFA Prevalences'!AE93*('RR TFA'!G66-1))/(('TFA Prevalences'!AE93*('RR TFA'!G66-1)+1))</f>
        <v>0</v>
      </c>
      <c r="G61" s="49">
        <f ca="1">('TFA Prevalences'!AF93*('RR TFA'!H66-1))/(('TFA Prevalences'!AF93*('RR TFA'!H66-1)+1))</f>
        <v>0</v>
      </c>
      <c r="H61" s="49">
        <f ca="1">('TFA Prevalences'!AG93*('RR TFA'!I66-1))/(('TFA Prevalences'!AG93*('RR TFA'!I66-1)+1))</f>
        <v>0</v>
      </c>
      <c r="I61" s="49">
        <f ca="1">('TFA Prevalences'!AH93*('RR TFA'!J66-1))/(('TFA Prevalences'!AH93*('RR TFA'!J66-1)+1))</f>
        <v>0</v>
      </c>
      <c r="J61" s="49">
        <f ca="1">('TFA Prevalences'!AI93*('RR TFA'!K66-1))/(('TFA Prevalences'!AI93*('RR TFA'!K66-1)+1))</f>
        <v>0</v>
      </c>
      <c r="K61" s="49">
        <f ca="1">('TFA Prevalences'!AJ93*('RR TFA'!L66-1))/(('TFA Prevalences'!AJ93*('RR TFA'!L66-1)+1))</f>
        <v>0</v>
      </c>
      <c r="L61" s="49">
        <f ca="1">('TFA Prevalences'!AK93*('RR TFA'!M66-1))/(('TFA Prevalences'!AK93*('RR TFA'!M66-1)+1))</f>
        <v>0</v>
      </c>
      <c r="M61" s="49">
        <f ca="1">('TFA Prevalences'!AL93*('RR TFA'!N66-1))/(('TFA Prevalences'!AL93*('RR TFA'!N66-1)+1))</f>
        <v>0</v>
      </c>
      <c r="N61" s="49">
        <f ca="1">('TFA Prevalences'!AM93*('RR TFA'!O66-1))/(('TFA Prevalences'!AM93*('RR TFA'!O66-1)+1))</f>
        <v>0</v>
      </c>
      <c r="O61" s="49">
        <f ca="1">('TFA Prevalences'!AN93*('RR TFA'!P66-1))/(('TFA Prevalences'!AN93*('RR TFA'!P66-1)+1))</f>
        <v>0</v>
      </c>
      <c r="P61" s="49">
        <f ca="1">('TFA Prevalences'!AO93*('RR TFA'!Q66-1))/(('TFA Prevalences'!AO93*('RR TFA'!Q66-1)+1))</f>
        <v>0</v>
      </c>
      <c r="Q61" s="49">
        <f ca="1">('TFA Prevalences'!AP93*('RR TFA'!R66-1))/(('TFA Prevalences'!AP93*('RR TFA'!R66-1)+1))</f>
        <v>0</v>
      </c>
      <c r="R61" s="49">
        <f ca="1">('TFA Prevalences'!AQ93*('RR TFA'!S66-1))/(('TFA Prevalences'!AQ93*('RR TFA'!S66-1)+1))</f>
        <v>0</v>
      </c>
      <c r="S61" s="49">
        <f ca="1">('TFA Prevalences'!AR93*('RR TFA'!T66-1))/(('TFA Prevalences'!AR93*('RR TFA'!T66-1)+1))</f>
        <v>0</v>
      </c>
      <c r="T61" s="49">
        <f ca="1">('TFA Prevalences'!AS93*('RR TFA'!U66-1))/(('TFA Prevalences'!AS93*('RR TFA'!U66-1)+1))</f>
        <v>0</v>
      </c>
      <c r="U61" s="49">
        <f ca="1">('TFA Prevalences'!AT93*('RR TFA'!V66-1))/(('TFA Prevalences'!AT93*('RR TFA'!V66-1)+1))</f>
        <v>0</v>
      </c>
      <c r="V61" s="49">
        <f ca="1">('TFA Prevalences'!AU93*('RR TFA'!W66-1))/(('TFA Prevalences'!AU93*('RR TFA'!W66-1)+1))</f>
        <v>0</v>
      </c>
      <c r="W61" s="49">
        <f ca="1">('TFA Prevalences'!AV93*('RR TFA'!X66-1))/(('TFA Prevalences'!AV93*('RR TFA'!X66-1)+1))</f>
        <v>0</v>
      </c>
      <c r="X61" s="49">
        <f ca="1">('TFA Prevalences'!AW93*('RR TFA'!Y66-1))/(('TFA Prevalences'!AW93*('RR TFA'!Y66-1)+1))</f>
        <v>0</v>
      </c>
      <c r="Y61" s="49">
        <f ca="1">('TFA Prevalences'!AX93*('RR TFA'!Z66-1))/(('TFA Prevalences'!AX93*('RR TFA'!Z66-1)+1))</f>
        <v>0</v>
      </c>
      <c r="Z61" s="49">
        <f ca="1">('TFA Prevalences'!AY93*('RR TFA'!AA66-1))/(('TFA Prevalences'!AY93*('RR TFA'!AA66-1)+1))</f>
        <v>0</v>
      </c>
      <c r="AA61">
        <f t="shared" ca="1" si="27"/>
        <v>0</v>
      </c>
    </row>
    <row r="62" spans="1:30" ht="15.5" x14ac:dyDescent="0.35">
      <c r="A62" s="43" t="s">
        <v>69</v>
      </c>
      <c r="B62" s="49">
        <f ca="1">('TFA Prevalences'!AA94*('RR TFA'!C67-1))/(('TFA Prevalences'!AA94*('RR TFA'!C67-1)+1))</f>
        <v>0</v>
      </c>
      <c r="C62" s="49">
        <f ca="1">('TFA Prevalences'!AB94*('RR TFA'!D67-1))/(('TFA Prevalences'!AB94*('RR TFA'!D67-1)+1))</f>
        <v>0</v>
      </c>
      <c r="D62" s="49">
        <f ca="1">('TFA Prevalences'!AC94*('RR TFA'!E67-1))/(('TFA Prevalences'!AC94*('RR TFA'!E67-1)+1))</f>
        <v>0</v>
      </c>
      <c r="E62" s="49">
        <f ca="1">('TFA Prevalences'!AD94*('RR TFA'!F67-1))/(('TFA Prevalences'!AD94*('RR TFA'!F67-1)+1))</f>
        <v>0</v>
      </c>
      <c r="F62" s="49">
        <f ca="1">('TFA Prevalences'!AE94*('RR TFA'!G67-1))/(('TFA Prevalences'!AE94*('RR TFA'!G67-1)+1))</f>
        <v>0</v>
      </c>
      <c r="G62" s="49">
        <f ca="1">('TFA Prevalences'!AF94*('RR TFA'!H67-1))/(('TFA Prevalences'!AF94*('RR TFA'!H67-1)+1))</f>
        <v>0</v>
      </c>
      <c r="H62" s="49">
        <f ca="1">('TFA Prevalences'!AG94*('RR TFA'!I67-1))/(('TFA Prevalences'!AG94*('RR TFA'!I67-1)+1))</f>
        <v>0</v>
      </c>
      <c r="I62" s="49">
        <f ca="1">('TFA Prevalences'!AH94*('RR TFA'!J67-1))/(('TFA Prevalences'!AH94*('RR TFA'!J67-1)+1))</f>
        <v>0</v>
      </c>
      <c r="J62" s="49">
        <f ca="1">('TFA Prevalences'!AI94*('RR TFA'!K67-1))/(('TFA Prevalences'!AI94*('RR TFA'!K67-1)+1))</f>
        <v>0</v>
      </c>
      <c r="K62" s="49">
        <f ca="1">('TFA Prevalences'!AJ94*('RR TFA'!L67-1))/(('TFA Prevalences'!AJ94*('RR TFA'!L67-1)+1))</f>
        <v>0</v>
      </c>
      <c r="L62" s="49">
        <f ca="1">('TFA Prevalences'!AK94*('RR TFA'!M67-1))/(('TFA Prevalences'!AK94*('RR TFA'!M67-1)+1))</f>
        <v>0</v>
      </c>
      <c r="M62" s="49">
        <f ca="1">('TFA Prevalences'!AL94*('RR TFA'!N67-1))/(('TFA Prevalences'!AL94*('RR TFA'!N67-1)+1))</f>
        <v>0</v>
      </c>
      <c r="N62" s="49">
        <f ca="1">('TFA Prevalences'!AM94*('RR TFA'!O67-1))/(('TFA Prevalences'!AM94*('RR TFA'!O67-1)+1))</f>
        <v>0</v>
      </c>
      <c r="O62" s="49">
        <f ca="1">('TFA Prevalences'!AN94*('RR TFA'!P67-1))/(('TFA Prevalences'!AN94*('RR TFA'!P67-1)+1))</f>
        <v>0</v>
      </c>
      <c r="P62" s="49">
        <f ca="1">('TFA Prevalences'!AO94*('RR TFA'!Q67-1))/(('TFA Prevalences'!AO94*('RR TFA'!Q67-1)+1))</f>
        <v>0</v>
      </c>
      <c r="Q62" s="49">
        <f ca="1">('TFA Prevalences'!AP94*('RR TFA'!R67-1))/(('TFA Prevalences'!AP94*('RR TFA'!R67-1)+1))</f>
        <v>0</v>
      </c>
      <c r="R62" s="49">
        <f ca="1">('TFA Prevalences'!AQ94*('RR TFA'!S67-1))/(('TFA Prevalences'!AQ94*('RR TFA'!S67-1)+1))</f>
        <v>0</v>
      </c>
      <c r="S62" s="49">
        <f ca="1">('TFA Prevalences'!AR94*('RR TFA'!T67-1))/(('TFA Prevalences'!AR94*('RR TFA'!T67-1)+1))</f>
        <v>0</v>
      </c>
      <c r="T62" s="49">
        <f ca="1">('TFA Prevalences'!AS94*('RR TFA'!U67-1))/(('TFA Prevalences'!AS94*('RR TFA'!U67-1)+1))</f>
        <v>0</v>
      </c>
      <c r="U62" s="49">
        <f ca="1">('TFA Prevalences'!AT94*('RR TFA'!V67-1))/(('TFA Prevalences'!AT94*('RR TFA'!V67-1)+1))</f>
        <v>0</v>
      </c>
      <c r="V62" s="49">
        <f ca="1">('TFA Prevalences'!AU94*('RR TFA'!W67-1))/(('TFA Prevalences'!AU94*('RR TFA'!W67-1)+1))</f>
        <v>0</v>
      </c>
      <c r="W62" s="49">
        <f ca="1">('TFA Prevalences'!AV94*('RR TFA'!X67-1))/(('TFA Prevalences'!AV94*('RR TFA'!X67-1)+1))</f>
        <v>0</v>
      </c>
      <c r="X62" s="49">
        <f ca="1">('TFA Prevalences'!AW94*('RR TFA'!Y67-1))/(('TFA Prevalences'!AW94*('RR TFA'!Y67-1)+1))</f>
        <v>0</v>
      </c>
      <c r="Y62" s="49">
        <f ca="1">('TFA Prevalences'!AX94*('RR TFA'!Z67-1))/(('TFA Prevalences'!AX94*('RR TFA'!Z67-1)+1))</f>
        <v>0</v>
      </c>
      <c r="Z62" s="49">
        <f ca="1">('TFA Prevalences'!AY94*('RR TFA'!AA67-1))/(('TFA Prevalences'!AY94*('RR TFA'!AA67-1)+1))</f>
        <v>0</v>
      </c>
      <c r="AA62">
        <f t="shared" ca="1" si="27"/>
        <v>0</v>
      </c>
    </row>
    <row r="63" spans="1:30" ht="15.5" x14ac:dyDescent="0.35">
      <c r="A63" s="43" t="s">
        <v>70</v>
      </c>
      <c r="B63" s="49">
        <f ca="1">('TFA Prevalences'!AA95*('RR TFA'!C68-1))/(('TFA Prevalences'!AA95*('RR TFA'!C68-1)+1))</f>
        <v>0</v>
      </c>
      <c r="C63" s="49">
        <f ca="1">('TFA Prevalences'!AB95*('RR TFA'!D68-1))/(('TFA Prevalences'!AB95*('RR TFA'!D68-1)+1))</f>
        <v>0</v>
      </c>
      <c r="D63" s="49">
        <f ca="1">('TFA Prevalences'!AC95*('RR TFA'!E68-1))/(('TFA Prevalences'!AC95*('RR TFA'!E68-1)+1))</f>
        <v>0</v>
      </c>
      <c r="E63" s="49">
        <f ca="1">('TFA Prevalences'!AD95*('RR TFA'!F68-1))/(('TFA Prevalences'!AD95*('RR TFA'!F68-1)+1))</f>
        <v>0</v>
      </c>
      <c r="F63" s="49">
        <f ca="1">('TFA Prevalences'!AE95*('RR TFA'!G68-1))/(('TFA Prevalences'!AE95*('RR TFA'!G68-1)+1))</f>
        <v>0</v>
      </c>
      <c r="G63" s="49">
        <f ca="1">('TFA Prevalences'!AF95*('RR TFA'!H68-1))/(('TFA Prevalences'!AF95*('RR TFA'!H68-1)+1))</f>
        <v>0</v>
      </c>
      <c r="H63" s="49">
        <f ca="1">('TFA Prevalences'!AG95*('RR TFA'!I68-1))/(('TFA Prevalences'!AG95*('RR TFA'!I68-1)+1))</f>
        <v>0</v>
      </c>
      <c r="I63" s="49">
        <f ca="1">('TFA Prevalences'!AH95*('RR TFA'!J68-1))/(('TFA Prevalences'!AH95*('RR TFA'!J68-1)+1))</f>
        <v>0</v>
      </c>
      <c r="J63" s="49">
        <f ca="1">('TFA Prevalences'!AI95*('RR TFA'!K68-1))/(('TFA Prevalences'!AI95*('RR TFA'!K68-1)+1))</f>
        <v>0</v>
      </c>
      <c r="K63" s="49">
        <f ca="1">('TFA Prevalences'!AJ95*('RR TFA'!L68-1))/(('TFA Prevalences'!AJ95*('RR TFA'!L68-1)+1))</f>
        <v>0</v>
      </c>
      <c r="L63" s="49">
        <f ca="1">('TFA Prevalences'!AK95*('RR TFA'!M68-1))/(('TFA Prevalences'!AK95*('RR TFA'!M68-1)+1))</f>
        <v>0</v>
      </c>
      <c r="M63" s="49">
        <f ca="1">('TFA Prevalences'!AL95*('RR TFA'!N68-1))/(('TFA Prevalences'!AL95*('RR TFA'!N68-1)+1))</f>
        <v>0</v>
      </c>
      <c r="N63" s="49">
        <f ca="1">('TFA Prevalences'!AM95*('RR TFA'!O68-1))/(('TFA Prevalences'!AM95*('RR TFA'!O68-1)+1))</f>
        <v>0</v>
      </c>
      <c r="O63" s="49">
        <f ca="1">('TFA Prevalences'!AN95*('RR TFA'!P68-1))/(('TFA Prevalences'!AN95*('RR TFA'!P68-1)+1))</f>
        <v>0</v>
      </c>
      <c r="P63" s="49">
        <f ca="1">('TFA Prevalences'!AO95*('RR TFA'!Q68-1))/(('TFA Prevalences'!AO95*('RR TFA'!Q68-1)+1))</f>
        <v>0</v>
      </c>
      <c r="Q63" s="49">
        <f ca="1">('TFA Prevalences'!AP95*('RR TFA'!R68-1))/(('TFA Prevalences'!AP95*('RR TFA'!R68-1)+1))</f>
        <v>0</v>
      </c>
      <c r="R63" s="49">
        <f ca="1">('TFA Prevalences'!AQ95*('RR TFA'!S68-1))/(('TFA Prevalences'!AQ95*('RR TFA'!S68-1)+1))</f>
        <v>0</v>
      </c>
      <c r="S63" s="49">
        <f ca="1">('TFA Prevalences'!AR95*('RR TFA'!T68-1))/(('TFA Prevalences'!AR95*('RR TFA'!T68-1)+1))</f>
        <v>0</v>
      </c>
      <c r="T63" s="49">
        <f ca="1">('TFA Prevalences'!AS95*('RR TFA'!U68-1))/(('TFA Prevalences'!AS95*('RR TFA'!U68-1)+1))</f>
        <v>0</v>
      </c>
      <c r="U63" s="49">
        <f ca="1">('TFA Prevalences'!AT95*('RR TFA'!V68-1))/(('TFA Prevalences'!AT95*('RR TFA'!V68-1)+1))</f>
        <v>0</v>
      </c>
      <c r="V63" s="49">
        <f ca="1">('TFA Prevalences'!AU95*('RR TFA'!W68-1))/(('TFA Prevalences'!AU95*('RR TFA'!W68-1)+1))</f>
        <v>0</v>
      </c>
      <c r="W63" s="49">
        <f ca="1">('TFA Prevalences'!AV95*('RR TFA'!X68-1))/(('TFA Prevalences'!AV95*('RR TFA'!X68-1)+1))</f>
        <v>0</v>
      </c>
      <c r="X63" s="49">
        <f ca="1">('TFA Prevalences'!AW95*('RR TFA'!Y68-1))/(('TFA Prevalences'!AW95*('RR TFA'!Y68-1)+1))</f>
        <v>0</v>
      </c>
      <c r="Y63" s="49">
        <f ca="1">('TFA Prevalences'!AX95*('RR TFA'!Z68-1))/(('TFA Prevalences'!AX95*('RR TFA'!Z68-1)+1))</f>
        <v>0</v>
      </c>
      <c r="Z63" s="49">
        <f ca="1">('TFA Prevalences'!AY95*('RR TFA'!AA68-1))/(('TFA Prevalences'!AY95*('RR TFA'!AA68-1)+1))</f>
        <v>0</v>
      </c>
      <c r="AA63">
        <f t="shared" ca="1" si="27"/>
        <v>0</v>
      </c>
    </row>
    <row r="64" spans="1:30" ht="15.5" x14ac:dyDescent="0.35">
      <c r="A64" s="43" t="s">
        <v>71</v>
      </c>
      <c r="B64" s="49">
        <f ca="1">('TFA Prevalences'!AA96*('RR TFA'!C69-1))/(('TFA Prevalences'!AA96*('RR TFA'!C69-1)+1))</f>
        <v>0</v>
      </c>
      <c r="C64" s="49">
        <f ca="1">('TFA Prevalences'!AB96*('RR TFA'!D69-1))/(('TFA Prevalences'!AB96*('RR TFA'!D69-1)+1))</f>
        <v>0</v>
      </c>
      <c r="D64" s="49">
        <f ca="1">('TFA Prevalences'!AC96*('RR TFA'!E69-1))/(('TFA Prevalences'!AC96*('RR TFA'!E69-1)+1))</f>
        <v>0</v>
      </c>
      <c r="E64" s="49">
        <f ca="1">('TFA Prevalences'!AD96*('RR TFA'!F69-1))/(('TFA Prevalences'!AD96*('RR TFA'!F69-1)+1))</f>
        <v>0</v>
      </c>
      <c r="F64" s="49">
        <f ca="1">('TFA Prevalences'!AE96*('RR TFA'!G69-1))/(('TFA Prevalences'!AE96*('RR TFA'!G69-1)+1))</f>
        <v>0</v>
      </c>
      <c r="G64" s="49">
        <f ca="1">('TFA Prevalences'!AF96*('RR TFA'!H69-1))/(('TFA Prevalences'!AF96*('RR TFA'!H69-1)+1))</f>
        <v>0</v>
      </c>
      <c r="H64" s="49">
        <f ca="1">('TFA Prevalences'!AG96*('RR TFA'!I69-1))/(('TFA Prevalences'!AG96*('RR TFA'!I69-1)+1))</f>
        <v>0</v>
      </c>
      <c r="I64" s="49">
        <f ca="1">('TFA Prevalences'!AH96*('RR TFA'!J69-1))/(('TFA Prevalences'!AH96*('RR TFA'!J69-1)+1))</f>
        <v>0</v>
      </c>
      <c r="J64" s="49">
        <f ca="1">('TFA Prevalences'!AI96*('RR TFA'!K69-1))/(('TFA Prevalences'!AI96*('RR TFA'!K69-1)+1))</f>
        <v>0</v>
      </c>
      <c r="K64" s="49">
        <f ca="1">('TFA Prevalences'!AJ96*('RR TFA'!L69-1))/(('TFA Prevalences'!AJ96*('RR TFA'!L69-1)+1))</f>
        <v>0</v>
      </c>
      <c r="L64" s="49">
        <f ca="1">('TFA Prevalences'!AK96*('RR TFA'!M69-1))/(('TFA Prevalences'!AK96*('RR TFA'!M69-1)+1))</f>
        <v>0</v>
      </c>
      <c r="M64" s="49">
        <f ca="1">('TFA Prevalences'!AL96*('RR TFA'!N69-1))/(('TFA Prevalences'!AL96*('RR TFA'!N69-1)+1))</f>
        <v>0</v>
      </c>
      <c r="N64" s="49">
        <f ca="1">('TFA Prevalences'!AM96*('RR TFA'!O69-1))/(('TFA Prevalences'!AM96*('RR TFA'!O69-1)+1))</f>
        <v>0</v>
      </c>
      <c r="O64" s="49">
        <f ca="1">('TFA Prevalences'!AN96*('RR TFA'!P69-1))/(('TFA Prevalences'!AN96*('RR TFA'!P69-1)+1))</f>
        <v>0</v>
      </c>
      <c r="P64" s="49">
        <f ca="1">('TFA Prevalences'!AO96*('RR TFA'!Q69-1))/(('TFA Prevalences'!AO96*('RR TFA'!Q69-1)+1))</f>
        <v>0</v>
      </c>
      <c r="Q64" s="49">
        <f ca="1">('TFA Prevalences'!AP96*('RR TFA'!R69-1))/(('TFA Prevalences'!AP96*('RR TFA'!R69-1)+1))</f>
        <v>0</v>
      </c>
      <c r="R64" s="49">
        <f ca="1">('TFA Prevalences'!AQ96*('RR TFA'!S69-1))/(('TFA Prevalences'!AQ96*('RR TFA'!S69-1)+1))</f>
        <v>0</v>
      </c>
      <c r="S64" s="49">
        <f ca="1">('TFA Prevalences'!AR96*('RR TFA'!T69-1))/(('TFA Prevalences'!AR96*('RR TFA'!T69-1)+1))</f>
        <v>0</v>
      </c>
      <c r="T64" s="49">
        <f ca="1">('TFA Prevalences'!AS96*('RR TFA'!U69-1))/(('TFA Prevalences'!AS96*('RR TFA'!U69-1)+1))</f>
        <v>0</v>
      </c>
      <c r="U64" s="49">
        <f ca="1">('TFA Prevalences'!AT96*('RR TFA'!V69-1))/(('TFA Prevalences'!AT96*('RR TFA'!V69-1)+1))</f>
        <v>0</v>
      </c>
      <c r="V64" s="49">
        <f ca="1">('TFA Prevalences'!AU96*('RR TFA'!W69-1))/(('TFA Prevalences'!AU96*('RR TFA'!W69-1)+1))</f>
        <v>0</v>
      </c>
      <c r="W64" s="49">
        <f ca="1">('TFA Prevalences'!AV96*('RR TFA'!X69-1))/(('TFA Prevalences'!AV96*('RR TFA'!X69-1)+1))</f>
        <v>0</v>
      </c>
      <c r="X64" s="49">
        <f ca="1">('TFA Prevalences'!AW96*('RR TFA'!Y69-1))/(('TFA Prevalences'!AW96*('RR TFA'!Y69-1)+1))</f>
        <v>0</v>
      </c>
      <c r="Y64" s="49">
        <f ca="1">('TFA Prevalences'!AX96*('RR TFA'!Z69-1))/(('TFA Prevalences'!AX96*('RR TFA'!Z69-1)+1))</f>
        <v>0</v>
      </c>
      <c r="Z64" s="49">
        <f ca="1">('TFA Prevalences'!AY96*('RR TFA'!AA69-1))/(('TFA Prevalences'!AY96*('RR TFA'!AA69-1)+1))</f>
        <v>0</v>
      </c>
      <c r="AA64">
        <f t="shared" ca="1" si="27"/>
        <v>0</v>
      </c>
    </row>
    <row r="65" spans="1:27" ht="15.5" x14ac:dyDescent="0.35">
      <c r="A65" s="43" t="s">
        <v>72</v>
      </c>
      <c r="B65" s="49">
        <f ca="1">('TFA Prevalences'!AA97*('RR TFA'!C70-1))/(('TFA Prevalences'!AA97*('RR TFA'!C70-1)+1))</f>
        <v>0</v>
      </c>
      <c r="C65" s="49">
        <f ca="1">('TFA Prevalences'!AB97*('RR TFA'!D70-1))/(('TFA Prevalences'!AB97*('RR TFA'!D70-1)+1))</f>
        <v>0</v>
      </c>
      <c r="D65" s="49">
        <f ca="1">('TFA Prevalences'!AC97*('RR TFA'!E70-1))/(('TFA Prevalences'!AC97*('RR TFA'!E70-1)+1))</f>
        <v>0</v>
      </c>
      <c r="E65" s="49">
        <f ca="1">('TFA Prevalences'!AD97*('RR TFA'!F70-1))/(('TFA Prevalences'!AD97*('RR TFA'!F70-1)+1))</f>
        <v>0</v>
      </c>
      <c r="F65" s="49">
        <f ca="1">('TFA Prevalences'!AE97*('RR TFA'!G70-1))/(('TFA Prevalences'!AE97*('RR TFA'!G70-1)+1))</f>
        <v>0</v>
      </c>
      <c r="G65" s="49">
        <f ca="1">('TFA Prevalences'!AF97*('RR TFA'!H70-1))/(('TFA Prevalences'!AF97*('RR TFA'!H70-1)+1))</f>
        <v>0</v>
      </c>
      <c r="H65" s="49">
        <f ca="1">('TFA Prevalences'!AG97*('RR TFA'!I70-1))/(('TFA Prevalences'!AG97*('RR TFA'!I70-1)+1))</f>
        <v>0</v>
      </c>
      <c r="I65" s="49">
        <f ca="1">('TFA Prevalences'!AH97*('RR TFA'!J70-1))/(('TFA Prevalences'!AH97*('RR TFA'!J70-1)+1))</f>
        <v>0</v>
      </c>
      <c r="J65" s="49">
        <f ca="1">('TFA Prevalences'!AI97*('RR TFA'!K70-1))/(('TFA Prevalences'!AI97*('RR TFA'!K70-1)+1))</f>
        <v>0</v>
      </c>
      <c r="K65" s="49">
        <f ca="1">('TFA Prevalences'!AJ97*('RR TFA'!L70-1))/(('TFA Prevalences'!AJ97*('RR TFA'!L70-1)+1))</f>
        <v>0</v>
      </c>
      <c r="L65" s="49">
        <f ca="1">('TFA Prevalences'!AK97*('RR TFA'!M70-1))/(('TFA Prevalences'!AK97*('RR TFA'!M70-1)+1))</f>
        <v>0</v>
      </c>
      <c r="M65" s="49">
        <f ca="1">('TFA Prevalences'!AL97*('RR TFA'!N70-1))/(('TFA Prevalences'!AL97*('RR TFA'!N70-1)+1))</f>
        <v>0</v>
      </c>
      <c r="N65" s="49">
        <f ca="1">('TFA Prevalences'!AM97*('RR TFA'!O70-1))/(('TFA Prevalences'!AM97*('RR TFA'!O70-1)+1))</f>
        <v>0</v>
      </c>
      <c r="O65" s="49">
        <f ca="1">('TFA Prevalences'!AN97*('RR TFA'!P70-1))/(('TFA Prevalences'!AN97*('RR TFA'!P70-1)+1))</f>
        <v>0</v>
      </c>
      <c r="P65" s="49">
        <f ca="1">('TFA Prevalences'!AO97*('RR TFA'!Q70-1))/(('TFA Prevalences'!AO97*('RR TFA'!Q70-1)+1))</f>
        <v>0</v>
      </c>
      <c r="Q65" s="49">
        <f ca="1">('TFA Prevalences'!AP97*('RR TFA'!R70-1))/(('TFA Prevalences'!AP97*('RR TFA'!R70-1)+1))</f>
        <v>0</v>
      </c>
      <c r="R65" s="49">
        <f ca="1">('TFA Prevalences'!AQ97*('RR TFA'!S70-1))/(('TFA Prevalences'!AQ97*('RR TFA'!S70-1)+1))</f>
        <v>0</v>
      </c>
      <c r="S65" s="49">
        <f ca="1">('TFA Prevalences'!AR97*('RR TFA'!T70-1))/(('TFA Prevalences'!AR97*('RR TFA'!T70-1)+1))</f>
        <v>0</v>
      </c>
      <c r="T65" s="49">
        <f ca="1">('TFA Prevalences'!AS97*('RR TFA'!U70-1))/(('TFA Prevalences'!AS97*('RR TFA'!U70-1)+1))</f>
        <v>0</v>
      </c>
      <c r="U65" s="49">
        <f ca="1">('TFA Prevalences'!AT97*('RR TFA'!V70-1))/(('TFA Prevalences'!AT97*('RR TFA'!V70-1)+1))</f>
        <v>0</v>
      </c>
      <c r="V65" s="49">
        <f ca="1">('TFA Prevalences'!AU97*('RR TFA'!W70-1))/(('TFA Prevalences'!AU97*('RR TFA'!W70-1)+1))</f>
        <v>0</v>
      </c>
      <c r="W65" s="49">
        <f ca="1">('TFA Prevalences'!AV97*('RR TFA'!X70-1))/(('TFA Prevalences'!AV97*('RR TFA'!X70-1)+1))</f>
        <v>0</v>
      </c>
      <c r="X65" s="49">
        <f ca="1">('TFA Prevalences'!AW97*('RR TFA'!Y70-1))/(('TFA Prevalences'!AW97*('RR TFA'!Y70-1)+1))</f>
        <v>0</v>
      </c>
      <c r="Y65" s="49">
        <f ca="1">('TFA Prevalences'!AX97*('RR TFA'!Z70-1))/(('TFA Prevalences'!AX97*('RR TFA'!Z70-1)+1))</f>
        <v>0</v>
      </c>
      <c r="Z65" s="49">
        <f ca="1">('TFA Prevalences'!AY97*('RR TFA'!AA70-1))/(('TFA Prevalences'!AY97*('RR TFA'!AA70-1)+1))</f>
        <v>0</v>
      </c>
      <c r="AA65">
        <f t="shared" ca="1" si="27"/>
        <v>0</v>
      </c>
    </row>
    <row r="66" spans="1:27" ht="15.5" x14ac:dyDescent="0.35">
      <c r="A66" s="43" t="s">
        <v>78</v>
      </c>
      <c r="B66" s="49">
        <f ca="1">('TFA Prevalences'!AA98*('RR TFA'!C71-1))/(('TFA Prevalences'!AA98*('RR TFA'!C71-1)+1))</f>
        <v>0</v>
      </c>
      <c r="C66" s="49">
        <f ca="1">('TFA Prevalences'!AB98*('RR TFA'!D71-1))/(('TFA Prevalences'!AB98*('RR TFA'!D71-1)+1))</f>
        <v>0</v>
      </c>
      <c r="D66" s="49">
        <f ca="1">('TFA Prevalences'!AC98*('RR TFA'!E71-1))/(('TFA Prevalences'!AC98*('RR TFA'!E71-1)+1))</f>
        <v>0</v>
      </c>
      <c r="E66" s="49">
        <f ca="1">('TFA Prevalences'!AD98*('RR TFA'!F71-1))/(('TFA Prevalences'!AD98*('RR TFA'!F71-1)+1))</f>
        <v>0</v>
      </c>
      <c r="F66" s="49">
        <f ca="1">('TFA Prevalences'!AE98*('RR TFA'!G71-1))/(('TFA Prevalences'!AE98*('RR TFA'!G71-1)+1))</f>
        <v>0</v>
      </c>
      <c r="G66" s="49">
        <f ca="1">('TFA Prevalences'!AF98*('RR TFA'!H71-1))/(('TFA Prevalences'!AF98*('RR TFA'!H71-1)+1))</f>
        <v>0</v>
      </c>
      <c r="H66" s="49">
        <f ca="1">('TFA Prevalences'!AG98*('RR TFA'!I71-1))/(('TFA Prevalences'!AG98*('RR TFA'!I71-1)+1))</f>
        <v>0</v>
      </c>
      <c r="I66" s="49">
        <f ca="1">('TFA Prevalences'!AH98*('RR TFA'!J71-1))/(('TFA Prevalences'!AH98*('RR TFA'!J71-1)+1))</f>
        <v>0</v>
      </c>
      <c r="J66" s="49">
        <f ca="1">('TFA Prevalences'!AI98*('RR TFA'!K71-1))/(('TFA Prevalences'!AI98*('RR TFA'!K71-1)+1))</f>
        <v>0</v>
      </c>
      <c r="K66" s="49">
        <f ca="1">('TFA Prevalences'!AJ98*('RR TFA'!L71-1))/(('TFA Prevalences'!AJ98*('RR TFA'!L71-1)+1))</f>
        <v>0</v>
      </c>
      <c r="L66" s="49">
        <f ca="1">('TFA Prevalences'!AK98*('RR TFA'!M71-1))/(('TFA Prevalences'!AK98*('RR TFA'!M71-1)+1))</f>
        <v>0</v>
      </c>
      <c r="M66" s="49">
        <f ca="1">('TFA Prevalences'!AL98*('RR TFA'!N71-1))/(('TFA Prevalences'!AL98*('RR TFA'!N71-1)+1))</f>
        <v>0</v>
      </c>
      <c r="N66" s="49">
        <f ca="1">('TFA Prevalences'!AM98*('RR TFA'!O71-1))/(('TFA Prevalences'!AM98*('RR TFA'!O71-1)+1))</f>
        <v>0</v>
      </c>
      <c r="O66" s="49">
        <f ca="1">('TFA Prevalences'!AN98*('RR TFA'!P71-1))/(('TFA Prevalences'!AN98*('RR TFA'!P71-1)+1))</f>
        <v>0</v>
      </c>
      <c r="P66" s="49">
        <f ca="1">('TFA Prevalences'!AO98*('RR TFA'!Q71-1))/(('TFA Prevalences'!AO98*('RR TFA'!Q71-1)+1))</f>
        <v>0</v>
      </c>
      <c r="Q66" s="49">
        <f ca="1">('TFA Prevalences'!AP98*('RR TFA'!R71-1))/(('TFA Prevalences'!AP98*('RR TFA'!R71-1)+1))</f>
        <v>0</v>
      </c>
      <c r="R66" s="49">
        <f ca="1">('TFA Prevalences'!AQ98*('RR TFA'!S71-1))/(('TFA Prevalences'!AQ98*('RR TFA'!S71-1)+1))</f>
        <v>0</v>
      </c>
      <c r="S66" s="49">
        <f ca="1">('TFA Prevalences'!AR98*('RR TFA'!T71-1))/(('TFA Prevalences'!AR98*('RR TFA'!T71-1)+1))</f>
        <v>0</v>
      </c>
      <c r="T66" s="49">
        <f ca="1">('TFA Prevalences'!AS98*('RR TFA'!U71-1))/(('TFA Prevalences'!AS98*('RR TFA'!U71-1)+1))</f>
        <v>0</v>
      </c>
      <c r="U66" s="49">
        <f ca="1">('TFA Prevalences'!AT98*('RR TFA'!V71-1))/(('TFA Prevalences'!AT98*('RR TFA'!V71-1)+1))</f>
        <v>0</v>
      </c>
      <c r="V66" s="49">
        <f ca="1">('TFA Prevalences'!AU98*('RR TFA'!W71-1))/(('TFA Prevalences'!AU98*('RR TFA'!W71-1)+1))</f>
        <v>0</v>
      </c>
      <c r="W66" s="49">
        <f ca="1">('TFA Prevalences'!AV98*('RR TFA'!X71-1))/(('TFA Prevalences'!AV98*('RR TFA'!X71-1)+1))</f>
        <v>0</v>
      </c>
      <c r="X66" s="49">
        <f ca="1">('TFA Prevalences'!AW98*('RR TFA'!Y71-1))/(('TFA Prevalences'!AW98*('RR TFA'!Y71-1)+1))</f>
        <v>0</v>
      </c>
      <c r="Y66" s="49">
        <f ca="1">('TFA Prevalences'!AX98*('RR TFA'!Z71-1))/(('TFA Prevalences'!AX98*('RR TFA'!Z71-1)+1))</f>
        <v>0</v>
      </c>
      <c r="Z66" s="49">
        <f ca="1">('TFA Prevalences'!AY98*('RR TFA'!AA71-1))/(('TFA Prevalences'!AY98*('RR TFA'!AA71-1)+1))</f>
        <v>0</v>
      </c>
      <c r="AA66">
        <f t="shared" ca="1" si="27"/>
        <v>0</v>
      </c>
    </row>
    <row r="67" spans="1:27" x14ac:dyDescent="0.35">
      <c r="A67" s="66"/>
      <c r="M67" s="66"/>
      <c r="W67" s="66"/>
    </row>
    <row r="68" spans="1:27" x14ac:dyDescent="0.35">
      <c r="A68" s="66"/>
      <c r="M68" s="66"/>
      <c r="W68" s="66"/>
    </row>
    <row r="69" spans="1:27" x14ac:dyDescent="0.35">
      <c r="A69"/>
      <c r="B69" s="233" t="s">
        <v>140</v>
      </c>
      <c r="C69" s="233"/>
      <c r="D69" s="233"/>
      <c r="E69" s="233"/>
      <c r="F69" s="233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35">
      <c r="A70"/>
      <c r="B70" s="33" t="s">
        <v>102</v>
      </c>
      <c r="C70" s="9" t="s">
        <v>103</v>
      </c>
      <c r="D70" s="9" t="s">
        <v>104</v>
      </c>
      <c r="E70" s="9" t="s">
        <v>105</v>
      </c>
      <c r="F70" s="9" t="s">
        <v>106</v>
      </c>
      <c r="G70" s="9" t="s">
        <v>107</v>
      </c>
      <c r="H70" s="9" t="s">
        <v>108</v>
      </c>
      <c r="I70" s="9" t="s">
        <v>109</v>
      </c>
      <c r="J70" s="9" t="s">
        <v>110</v>
      </c>
      <c r="K70" s="9" t="s">
        <v>111</v>
      </c>
      <c r="L70" s="9" t="s">
        <v>112</v>
      </c>
      <c r="M70" s="9" t="s">
        <v>113</v>
      </c>
      <c r="N70" s="9" t="s">
        <v>114</v>
      </c>
      <c r="O70" s="9" t="s">
        <v>115</v>
      </c>
      <c r="P70" s="9" t="s">
        <v>116</v>
      </c>
      <c r="Q70" s="9" t="s">
        <v>117</v>
      </c>
      <c r="R70" s="9" t="s">
        <v>118</v>
      </c>
      <c r="S70" s="9" t="s">
        <v>119</v>
      </c>
      <c r="T70" s="9" t="s">
        <v>120</v>
      </c>
      <c r="U70" s="9" t="s">
        <v>121</v>
      </c>
      <c r="V70" s="9" t="s">
        <v>122</v>
      </c>
      <c r="W70" s="9" t="s">
        <v>123</v>
      </c>
      <c r="X70" s="9" t="s">
        <v>124</v>
      </c>
      <c r="Y70" s="9" t="s">
        <v>125</v>
      </c>
      <c r="Z70" s="36" t="s">
        <v>126</v>
      </c>
      <c r="AA70" s="66" t="s">
        <v>138</v>
      </c>
    </row>
    <row r="71" spans="1:27" ht="15.5" x14ac:dyDescent="0.35">
      <c r="A71" s="43" t="s">
        <v>45</v>
      </c>
      <c r="B71" s="49">
        <f ca="1">('TFA Prevalences'!B70*('RR TFA'!C41-1))/(('TFA Prevalences'!B70*('RR TFA'!C41-1)+1))</f>
        <v>0</v>
      </c>
      <c r="C71" s="49">
        <f ca="1">('TFA Prevalences'!C70*('RR TFA'!D41-1))/(('TFA Prevalences'!C70*('RR TFA'!D41-1)+1))</f>
        <v>-6.4059188567883458E-17</v>
      </c>
      <c r="D71" s="49">
        <f ca="1">('TFA Prevalences'!D70*('RR TFA'!E41-1))/(('TFA Prevalences'!D70*('RR TFA'!E41-1)+1))</f>
        <v>-1.0290934828288178E-14</v>
      </c>
      <c r="E71" s="49">
        <f ca="1">('TFA Prevalences'!E70*('RR TFA'!F41-1))/(('TFA Prevalences'!E70*('RR TFA'!F41-1)+1))</f>
        <v>-1.237387007458523E-13</v>
      </c>
      <c r="F71" s="49">
        <f ca="1">('TFA Prevalences'!F70*('RR TFA'!G41-1))/(('TFA Prevalences'!F70*('RR TFA'!G41-1)+1))</f>
        <v>-4.2908392361515892E-13</v>
      </c>
      <c r="G71" s="49">
        <f ca="1">('TFA Prevalences'!G70*('RR TFA'!H41-1))/(('TFA Prevalences'!G70*('RR TFA'!H41-1)+1))</f>
        <v>-7.5062365925114473E-13</v>
      </c>
      <c r="H71" s="49">
        <f ca="1">('TFA Prevalences'!H70*('RR TFA'!I41-1))/(('TFA Prevalences'!H70*('RR TFA'!I41-1)+1))</f>
        <v>-8.7736848803624746E-13</v>
      </c>
      <c r="I71" s="49">
        <f ca="1">('TFA Prevalences'!I70*('RR TFA'!J41-1))/(('TFA Prevalences'!I70*('RR TFA'!J41-1)+1))</f>
        <v>-7.9826059004915982E-13</v>
      </c>
      <c r="J71" s="49">
        <f ca="1">('TFA Prevalences'!J70*('RR TFA'!K41-1))/(('TFA Prevalences'!J70*('RR TFA'!K41-1)+1))</f>
        <v>-6.176045470924846E-13</v>
      </c>
      <c r="K71" s="49">
        <f ca="1">('TFA Prevalences'!K70*('RR TFA'!L41-1))/(('TFA Prevalences'!K70*('RR TFA'!L41-1)+1))</f>
        <v>-4.2894212019484689E-13</v>
      </c>
      <c r="L71" s="49">
        <f ca="1">('TFA Prevalences'!L70*('RR TFA'!M41-1))/(('TFA Prevalences'!L70*('RR TFA'!M41-1)+1))</f>
        <v>-2.7683966168124297E-13</v>
      </c>
      <c r="M71" s="49">
        <f ca="1">('TFA Prevalences'!M70*('RR TFA'!N41-1))/(('TFA Prevalences'!M70*('RR TFA'!N41-1)+1))</f>
        <v>-1.6989554123660771E-13</v>
      </c>
      <c r="N71" s="49">
        <f ca="1">('TFA Prevalences'!N70*('RR TFA'!O41-1))/(('TFA Prevalences'!N70*('RR TFA'!O41-1)+1))</f>
        <v>-1.007123173902436E-13</v>
      </c>
      <c r="O71" s="49">
        <f ca="1">('TFA Prevalences'!O70*('RR TFA'!P41-1))/(('TFA Prevalences'!O70*('RR TFA'!P41-1)+1))</f>
        <v>-5.8303295577892395E-14</v>
      </c>
      <c r="P71" s="49">
        <f ca="1">('TFA Prevalences'!P70*('RR TFA'!Q41-1))/(('TFA Prevalences'!P70*('RR TFA'!Q41-1)+1))</f>
        <v>-3.3222625490216067E-14</v>
      </c>
      <c r="Q71" s="49">
        <f ca="1">('TFA Prevalences'!Q70*('RR TFA'!R41-1))/(('TFA Prevalences'!Q70*('RR TFA'!R41-1)+1))</f>
        <v>-1.8740052987101551E-14</v>
      </c>
      <c r="R71" s="49">
        <f ca="1">('TFA Prevalences'!R70*('RR TFA'!S41-1))/(('TFA Prevalences'!R70*('RR TFA'!S41-1)+1))</f>
        <v>-1.0508207428456521E-14</v>
      </c>
      <c r="S71" s="49">
        <f ca="1">('TFA Prevalences'!S70*('RR TFA'!T41-1))/(('TFA Prevalences'!S70*('RR TFA'!T41-1)+1))</f>
        <v>-5.875746771939939E-15</v>
      </c>
      <c r="T71" s="49">
        <f ca="1">('TFA Prevalences'!T70*('RR TFA'!U41-1))/(('TFA Prevalences'!T70*('RR TFA'!U41-1)+1))</f>
        <v>-3.2838106764942318E-15</v>
      </c>
      <c r="U71" s="49">
        <f ca="1">('TFA Prevalences'!U70*('RR TFA'!V41-1))/(('TFA Prevalences'!U70*('RR TFA'!V41-1)+1))</f>
        <v>-1.8375629994621989E-15</v>
      </c>
      <c r="V71" s="49">
        <f ca="1">('TFA Prevalences'!V70*('RR TFA'!W41-1))/(('TFA Prevalences'!V70*('RR TFA'!W41-1)+1))</f>
        <v>-1.0309141202200479E-15</v>
      </c>
      <c r="W71" s="49">
        <f ca="1">('TFA Prevalences'!W70*('RR TFA'!X41-1))/(('TFA Prevalences'!W70*('RR TFA'!X41-1)+1))</f>
        <v>-5.8043718262183457E-16</v>
      </c>
      <c r="X71" s="49">
        <f ca="1">('TFA Prevalences'!X70*('RR TFA'!Y41-1))/(('TFA Prevalences'!X70*('RR TFA'!Y41-1)+1))</f>
        <v>-3.2822271419841668E-16</v>
      </c>
      <c r="Y71" s="49">
        <f ca="1">('TFA Prevalences'!Y70*('RR TFA'!Z41-1))/(('TFA Prevalences'!Y70*('RR TFA'!Z41-1)+1))</f>
        <v>-1.865088448218056E-16</v>
      </c>
      <c r="Z71" s="49">
        <f ca="1">('TFA Prevalences'!Z70*('RR TFA'!AA41-1))/(('TFA Prevalences'!Z70*('RR TFA'!AA41-1)+1))</f>
        <v>-2.4038318948819305E-16</v>
      </c>
      <c r="AA71">
        <f ca="1">SUM(B71:Z71)</f>
        <v>-4.7175623112927594E-12</v>
      </c>
    </row>
    <row r="72" spans="1:27" ht="15.5" x14ac:dyDescent="0.35">
      <c r="A72" s="43" t="s">
        <v>46</v>
      </c>
      <c r="B72" s="49">
        <f ca="1">('TFA Prevalences'!B71*('RR TFA'!C42-1))/(('TFA Prevalences'!B71*('RR TFA'!C42-1)+1))</f>
        <v>0</v>
      </c>
      <c r="C72" s="49">
        <f ca="1">('TFA Prevalences'!C71*('RR TFA'!D42-1))/(('TFA Prevalences'!C71*('RR TFA'!D42-1)+1))</f>
        <v>-6.4059188567883458E-17</v>
      </c>
      <c r="D72" s="49">
        <f ca="1">('TFA Prevalences'!D71*('RR TFA'!E42-1))/(('TFA Prevalences'!D71*('RR TFA'!E42-1)+1))</f>
        <v>-1.0290934828288178E-14</v>
      </c>
      <c r="E72" s="49">
        <f ca="1">('TFA Prevalences'!E71*('RR TFA'!F42-1))/(('TFA Prevalences'!E71*('RR TFA'!F42-1)+1))</f>
        <v>-1.237387007458523E-13</v>
      </c>
      <c r="F72" s="49">
        <f ca="1">('TFA Prevalences'!F71*('RR TFA'!G42-1))/(('TFA Prevalences'!F71*('RR TFA'!G42-1)+1))</f>
        <v>-4.2908392361515892E-13</v>
      </c>
      <c r="G72" s="49">
        <f ca="1">('TFA Prevalences'!G71*('RR TFA'!H42-1))/(('TFA Prevalences'!G71*('RR TFA'!H42-1)+1))</f>
        <v>-7.5062365925114473E-13</v>
      </c>
      <c r="H72" s="49">
        <f ca="1">('TFA Prevalences'!H71*('RR TFA'!I42-1))/(('TFA Prevalences'!H71*('RR TFA'!I42-1)+1))</f>
        <v>-8.7736848803624746E-13</v>
      </c>
      <c r="I72" s="49">
        <f ca="1">('TFA Prevalences'!I71*('RR TFA'!J42-1))/(('TFA Prevalences'!I71*('RR TFA'!J42-1)+1))</f>
        <v>-7.9826059004915982E-13</v>
      </c>
      <c r="J72" s="49">
        <f ca="1">('TFA Prevalences'!J71*('RR TFA'!K42-1))/(('TFA Prevalences'!J71*('RR TFA'!K42-1)+1))</f>
        <v>-6.176045470924846E-13</v>
      </c>
      <c r="K72" s="49">
        <f ca="1">('TFA Prevalences'!K71*('RR TFA'!L42-1))/(('TFA Prevalences'!K71*('RR TFA'!L42-1)+1))</f>
        <v>-4.2894212019484689E-13</v>
      </c>
      <c r="L72" s="49">
        <f ca="1">('TFA Prevalences'!L71*('RR TFA'!M42-1))/(('TFA Prevalences'!L71*('RR TFA'!M42-1)+1))</f>
        <v>-2.7683966168124297E-13</v>
      </c>
      <c r="M72" s="49">
        <f ca="1">('TFA Prevalences'!M71*('RR TFA'!N42-1))/(('TFA Prevalences'!M71*('RR TFA'!N42-1)+1))</f>
        <v>-1.6989554123660771E-13</v>
      </c>
      <c r="N72" s="49">
        <f ca="1">('TFA Prevalences'!N71*('RR TFA'!O42-1))/(('TFA Prevalences'!N71*('RR TFA'!O42-1)+1))</f>
        <v>-1.007123173902436E-13</v>
      </c>
      <c r="O72" s="49">
        <f ca="1">('TFA Prevalences'!O71*('RR TFA'!P42-1))/(('TFA Prevalences'!O71*('RR TFA'!P42-1)+1))</f>
        <v>-5.8303295577892395E-14</v>
      </c>
      <c r="P72" s="49">
        <f ca="1">('TFA Prevalences'!P71*('RR TFA'!Q42-1))/(('TFA Prevalences'!P71*('RR TFA'!Q42-1)+1))</f>
        <v>-3.3222625490216067E-14</v>
      </c>
      <c r="Q72" s="49">
        <f ca="1">('TFA Prevalences'!Q71*('RR TFA'!R42-1))/(('TFA Prevalences'!Q71*('RR TFA'!R42-1)+1))</f>
        <v>-1.8740052987101551E-14</v>
      </c>
      <c r="R72" s="49">
        <f ca="1">('TFA Prevalences'!R71*('RR TFA'!S42-1))/(('TFA Prevalences'!R71*('RR TFA'!S42-1)+1))</f>
        <v>-1.0508207428456521E-14</v>
      </c>
      <c r="S72" s="49">
        <f ca="1">('TFA Prevalences'!S71*('RR TFA'!T42-1))/(('TFA Prevalences'!S71*('RR TFA'!T42-1)+1))</f>
        <v>-5.875746771939939E-15</v>
      </c>
      <c r="T72" s="49">
        <f ca="1">('TFA Prevalences'!T71*('RR TFA'!U42-1))/(('TFA Prevalences'!T71*('RR TFA'!U42-1)+1))</f>
        <v>-3.2838106764942318E-15</v>
      </c>
      <c r="U72" s="49">
        <f ca="1">('TFA Prevalences'!U71*('RR TFA'!V42-1))/(('TFA Prevalences'!U71*('RR TFA'!V42-1)+1))</f>
        <v>-1.8375629994621989E-15</v>
      </c>
      <c r="V72" s="49">
        <f ca="1">('TFA Prevalences'!V71*('RR TFA'!W42-1))/(('TFA Prevalences'!V71*('RR TFA'!W42-1)+1))</f>
        <v>-1.0309141202200479E-15</v>
      </c>
      <c r="W72" s="49">
        <f ca="1">('TFA Prevalences'!W71*('RR TFA'!X42-1))/(('TFA Prevalences'!W71*('RR TFA'!X42-1)+1))</f>
        <v>-5.8043718262183457E-16</v>
      </c>
      <c r="X72" s="49">
        <f ca="1">('TFA Prevalences'!X71*('RR TFA'!Y42-1))/(('TFA Prevalences'!X71*('RR TFA'!Y42-1)+1))</f>
        <v>-3.2822271419841668E-16</v>
      </c>
      <c r="Y72" s="49">
        <f ca="1">('TFA Prevalences'!Y71*('RR TFA'!Z42-1))/(('TFA Prevalences'!Y71*('RR TFA'!Z42-1)+1))</f>
        <v>-1.865088448218056E-16</v>
      </c>
      <c r="Z72" s="49">
        <f ca="1">('TFA Prevalences'!Z71*('RR TFA'!AA42-1))/(('TFA Prevalences'!Z71*('RR TFA'!AA42-1)+1))</f>
        <v>-2.4038318948819305E-16</v>
      </c>
      <c r="AA72">
        <f t="shared" ref="AA72:AA84" ca="1" si="28">SUM(B72:Z72)</f>
        <v>-4.7175623112927594E-12</v>
      </c>
    </row>
    <row r="73" spans="1:27" ht="15.5" x14ac:dyDescent="0.35">
      <c r="A73" s="43" t="s">
        <v>47</v>
      </c>
      <c r="B73" s="49">
        <f ca="1">('TFA Prevalences'!B72*('RR TFA'!C43-1))/(('TFA Prevalences'!B72*('RR TFA'!C43-1)+1))</f>
        <v>0</v>
      </c>
      <c r="C73" s="49">
        <f ca="1">('TFA Prevalences'!C72*('RR TFA'!D43-1))/(('TFA Prevalences'!C72*('RR TFA'!D43-1)+1))</f>
        <v>8.2097375431033195E-7</v>
      </c>
      <c r="D73" s="49">
        <f ca="1">('TFA Prevalences'!D72*('RR TFA'!E43-1))/(('TFA Prevalences'!D72*('RR TFA'!E43-1)+1))</f>
        <v>1.3249375568143805E-4</v>
      </c>
      <c r="E73" s="49">
        <f ca="1">('TFA Prevalences'!E72*('RR TFA'!F43-1))/(('TFA Prevalences'!E72*('RR TFA'!F43-1)+1))</f>
        <v>1.5984719479394801E-3</v>
      </c>
      <c r="F73" s="49">
        <f ca="1">('TFA Prevalences'!F72*('RR TFA'!G43-1))/(('TFA Prevalences'!F72*('RR TFA'!G43-1)+1))</f>
        <v>5.5475151274405488E-3</v>
      </c>
      <c r="G73" s="49">
        <f ca="1">('TFA Prevalences'!G72*('RR TFA'!H43-1))/(('TFA Prevalences'!G72*('RR TFA'!H43-1)+1))</f>
        <v>9.7107985746301747E-3</v>
      </c>
      <c r="H73" s="49">
        <f ca="1">('TFA Prevalences'!H72*('RR TFA'!I43-1))/(('TFA Prevalences'!H72*('RR TFA'!I43-1)+1))</f>
        <v>1.1386203968397499E-2</v>
      </c>
      <c r="I73" s="49">
        <f ca="1">('TFA Prevalences'!I72*('RR TFA'!J43-1))/(('TFA Prevalences'!I72*('RR TFA'!J43-1)+1))</f>
        <v>1.0419777982711605E-2</v>
      </c>
      <c r="J73" s="49">
        <f ca="1">('TFA Prevalences'!J72*('RR TFA'!K43-1))/(('TFA Prevalences'!J72*('RR TFA'!K43-1)+1))</f>
        <v>8.1196614733086338E-3</v>
      </c>
      <c r="K73" s="49">
        <f ca="1">('TFA Prevalences'!K72*('RR TFA'!L43-1))/(('TFA Prevalences'!K72*('RR TFA'!L43-1)+1))</f>
        <v>5.6805914516413151E-3</v>
      </c>
      <c r="L73" s="49">
        <f ca="1">('TFA Prevalences'!L72*('RR TFA'!M43-1))/(('TFA Prevalences'!L72*('RR TFA'!M43-1)+1))</f>
        <v>3.6914969365028356E-3</v>
      </c>
      <c r="M73" s="49">
        <f ca="1">('TFA Prevalences'!M72*('RR TFA'!N43-1))/(('TFA Prevalences'!M72*('RR TFA'!N43-1)+1))</f>
        <v>2.2797401559936491E-3</v>
      </c>
      <c r="N73" s="49">
        <f ca="1">('TFA Prevalences'!N72*('RR TFA'!O43-1))/(('TFA Prevalences'!N72*('RR TFA'!O43-1)+1))</f>
        <v>1.3592465034481204E-3</v>
      </c>
      <c r="O73" s="49">
        <f ca="1">('TFA Prevalences'!O72*('RR TFA'!P43-1))/(('TFA Prevalences'!O72*('RR TFA'!P43-1)+1))</f>
        <v>7.9118175659499094E-4</v>
      </c>
      <c r="P73" s="49">
        <f ca="1">('TFA Prevalences'!P72*('RR TFA'!Q43-1))/(('TFA Prevalences'!P72*('RR TFA'!Q43-1)+1))</f>
        <v>4.531927612574941E-4</v>
      </c>
      <c r="Q73" s="49">
        <f ca="1">('TFA Prevalences'!Q72*('RR TFA'!R43-1))/(('TFA Prevalences'!Q72*('RR TFA'!R43-1)+1))</f>
        <v>2.5694018713454673E-4</v>
      </c>
      <c r="R73" s="49">
        <f ca="1">('TFA Prevalences'!R72*('RR TFA'!S43-1))/(('TFA Prevalences'!R72*('RR TFA'!S43-1)+1))</f>
        <v>1.4480001095797874E-4</v>
      </c>
      <c r="S73" s="49">
        <f ca="1">('TFA Prevalences'!S72*('RR TFA'!T43-1))/(('TFA Prevalences'!S72*('RR TFA'!T43-1)+1))</f>
        <v>8.1369180183522765E-5</v>
      </c>
      <c r="T73" s="49">
        <f ca="1">('TFA Prevalences'!T72*('RR TFA'!U43-1))/(('TFA Prevalences'!T72*('RR TFA'!U43-1)+1))</f>
        <v>4.5701133751318311E-5</v>
      </c>
      <c r="U73" s="49">
        <f ca="1">('TFA Prevalences'!U72*('RR TFA'!V43-1))/(('TFA Prevalences'!U72*('RR TFA'!V43-1)+1))</f>
        <v>2.5700173681421578E-5</v>
      </c>
      <c r="V73" s="49">
        <f ca="1">('TFA Prevalences'!V72*('RR TFA'!W43-1))/(('TFA Prevalences'!V72*('RR TFA'!W43-1)+1))</f>
        <v>1.4489859531774297E-5</v>
      </c>
      <c r="W73" s="49">
        <f ca="1">('TFA Prevalences'!W72*('RR TFA'!X43-1))/(('TFA Prevalences'!W72*('RR TFA'!X43-1)+1))</f>
        <v>8.1987155503080996E-6</v>
      </c>
      <c r="X73" s="49">
        <f ca="1">('TFA Prevalences'!X72*('RR TFA'!Y43-1))/(('TFA Prevalences'!X72*('RR TFA'!Y43-1)+1))</f>
        <v>4.6591555369549346E-6</v>
      </c>
      <c r="Y73" s="49">
        <f ca="1">('TFA Prevalences'!Y72*('RR TFA'!Z43-1))/(('TFA Prevalences'!Y72*('RR TFA'!Z43-1)+1))</f>
        <v>2.6606734647119588E-6</v>
      </c>
      <c r="Z73" s="49">
        <f ca="1">('TFA Prevalences'!Z72*('RR TFA'!AA43-1))/(('TFA Prevalences'!Z72*('RR TFA'!AA43-1)+1))</f>
        <v>3.4462686517417622E-6</v>
      </c>
      <c r="AA73">
        <f t="shared" ca="1" si="28"/>
        <v>6.1759158727746365E-2</v>
      </c>
    </row>
    <row r="74" spans="1:27" ht="15.5" x14ac:dyDescent="0.35">
      <c r="A74" s="43" t="s">
        <v>48</v>
      </c>
      <c r="B74" s="49">
        <f ca="1">('TFA Prevalences'!B73*('RR TFA'!C44-1))/(('TFA Prevalences'!B73*('RR TFA'!C44-1)+1))</f>
        <v>0</v>
      </c>
      <c r="C74" s="49">
        <f ca="1">('TFA Prevalences'!C73*('RR TFA'!D44-1))/(('TFA Prevalences'!C73*('RR TFA'!D44-1)+1))</f>
        <v>8.2097375431033195E-7</v>
      </c>
      <c r="D74" s="49">
        <f ca="1">('TFA Prevalences'!D73*('RR TFA'!E44-1))/(('TFA Prevalences'!D73*('RR TFA'!E44-1)+1))</f>
        <v>1.3249375568143805E-4</v>
      </c>
      <c r="E74" s="49">
        <f ca="1">('TFA Prevalences'!E73*('RR TFA'!F44-1))/(('TFA Prevalences'!E73*('RR TFA'!F44-1)+1))</f>
        <v>1.5984719479394801E-3</v>
      </c>
      <c r="F74" s="49">
        <f ca="1">('TFA Prevalences'!F73*('RR TFA'!G44-1))/(('TFA Prevalences'!F73*('RR TFA'!G44-1)+1))</f>
        <v>5.5475151274405488E-3</v>
      </c>
      <c r="G74" s="49">
        <f ca="1">('TFA Prevalences'!G73*('RR TFA'!H44-1))/(('TFA Prevalences'!G73*('RR TFA'!H44-1)+1))</f>
        <v>9.7107985746301747E-3</v>
      </c>
      <c r="H74" s="49">
        <f ca="1">('TFA Prevalences'!H73*('RR TFA'!I44-1))/(('TFA Prevalences'!H73*('RR TFA'!I44-1)+1))</f>
        <v>1.1386203968397499E-2</v>
      </c>
      <c r="I74" s="49">
        <f ca="1">('TFA Prevalences'!I73*('RR TFA'!J44-1))/(('TFA Prevalences'!I73*('RR TFA'!J44-1)+1))</f>
        <v>1.0419777982711605E-2</v>
      </c>
      <c r="J74" s="49">
        <f ca="1">('TFA Prevalences'!J73*('RR TFA'!K44-1))/(('TFA Prevalences'!J73*('RR TFA'!K44-1)+1))</f>
        <v>8.1196614733086338E-3</v>
      </c>
      <c r="K74" s="49">
        <f ca="1">('TFA Prevalences'!K73*('RR TFA'!L44-1))/(('TFA Prevalences'!K73*('RR TFA'!L44-1)+1))</f>
        <v>5.6805914516413151E-3</v>
      </c>
      <c r="L74" s="49">
        <f ca="1">('TFA Prevalences'!L73*('RR TFA'!M44-1))/(('TFA Prevalences'!L73*('RR TFA'!M44-1)+1))</f>
        <v>3.6914969365028356E-3</v>
      </c>
      <c r="M74" s="49">
        <f ca="1">('TFA Prevalences'!M73*('RR TFA'!N44-1))/(('TFA Prevalences'!M73*('RR TFA'!N44-1)+1))</f>
        <v>2.2797401559936491E-3</v>
      </c>
      <c r="N74" s="49">
        <f ca="1">('TFA Prevalences'!N73*('RR TFA'!O44-1))/(('TFA Prevalences'!N73*('RR TFA'!O44-1)+1))</f>
        <v>1.3592465034481204E-3</v>
      </c>
      <c r="O74" s="49">
        <f ca="1">('TFA Prevalences'!O73*('RR TFA'!P44-1))/(('TFA Prevalences'!O73*('RR TFA'!P44-1)+1))</f>
        <v>7.9118175659499094E-4</v>
      </c>
      <c r="P74" s="49">
        <f ca="1">('TFA Prevalences'!P73*('RR TFA'!Q44-1))/(('TFA Prevalences'!P73*('RR TFA'!Q44-1)+1))</f>
        <v>4.531927612574941E-4</v>
      </c>
      <c r="Q74" s="49">
        <f ca="1">('TFA Prevalences'!Q73*('RR TFA'!R44-1))/(('TFA Prevalences'!Q73*('RR TFA'!R44-1)+1))</f>
        <v>2.5694018713454673E-4</v>
      </c>
      <c r="R74" s="49">
        <f ca="1">('TFA Prevalences'!R73*('RR TFA'!S44-1))/(('TFA Prevalences'!R73*('RR TFA'!S44-1)+1))</f>
        <v>1.4480001095797874E-4</v>
      </c>
      <c r="S74" s="49">
        <f ca="1">('TFA Prevalences'!S73*('RR TFA'!T44-1))/(('TFA Prevalences'!S73*('RR TFA'!T44-1)+1))</f>
        <v>8.1369180183522765E-5</v>
      </c>
      <c r="T74" s="49">
        <f ca="1">('TFA Prevalences'!T73*('RR TFA'!U44-1))/(('TFA Prevalences'!T73*('RR TFA'!U44-1)+1))</f>
        <v>4.5701133751318311E-5</v>
      </c>
      <c r="U74" s="49">
        <f ca="1">('TFA Prevalences'!U73*('RR TFA'!V44-1))/(('TFA Prevalences'!U73*('RR TFA'!V44-1)+1))</f>
        <v>2.5700173681421578E-5</v>
      </c>
      <c r="V74" s="49">
        <f ca="1">('TFA Prevalences'!V73*('RR TFA'!W44-1))/(('TFA Prevalences'!V73*('RR TFA'!W44-1)+1))</f>
        <v>1.4489859531774297E-5</v>
      </c>
      <c r="W74" s="49">
        <f ca="1">('TFA Prevalences'!W73*('RR TFA'!X44-1))/(('TFA Prevalences'!W73*('RR TFA'!X44-1)+1))</f>
        <v>8.1987155503080996E-6</v>
      </c>
      <c r="X74" s="49">
        <f ca="1">('TFA Prevalences'!X73*('RR TFA'!Y44-1))/(('TFA Prevalences'!X73*('RR TFA'!Y44-1)+1))</f>
        <v>4.6591555369549346E-6</v>
      </c>
      <c r="Y74" s="49">
        <f ca="1">('TFA Prevalences'!Y73*('RR TFA'!Z44-1))/(('TFA Prevalences'!Y73*('RR TFA'!Z44-1)+1))</f>
        <v>2.6606734647119588E-6</v>
      </c>
      <c r="Z74" s="49">
        <f ca="1">('TFA Prevalences'!Z73*('RR TFA'!AA44-1))/(('TFA Prevalences'!Z73*('RR TFA'!AA44-1)+1))</f>
        <v>3.4462686517417622E-6</v>
      </c>
      <c r="AA74">
        <f t="shared" ca="1" si="28"/>
        <v>6.1759158727746365E-2</v>
      </c>
    </row>
    <row r="75" spans="1:27" ht="15.5" x14ac:dyDescent="0.35">
      <c r="A75" s="43" t="s">
        <v>49</v>
      </c>
      <c r="B75" s="49">
        <f ca="1">('TFA Prevalences'!B74*('RR TFA'!C45-1))/(('TFA Prevalences'!B74*('RR TFA'!C45-1)+1))</f>
        <v>0</v>
      </c>
      <c r="C75" s="49">
        <f ca="1">('TFA Prevalences'!C74*('RR TFA'!D45-1))/(('TFA Prevalences'!C74*('RR TFA'!D45-1)+1))</f>
        <v>7.8522223179123209E-7</v>
      </c>
      <c r="D75" s="49">
        <f ca="1">('TFA Prevalences'!D74*('RR TFA'!E45-1))/(('TFA Prevalences'!D74*('RR TFA'!E45-1)+1))</f>
        <v>1.2669829314653543E-4</v>
      </c>
      <c r="E75" s="49">
        <f ca="1">('TFA Prevalences'!E74*('RR TFA'!F45-1))/(('TFA Prevalences'!E74*('RR TFA'!F45-1)+1))</f>
        <v>1.5283317010041182E-3</v>
      </c>
      <c r="F75" s="49">
        <f ca="1">('TFA Prevalences'!F74*('RR TFA'!G45-1))/(('TFA Prevalences'!F74*('RR TFA'!G45-1)+1))</f>
        <v>5.3039074716231442E-3</v>
      </c>
      <c r="G75" s="49">
        <f ca="1">('TFA Prevalences'!G74*('RR TFA'!H45-1))/(('TFA Prevalences'!G74*('RR TFA'!H45-1)+1))</f>
        <v>9.2841421579754786E-3</v>
      </c>
      <c r="H75" s="49">
        <f ca="1">('TFA Prevalences'!H74*('RR TFA'!I45-1))/(('TFA Prevalences'!H74*('RR TFA'!I45-1)+1))</f>
        <v>1.0884475100602335E-2</v>
      </c>
      <c r="I75" s="49">
        <f ca="1">('TFA Prevalences'!I74*('RR TFA'!J45-1))/(('TFA Prevalences'!I74*('RR TFA'!J45-1)+1))</f>
        <v>9.9581195959915318E-3</v>
      </c>
      <c r="J75" s="49">
        <f ca="1">('TFA Prevalences'!J74*('RR TFA'!K45-1))/(('TFA Prevalences'!J74*('RR TFA'!K45-1)+1))</f>
        <v>7.7574795787547241E-3</v>
      </c>
      <c r="K75" s="49">
        <f ca="1">('TFA Prevalences'!K74*('RR TFA'!L45-1))/(('TFA Prevalences'!K74*('RR TFA'!L45-1)+1))</f>
        <v>5.4254618508606037E-3</v>
      </c>
      <c r="L75" s="49">
        <f ca="1">('TFA Prevalences'!L74*('RR TFA'!M45-1))/(('TFA Prevalences'!L74*('RR TFA'!M45-1)+1))</f>
        <v>3.524635987754412E-3</v>
      </c>
      <c r="M75" s="49">
        <f ca="1">('TFA Prevalences'!M74*('RR TFA'!N45-1))/(('TFA Prevalences'!M74*('RR TFA'!N45-1)+1))</f>
        <v>2.176088258674924E-3</v>
      </c>
      <c r="N75" s="49">
        <f ca="1">('TFA Prevalences'!N74*('RR TFA'!O45-1))/(('TFA Prevalences'!N74*('RR TFA'!O45-1)+1))</f>
        <v>1.297113607530286E-3</v>
      </c>
      <c r="O75" s="49">
        <f ca="1">('TFA Prevalences'!O74*('RR TFA'!P45-1))/(('TFA Prevalences'!O74*('RR TFA'!P45-1)+1))</f>
        <v>7.5483370378337761E-4</v>
      </c>
      <c r="P75" s="49">
        <f ca="1">('TFA Prevalences'!P74*('RR TFA'!Q45-1))/(('TFA Prevalences'!P74*('RR TFA'!Q45-1)+1))</f>
        <v>4.3227233732869426E-4</v>
      </c>
      <c r="Q75" s="49">
        <f ca="1">('TFA Prevalences'!Q74*('RR TFA'!R45-1))/(('TFA Prevalences'!Q74*('RR TFA'!R45-1)+1))</f>
        <v>2.4502392469090732E-4</v>
      </c>
      <c r="R75" s="49">
        <f ca="1">('TFA Prevalences'!R74*('RR TFA'!S45-1))/(('TFA Prevalences'!R74*('RR TFA'!S45-1)+1))</f>
        <v>1.3805381518166323E-4</v>
      </c>
      <c r="S75" s="49">
        <f ca="1">('TFA Prevalences'!S74*('RR TFA'!T45-1))/(('TFA Prevalences'!S74*('RR TFA'!T45-1)+1))</f>
        <v>7.7561073417571296E-5</v>
      </c>
      <c r="T75" s="49">
        <f ca="1">('TFA Prevalences'!T74*('RR TFA'!U45-1))/(('TFA Prevalences'!T74*('RR TFA'!U45-1)+1))</f>
        <v>4.355270886233254E-5</v>
      </c>
      <c r="U75" s="49">
        <f ca="1">('TFA Prevalences'!U74*('RR TFA'!V45-1))/(('TFA Prevalences'!U74*('RR TFA'!V45-1)+1))</f>
        <v>2.4486607420102988E-5</v>
      </c>
      <c r="V75" s="49">
        <f ca="1">('TFA Prevalences'!V74*('RR TFA'!W45-1))/(('TFA Prevalences'!V74*('RR TFA'!W45-1)+1))</f>
        <v>1.3802602953086727E-5</v>
      </c>
      <c r="W75" s="49">
        <f ca="1">('TFA Prevalences'!W74*('RR TFA'!X45-1))/(('TFA Prevalences'!W74*('RR TFA'!X45-1)+1))</f>
        <v>7.8081243017616298E-6</v>
      </c>
      <c r="X75" s="49">
        <f ca="1">('TFA Prevalences'!X74*('RR TFA'!Y45-1))/(('TFA Prevalences'!X74*('RR TFA'!Y45-1)+1))</f>
        <v>4.4362086464578732E-6</v>
      </c>
      <c r="Y75" s="49">
        <f ca="1">('TFA Prevalences'!Y74*('RR TFA'!Z45-1))/(('TFA Prevalences'!Y74*('RR TFA'!Z45-1)+1))</f>
        <v>2.532794422498614E-6</v>
      </c>
      <c r="Z75" s="49">
        <f ca="1">('TFA Prevalences'!Z74*('RR TFA'!AA45-1))/(('TFA Prevalences'!Z74*('RR TFA'!AA45-1)+1))</f>
        <v>3.2799020814613199E-6</v>
      </c>
      <c r="AA75">
        <f t="shared" ca="1" si="28"/>
        <v>5.901488262923979E-2</v>
      </c>
    </row>
    <row r="76" spans="1:27" ht="15.5" x14ac:dyDescent="0.35">
      <c r="A76" s="43" t="s">
        <v>50</v>
      </c>
      <c r="B76" s="49">
        <f ca="1">('TFA Prevalences'!B75*('RR TFA'!C46-1))/(('TFA Prevalences'!B75*('RR TFA'!C46-1)+1))</f>
        <v>0</v>
      </c>
      <c r="C76" s="49">
        <f ca="1">('TFA Prevalences'!C75*('RR TFA'!D46-1))/(('TFA Prevalences'!C75*('RR TFA'!D46-1)+1))</f>
        <v>7.852222317912322E-7</v>
      </c>
      <c r="D76" s="49">
        <f ca="1">('TFA Prevalences'!D75*('RR TFA'!E46-1))/(('TFA Prevalences'!D75*('RR TFA'!E46-1)+1))</f>
        <v>1.2669829314653543E-4</v>
      </c>
      <c r="E76" s="49">
        <f ca="1">('TFA Prevalences'!E75*('RR TFA'!F46-1))/(('TFA Prevalences'!E75*('RR TFA'!F46-1)+1))</f>
        <v>1.5283317010041182E-3</v>
      </c>
      <c r="F76" s="49">
        <f ca="1">('TFA Prevalences'!F75*('RR TFA'!G46-1))/(('TFA Prevalences'!F75*('RR TFA'!G46-1)+1))</f>
        <v>5.3039074716231442E-3</v>
      </c>
      <c r="G76" s="49">
        <f ca="1">('TFA Prevalences'!G75*('RR TFA'!H46-1))/(('TFA Prevalences'!G75*('RR TFA'!H46-1)+1))</f>
        <v>9.2841421579754786E-3</v>
      </c>
      <c r="H76" s="49">
        <f ca="1">('TFA Prevalences'!H75*('RR TFA'!I46-1))/(('TFA Prevalences'!H75*('RR TFA'!I46-1)+1))</f>
        <v>1.0884475100602333E-2</v>
      </c>
      <c r="I76" s="49">
        <f ca="1">('TFA Prevalences'!I75*('RR TFA'!J46-1))/(('TFA Prevalences'!I75*('RR TFA'!J46-1)+1))</f>
        <v>9.9581195959915318E-3</v>
      </c>
      <c r="J76" s="49">
        <f ca="1">('TFA Prevalences'!J75*('RR TFA'!K46-1))/(('TFA Prevalences'!J75*('RR TFA'!K46-1)+1))</f>
        <v>7.7574795787547241E-3</v>
      </c>
      <c r="K76" s="49">
        <f ca="1">('TFA Prevalences'!K75*('RR TFA'!L46-1))/(('TFA Prevalences'!K75*('RR TFA'!L46-1)+1))</f>
        <v>5.4254618508606037E-3</v>
      </c>
      <c r="L76" s="49">
        <f ca="1">('TFA Prevalences'!L75*('RR TFA'!M46-1))/(('TFA Prevalences'!L75*('RR TFA'!M46-1)+1))</f>
        <v>3.524635987754412E-3</v>
      </c>
      <c r="M76" s="49">
        <f ca="1">('TFA Prevalences'!M75*('RR TFA'!N46-1))/(('TFA Prevalences'!M75*('RR TFA'!N46-1)+1))</f>
        <v>2.1760882586749236E-3</v>
      </c>
      <c r="N76" s="49">
        <f ca="1">('TFA Prevalences'!N75*('RR TFA'!O46-1))/(('TFA Prevalences'!N75*('RR TFA'!O46-1)+1))</f>
        <v>1.2971136075302858E-3</v>
      </c>
      <c r="O76" s="49">
        <f ca="1">('TFA Prevalences'!O75*('RR TFA'!P46-1))/(('TFA Prevalences'!O75*('RR TFA'!P46-1)+1))</f>
        <v>7.548337037833775E-4</v>
      </c>
      <c r="P76" s="49">
        <f ca="1">('TFA Prevalences'!P75*('RR TFA'!Q46-1))/(('TFA Prevalences'!P75*('RR TFA'!Q46-1)+1))</f>
        <v>4.3227233732869426E-4</v>
      </c>
      <c r="Q76" s="49">
        <f ca="1">('TFA Prevalences'!Q75*('RR TFA'!R46-1))/(('TFA Prevalences'!Q75*('RR TFA'!R46-1)+1))</f>
        <v>2.4502392469090732E-4</v>
      </c>
      <c r="R76" s="49">
        <f ca="1">('TFA Prevalences'!R75*('RR TFA'!S46-1))/(('TFA Prevalences'!R75*('RR TFA'!S46-1)+1))</f>
        <v>1.3805381518166323E-4</v>
      </c>
      <c r="S76" s="49">
        <f ca="1">('TFA Prevalences'!S75*('RR TFA'!T46-1))/(('TFA Prevalences'!S75*('RR TFA'!T46-1)+1))</f>
        <v>7.7561073417571296E-5</v>
      </c>
      <c r="T76" s="49">
        <f ca="1">('TFA Prevalences'!T75*('RR TFA'!U46-1))/(('TFA Prevalences'!T75*('RR TFA'!U46-1)+1))</f>
        <v>4.355270886233254E-5</v>
      </c>
      <c r="U76" s="49">
        <f ca="1">('TFA Prevalences'!U75*('RR TFA'!V46-1))/(('TFA Prevalences'!U75*('RR TFA'!V46-1)+1))</f>
        <v>2.4486607420102988E-5</v>
      </c>
      <c r="V76" s="49">
        <f ca="1">('TFA Prevalences'!V75*('RR TFA'!W46-1))/(('TFA Prevalences'!V75*('RR TFA'!W46-1)+1))</f>
        <v>1.3802602953086727E-5</v>
      </c>
      <c r="W76" s="49">
        <f ca="1">('TFA Prevalences'!W75*('RR TFA'!X46-1))/(('TFA Prevalences'!W75*('RR TFA'!X46-1)+1))</f>
        <v>7.8081243017616298E-6</v>
      </c>
      <c r="X76" s="49">
        <f ca="1">('TFA Prevalences'!X75*('RR TFA'!Y46-1))/(('TFA Prevalences'!X75*('RR TFA'!Y46-1)+1))</f>
        <v>4.4362086464578732E-6</v>
      </c>
      <c r="Y76" s="49">
        <f ca="1">('TFA Prevalences'!Y75*('RR TFA'!Z46-1))/(('TFA Prevalences'!Y75*('RR TFA'!Z46-1)+1))</f>
        <v>2.532794422498614E-6</v>
      </c>
      <c r="Z76" s="49">
        <f ca="1">('TFA Prevalences'!Z75*('RR TFA'!AA46-1))/(('TFA Prevalences'!Z75*('RR TFA'!AA46-1)+1))</f>
        <v>3.2799020814613199E-6</v>
      </c>
      <c r="AA76">
        <f t="shared" ca="1" si="28"/>
        <v>5.901488262923979E-2</v>
      </c>
    </row>
    <row r="77" spans="1:27" ht="15.5" x14ac:dyDescent="0.35">
      <c r="A77" s="43" t="s">
        <v>51</v>
      </c>
      <c r="B77" s="49">
        <f ca="1">('TFA Prevalences'!B76*('RR TFA'!C47-1))/(('TFA Prevalences'!B76*('RR TFA'!C47-1)+1))</f>
        <v>0</v>
      </c>
      <c r="C77" s="49">
        <f ca="1">('TFA Prevalences'!C76*('RR TFA'!D47-1))/(('TFA Prevalences'!C76*('RR TFA'!D47-1)+1))</f>
        <v>6.578247459589323E-7</v>
      </c>
      <c r="D77" s="49">
        <f ca="1">('TFA Prevalences'!D76*('RR TFA'!E47-1))/(('TFA Prevalences'!D76*('RR TFA'!E47-1)+1))</f>
        <v>1.060656560955249E-4</v>
      </c>
      <c r="E77" s="49">
        <f ca="1">('TFA Prevalences'!E76*('RR TFA'!F47-1))/(('TFA Prevalences'!E76*('RR TFA'!F47-1)+1))</f>
        <v>1.2787857829396954E-3</v>
      </c>
      <c r="F77" s="49">
        <f ca="1">('TFA Prevalences'!F76*('RR TFA'!G47-1))/(('TFA Prevalences'!F76*('RR TFA'!G47-1)+1))</f>
        <v>4.4373273952212737E-3</v>
      </c>
      <c r="G77" s="49">
        <f ca="1">('TFA Prevalences'!G76*('RR TFA'!H47-1))/(('TFA Prevalences'!G76*('RR TFA'!H47-1)+1))</f>
        <v>7.7665592438962141E-3</v>
      </c>
      <c r="H77" s="49">
        <f ca="1">('TFA Prevalences'!H76*('RR TFA'!I47-1))/(('TFA Prevalences'!H76*('RR TFA'!I47-1)+1))</f>
        <v>9.1009329544126695E-3</v>
      </c>
      <c r="I77" s="49">
        <f ca="1">('TFA Prevalences'!I76*('RR TFA'!J47-1))/(('TFA Prevalences'!I76*('RR TFA'!J47-1)+1))</f>
        <v>8.3188794610159419E-3</v>
      </c>
      <c r="J77" s="49">
        <f ca="1">('TFA Prevalences'!J76*('RR TFA'!K47-1))/(('TFA Prevalences'!J76*('RR TFA'!K47-1)+1))</f>
        <v>6.4732662521166549E-3</v>
      </c>
      <c r="K77" s="49">
        <f ca="1">('TFA Prevalences'!K76*('RR TFA'!L47-1))/(('TFA Prevalences'!K76*('RR TFA'!L47-1)+1))</f>
        <v>4.5221324941281602E-3</v>
      </c>
      <c r="L77" s="49">
        <f ca="1">('TFA Prevalences'!L76*('RR TFA'!M47-1))/(('TFA Prevalences'!L76*('RR TFA'!M47-1)+1))</f>
        <v>2.9346338558937008E-3</v>
      </c>
      <c r="M77" s="49">
        <f ca="1">('TFA Prevalences'!M76*('RR TFA'!N47-1))/(('TFA Prevalences'!M76*('RR TFA'!N47-1)+1))</f>
        <v>1.8100383442895935E-3</v>
      </c>
      <c r="N77" s="49">
        <f ca="1">('TFA Prevalences'!N76*('RR TFA'!O47-1))/(('TFA Prevalences'!N76*('RR TFA'!O47-1)+1))</f>
        <v>1.0779380078119033E-3</v>
      </c>
      <c r="O77" s="49">
        <f ca="1">('TFA Prevalences'!O76*('RR TFA'!P47-1))/(('TFA Prevalences'!O76*('RR TFA'!P47-1)+1))</f>
        <v>6.2675096231321861E-4</v>
      </c>
      <c r="P77" s="49">
        <f ca="1">('TFA Prevalences'!P76*('RR TFA'!Q47-1))/(('TFA Prevalences'!P76*('RR TFA'!Q47-1)+1))</f>
        <v>3.5862800048261384E-4</v>
      </c>
      <c r="Q77" s="49">
        <f ca="1">('TFA Prevalences'!Q76*('RR TFA'!R47-1))/(('TFA Prevalences'!Q76*('RR TFA'!R47-1)+1))</f>
        <v>2.0311745373813824E-4</v>
      </c>
      <c r="R77" s="49">
        <f ca="1">('TFA Prevalences'!R76*('RR TFA'!S47-1))/(('TFA Prevalences'!R76*('RR TFA'!S47-1)+1))</f>
        <v>1.1435210147022802E-4</v>
      </c>
      <c r="S77" s="49">
        <f ca="1">('TFA Prevalences'!S76*('RR TFA'!T47-1))/(('TFA Prevalences'!S76*('RR TFA'!T47-1)+1))</f>
        <v>6.4194682331821364E-5</v>
      </c>
      <c r="T77" s="49">
        <f ca="1">('TFA Prevalences'!T76*('RR TFA'!U47-1))/(('TFA Prevalences'!T76*('RR TFA'!U47-1)+1))</f>
        <v>3.601894423609502E-5</v>
      </c>
      <c r="U77" s="49">
        <f ca="1">('TFA Prevalences'!U76*('RR TFA'!V47-1))/(('TFA Prevalences'!U76*('RR TFA'!V47-1)+1))</f>
        <v>2.0235092700544085E-5</v>
      </c>
      <c r="V77" s="49">
        <f ca="1">('TFA Prevalences'!V76*('RR TFA'!W47-1))/(('TFA Prevalences'!V76*('RR TFA'!W47-1)+1))</f>
        <v>1.1397197488489245E-5</v>
      </c>
      <c r="W77" s="49">
        <f ca="1">('TFA Prevalences'!W76*('RR TFA'!X47-1))/(('TFA Prevalences'!W76*('RR TFA'!X47-1)+1))</f>
        <v>6.4423415828895155E-6</v>
      </c>
      <c r="X77" s="49">
        <f ca="1">('TFA Prevalences'!X76*('RR TFA'!Y47-1))/(('TFA Prevalences'!X76*('RR TFA'!Y47-1)+1))</f>
        <v>3.6573644871050621E-6</v>
      </c>
      <c r="Y77" s="49">
        <f ca="1">('TFA Prevalences'!Y76*('RR TFA'!Z47-1))/(('TFA Prevalences'!Y76*('RR TFA'!Z47-1)+1))</f>
        <v>2.0864821996686916E-6</v>
      </c>
      <c r="Z77" s="49">
        <f ca="1">('TFA Prevalences'!Z76*('RR TFA'!AA47-1))/(('TFA Prevalences'!Z76*('RR TFA'!AA47-1)+1))</f>
        <v>2.6998111705680534E-6</v>
      </c>
      <c r="AA77">
        <f t="shared" ca="1" si="28"/>
        <v>4.9276797706768669E-2</v>
      </c>
    </row>
    <row r="78" spans="1:27" ht="15.5" x14ac:dyDescent="0.35">
      <c r="A78" s="43" t="s">
        <v>52</v>
      </c>
      <c r="B78" s="49">
        <f ca="1">('TFA Prevalences'!B77*('RR TFA'!C48-1))/(('TFA Prevalences'!B77*('RR TFA'!C48-1)+1))</f>
        <v>0</v>
      </c>
      <c r="C78" s="49">
        <f ca="1">('TFA Prevalences'!C77*('RR TFA'!D48-1))/(('TFA Prevalences'!C77*('RR TFA'!D48-1)+1))</f>
        <v>6.578247459589323E-7</v>
      </c>
      <c r="D78" s="49">
        <f ca="1">('TFA Prevalences'!D77*('RR TFA'!E48-1))/(('TFA Prevalences'!D77*('RR TFA'!E48-1)+1))</f>
        <v>1.0606565609552491E-4</v>
      </c>
      <c r="E78" s="49">
        <f ca="1">('TFA Prevalences'!E77*('RR TFA'!F48-1))/(('TFA Prevalences'!E77*('RR TFA'!F48-1)+1))</f>
        <v>1.2787857829396957E-3</v>
      </c>
      <c r="F78" s="49">
        <f ca="1">('TFA Prevalences'!F77*('RR TFA'!G48-1))/(('TFA Prevalences'!F77*('RR TFA'!G48-1)+1))</f>
        <v>4.4373273952212737E-3</v>
      </c>
      <c r="G78" s="49">
        <f ca="1">('TFA Prevalences'!G77*('RR TFA'!H48-1))/(('TFA Prevalences'!G77*('RR TFA'!H48-1)+1))</f>
        <v>7.7665592438962141E-3</v>
      </c>
      <c r="H78" s="49">
        <f ca="1">('TFA Prevalences'!H77*('RR TFA'!I48-1))/(('TFA Prevalences'!H77*('RR TFA'!I48-1)+1))</f>
        <v>9.1009329544126695E-3</v>
      </c>
      <c r="I78" s="49">
        <f ca="1">('TFA Prevalences'!I77*('RR TFA'!J48-1))/(('TFA Prevalences'!I77*('RR TFA'!J48-1)+1))</f>
        <v>8.3188794610159419E-3</v>
      </c>
      <c r="J78" s="49">
        <f ca="1">('TFA Prevalences'!J77*('RR TFA'!K48-1))/(('TFA Prevalences'!J77*('RR TFA'!K48-1)+1))</f>
        <v>6.4732662521166558E-3</v>
      </c>
      <c r="K78" s="49">
        <f ca="1">('TFA Prevalences'!K77*('RR TFA'!L48-1))/(('TFA Prevalences'!K77*('RR TFA'!L48-1)+1))</f>
        <v>4.5221324941281602E-3</v>
      </c>
      <c r="L78" s="49">
        <f ca="1">('TFA Prevalences'!L77*('RR TFA'!M48-1))/(('TFA Prevalences'!L77*('RR TFA'!M48-1)+1))</f>
        <v>2.9346338558937008E-3</v>
      </c>
      <c r="M78" s="49">
        <f ca="1">('TFA Prevalences'!M77*('RR TFA'!N48-1))/(('TFA Prevalences'!M77*('RR TFA'!N48-1)+1))</f>
        <v>1.8100383442895935E-3</v>
      </c>
      <c r="N78" s="49">
        <f ca="1">('TFA Prevalences'!N77*('RR TFA'!O48-1))/(('TFA Prevalences'!N77*('RR TFA'!O48-1)+1))</f>
        <v>1.0779380078119035E-3</v>
      </c>
      <c r="O78" s="49">
        <f ca="1">('TFA Prevalences'!O77*('RR TFA'!P48-1))/(('TFA Prevalences'!O77*('RR TFA'!P48-1)+1))</f>
        <v>6.2675096231321851E-4</v>
      </c>
      <c r="P78" s="49">
        <f ca="1">('TFA Prevalences'!P77*('RR TFA'!Q48-1))/(('TFA Prevalences'!P77*('RR TFA'!Q48-1)+1))</f>
        <v>3.5862800048261384E-4</v>
      </c>
      <c r="Q78" s="49">
        <f ca="1">('TFA Prevalences'!Q77*('RR TFA'!R48-1))/(('TFA Prevalences'!Q77*('RR TFA'!R48-1)+1))</f>
        <v>2.0311745373813826E-4</v>
      </c>
      <c r="R78" s="49">
        <f ca="1">('TFA Prevalences'!R77*('RR TFA'!S48-1))/(('TFA Prevalences'!R77*('RR TFA'!S48-1)+1))</f>
        <v>1.1435210147022802E-4</v>
      </c>
      <c r="S78" s="49">
        <f ca="1">('TFA Prevalences'!S77*('RR TFA'!T48-1))/(('TFA Prevalences'!S77*('RR TFA'!T48-1)+1))</f>
        <v>6.4194682331821364E-5</v>
      </c>
      <c r="T78" s="49">
        <f ca="1">('TFA Prevalences'!T77*('RR TFA'!U48-1))/(('TFA Prevalences'!T77*('RR TFA'!U48-1)+1))</f>
        <v>3.6018944236095027E-5</v>
      </c>
      <c r="U78" s="49">
        <f ca="1">('TFA Prevalences'!U77*('RR TFA'!V48-1))/(('TFA Prevalences'!U77*('RR TFA'!V48-1)+1))</f>
        <v>2.0235092700544085E-5</v>
      </c>
      <c r="V78" s="49">
        <f ca="1">('TFA Prevalences'!V77*('RR TFA'!W48-1))/(('TFA Prevalences'!V77*('RR TFA'!W48-1)+1))</f>
        <v>1.1397197488489245E-5</v>
      </c>
      <c r="W78" s="49">
        <f ca="1">('TFA Prevalences'!W77*('RR TFA'!X48-1))/(('TFA Prevalences'!W77*('RR TFA'!X48-1)+1))</f>
        <v>6.4423415828895155E-6</v>
      </c>
      <c r="X78" s="49">
        <f ca="1">('TFA Prevalences'!X77*('RR TFA'!Y48-1))/(('TFA Prevalences'!X77*('RR TFA'!Y48-1)+1))</f>
        <v>3.6573644871050621E-6</v>
      </c>
      <c r="Y78" s="49">
        <f ca="1">('TFA Prevalences'!Y77*('RR TFA'!Z48-1))/(('TFA Prevalences'!Y77*('RR TFA'!Z48-1)+1))</f>
        <v>2.0864821996686916E-6</v>
      </c>
      <c r="Z78" s="49">
        <f ca="1">('TFA Prevalences'!Z77*('RR TFA'!AA48-1))/(('TFA Prevalences'!Z77*('RR TFA'!AA48-1)+1))</f>
        <v>2.6998111705680529E-6</v>
      </c>
      <c r="AA78">
        <f t="shared" ca="1" si="28"/>
        <v>4.9276797706768669E-2</v>
      </c>
    </row>
    <row r="79" spans="1:27" ht="15.5" x14ac:dyDescent="0.35">
      <c r="A79" s="43" t="s">
        <v>53</v>
      </c>
      <c r="B79" s="49">
        <f ca="1">('TFA Prevalences'!B78*('RR TFA'!C49-1))/(('TFA Prevalences'!B78*('RR TFA'!C49-1)+1))</f>
        <v>0</v>
      </c>
      <c r="C79" s="49">
        <f ca="1">('TFA Prevalences'!C78*('RR TFA'!D49-1))/(('TFA Prevalences'!C78*('RR TFA'!D49-1)+1))</f>
        <v>5.4254646634685649E-7</v>
      </c>
      <c r="D79" s="49">
        <f ca="1">('TFA Prevalences'!D78*('RR TFA'!E49-1))/(('TFA Prevalences'!D78*('RR TFA'!E49-1)+1))</f>
        <v>8.7421354101789749E-5</v>
      </c>
      <c r="E79" s="49">
        <f ca="1">('TFA Prevalences'!E78*('RR TFA'!F49-1))/(('TFA Prevalences'!E78*('RR TFA'!F49-1)+1))</f>
        <v>1.053507631490677E-3</v>
      </c>
      <c r="F79" s="49">
        <f ca="1">('TFA Prevalences'!F78*('RR TFA'!G49-1))/(('TFA Prevalences'!F78*('RR TFA'!G49-1)+1))</f>
        <v>3.655199368039941E-3</v>
      </c>
      <c r="G79" s="49">
        <f ca="1">('TFA Prevalences'!G78*('RR TFA'!H49-1))/(('TFA Prevalences'!G78*('RR TFA'!H49-1)+1))</f>
        <v>6.397085099494982E-3</v>
      </c>
      <c r="H79" s="49">
        <f ca="1">('TFA Prevalences'!H78*('RR TFA'!I49-1))/(('TFA Prevalences'!H78*('RR TFA'!I49-1)+1))</f>
        <v>7.4928983229794917E-3</v>
      </c>
      <c r="I79" s="49">
        <f ca="1">('TFA Prevalences'!I78*('RR TFA'!J49-1))/(('TFA Prevalences'!I78*('RR TFA'!J49-1)+1))</f>
        <v>6.843445150361338E-3</v>
      </c>
      <c r="J79" s="49">
        <f ca="1">('TFA Prevalences'!J78*('RR TFA'!K49-1))/(('TFA Prevalences'!J78*('RR TFA'!K49-1)+1))</f>
        <v>5.3198032071415354E-3</v>
      </c>
      <c r="K79" s="49">
        <f ca="1">('TFA Prevalences'!K78*('RR TFA'!L49-1))/(('TFA Prevalences'!K78*('RR TFA'!L49-1)+1))</f>
        <v>3.7125109675517089E-3</v>
      </c>
      <c r="L79" s="49">
        <f ca="1">('TFA Prevalences'!L78*('RR TFA'!M49-1))/(('TFA Prevalences'!L78*('RR TFA'!M49-1)+1))</f>
        <v>2.4068978465560248E-3</v>
      </c>
      <c r="M79" s="49">
        <f ca="1">('TFA Prevalences'!M78*('RR TFA'!N49-1))/(('TFA Prevalences'!M78*('RR TFA'!N49-1)+1))</f>
        <v>1.4832205266841576E-3</v>
      </c>
      <c r="N79" s="49">
        <f ca="1">('TFA Prevalences'!N78*('RR TFA'!O49-1))/(('TFA Prevalences'!N78*('RR TFA'!O49-1)+1))</f>
        <v>8.8258322459332532E-4</v>
      </c>
      <c r="O79" s="49">
        <f ca="1">('TFA Prevalences'!O78*('RR TFA'!P49-1))/(('TFA Prevalences'!O78*('RR TFA'!P49-1)+1))</f>
        <v>5.127692752593413E-4</v>
      </c>
      <c r="P79" s="49">
        <f ca="1">('TFA Prevalences'!P78*('RR TFA'!Q49-1))/(('TFA Prevalences'!P78*('RR TFA'!Q49-1)+1))</f>
        <v>2.9319050194032543E-4</v>
      </c>
      <c r="Q79" s="49">
        <f ca="1">('TFA Prevalences'!Q78*('RR TFA'!R49-1))/(('TFA Prevalences'!Q78*('RR TFA'!R49-1)+1))</f>
        <v>1.6593569093557257E-4</v>
      </c>
      <c r="R79" s="49">
        <f ca="1">('TFA Prevalences'!R78*('RR TFA'!S49-1))/(('TFA Prevalences'!R78*('RR TFA'!S49-1)+1))</f>
        <v>9.3352971367475533E-5</v>
      </c>
      <c r="S79" s="49">
        <f ca="1">('TFA Prevalences'!S78*('RR TFA'!T49-1))/(('TFA Prevalences'!S78*('RR TFA'!T49-1)+1))</f>
        <v>5.236930954532395E-5</v>
      </c>
      <c r="T79" s="49">
        <f ca="1">('TFA Prevalences'!T78*('RR TFA'!U49-1))/(('TFA Prevalences'!T78*('RR TFA'!U49-1)+1))</f>
        <v>2.9363216842300029E-5</v>
      </c>
      <c r="U79" s="49">
        <f ca="1">('TFA Prevalences'!U78*('RR TFA'!V49-1))/(('TFA Prevalences'!U78*('RR TFA'!V49-1)+1))</f>
        <v>1.648439515666384E-5</v>
      </c>
      <c r="V79" s="49">
        <f ca="1">('TFA Prevalences'!V78*('RR TFA'!W49-1))/(('TFA Prevalences'!V78*('RR TFA'!W49-1)+1))</f>
        <v>9.2781402296117089E-6</v>
      </c>
      <c r="W79" s="49">
        <f ca="1">('TFA Prevalences'!W78*('RR TFA'!X49-1))/(('TFA Prevalences'!W78*('RR TFA'!X49-1)+1))</f>
        <v>5.2408445578456231E-6</v>
      </c>
      <c r="X79" s="49">
        <f ca="1">('TFA Prevalences'!X78*('RR TFA'!Y49-1))/(('TFA Prevalences'!X78*('RR TFA'!Y49-1)+1))</f>
        <v>2.9731713745675357E-6</v>
      </c>
      <c r="Y79" s="49">
        <f ca="1">('TFA Prevalences'!Y78*('RR TFA'!Z49-1))/(('TFA Prevalences'!Y78*('RR TFA'!Z49-1)+1))</f>
        <v>1.6949620217919246E-6</v>
      </c>
      <c r="Z79" s="49">
        <f ca="1">('TFA Prevalences'!Z78*('RR TFA'!AA49-1))/(('TFA Prevalences'!Z78*('RR TFA'!AA49-1)+1))</f>
        <v>2.1916528588389103E-6</v>
      </c>
      <c r="AA79">
        <f t="shared" ca="1" si="28"/>
        <v>4.0519959377550978E-2</v>
      </c>
    </row>
    <row r="80" spans="1:27" ht="15.5" x14ac:dyDescent="0.35">
      <c r="A80" s="43" t="s">
        <v>54</v>
      </c>
      <c r="B80" s="49">
        <f ca="1">('TFA Prevalences'!B79*('RR TFA'!C50-1))/(('TFA Prevalences'!B79*('RR TFA'!C50-1)+1))</f>
        <v>0</v>
      </c>
      <c r="C80" s="49">
        <f ca="1">('TFA Prevalences'!C79*('RR TFA'!D50-1))/(('TFA Prevalences'!C79*('RR TFA'!D50-1)+1))</f>
        <v>5.4254646634685649E-7</v>
      </c>
      <c r="D80" s="49">
        <f ca="1">('TFA Prevalences'!D79*('RR TFA'!E50-1))/(('TFA Prevalences'!D79*('RR TFA'!E50-1)+1))</f>
        <v>8.7421354101789749E-5</v>
      </c>
      <c r="E80" s="49">
        <f ca="1">('TFA Prevalences'!E79*('RR TFA'!F50-1))/(('TFA Prevalences'!E79*('RR TFA'!F50-1)+1))</f>
        <v>1.053507631490677E-3</v>
      </c>
      <c r="F80" s="49">
        <f ca="1">('TFA Prevalences'!F79*('RR TFA'!G50-1))/(('TFA Prevalences'!F79*('RR TFA'!G50-1)+1))</f>
        <v>3.655199368039941E-3</v>
      </c>
      <c r="G80" s="49">
        <f ca="1">('TFA Prevalences'!G79*('RR TFA'!H50-1))/(('TFA Prevalences'!G79*('RR TFA'!H50-1)+1))</f>
        <v>6.397085099494982E-3</v>
      </c>
      <c r="H80" s="49">
        <f ca="1">('TFA Prevalences'!H79*('RR TFA'!I50-1))/(('TFA Prevalences'!H79*('RR TFA'!I50-1)+1))</f>
        <v>7.4928983229794917E-3</v>
      </c>
      <c r="I80" s="49">
        <f ca="1">('TFA Prevalences'!I79*('RR TFA'!J50-1))/(('TFA Prevalences'!I79*('RR TFA'!J50-1)+1))</f>
        <v>6.843445150361338E-3</v>
      </c>
      <c r="J80" s="49">
        <f ca="1">('TFA Prevalences'!J79*('RR TFA'!K50-1))/(('TFA Prevalences'!J79*('RR TFA'!K50-1)+1))</f>
        <v>5.3198032071415354E-3</v>
      </c>
      <c r="K80" s="49">
        <f ca="1">('TFA Prevalences'!K79*('RR TFA'!L50-1))/(('TFA Prevalences'!K79*('RR TFA'!L50-1)+1))</f>
        <v>3.7125109675517089E-3</v>
      </c>
      <c r="L80" s="49">
        <f ca="1">('TFA Prevalences'!L79*('RR TFA'!M50-1))/(('TFA Prevalences'!L79*('RR TFA'!M50-1)+1))</f>
        <v>2.4068978465560248E-3</v>
      </c>
      <c r="M80" s="49">
        <f ca="1">('TFA Prevalences'!M79*('RR TFA'!N50-1))/(('TFA Prevalences'!M79*('RR TFA'!N50-1)+1))</f>
        <v>1.4832205266841576E-3</v>
      </c>
      <c r="N80" s="49">
        <f ca="1">('TFA Prevalences'!N79*('RR TFA'!O50-1))/(('TFA Prevalences'!N79*('RR TFA'!O50-1)+1))</f>
        <v>8.8258322459332532E-4</v>
      </c>
      <c r="O80" s="49">
        <f ca="1">('TFA Prevalences'!O79*('RR TFA'!P50-1))/(('TFA Prevalences'!O79*('RR TFA'!P50-1)+1))</f>
        <v>5.127692752593413E-4</v>
      </c>
      <c r="P80" s="49">
        <f ca="1">('TFA Prevalences'!P79*('RR TFA'!Q50-1))/(('TFA Prevalences'!P79*('RR TFA'!Q50-1)+1))</f>
        <v>2.9319050194032543E-4</v>
      </c>
      <c r="Q80" s="49">
        <f ca="1">('TFA Prevalences'!Q79*('RR TFA'!R50-1))/(('TFA Prevalences'!Q79*('RR TFA'!R50-1)+1))</f>
        <v>1.6593569093557257E-4</v>
      </c>
      <c r="R80" s="49">
        <f ca="1">('TFA Prevalences'!R79*('RR TFA'!S50-1))/(('TFA Prevalences'!R79*('RR TFA'!S50-1)+1))</f>
        <v>9.3352971367475533E-5</v>
      </c>
      <c r="S80" s="49">
        <f ca="1">('TFA Prevalences'!S79*('RR TFA'!T50-1))/(('TFA Prevalences'!S79*('RR TFA'!T50-1)+1))</f>
        <v>5.236930954532395E-5</v>
      </c>
      <c r="T80" s="49">
        <f ca="1">('TFA Prevalences'!T79*('RR TFA'!U50-1))/(('TFA Prevalences'!T79*('RR TFA'!U50-1)+1))</f>
        <v>2.9363216842300029E-5</v>
      </c>
      <c r="U80" s="49">
        <f ca="1">('TFA Prevalences'!U79*('RR TFA'!V50-1))/(('TFA Prevalences'!U79*('RR TFA'!V50-1)+1))</f>
        <v>1.648439515666384E-5</v>
      </c>
      <c r="V80" s="49">
        <f ca="1">('TFA Prevalences'!V79*('RR TFA'!W50-1))/(('TFA Prevalences'!V79*('RR TFA'!W50-1)+1))</f>
        <v>9.2781402296117089E-6</v>
      </c>
      <c r="W80" s="49">
        <f ca="1">('TFA Prevalences'!W79*('RR TFA'!X50-1))/(('TFA Prevalences'!W79*('RR TFA'!X50-1)+1))</f>
        <v>5.2408445578456231E-6</v>
      </c>
      <c r="X80" s="49">
        <f ca="1">('TFA Prevalences'!X79*('RR TFA'!Y50-1))/(('TFA Prevalences'!X79*('RR TFA'!Y50-1)+1))</f>
        <v>2.9731713745675357E-6</v>
      </c>
      <c r="Y80" s="49">
        <f ca="1">('TFA Prevalences'!Y79*('RR TFA'!Z50-1))/(('TFA Prevalences'!Y79*('RR TFA'!Z50-1)+1))</f>
        <v>1.6949620217919246E-6</v>
      </c>
      <c r="Z80" s="49">
        <f ca="1">('TFA Prevalences'!Z79*('RR TFA'!AA50-1))/(('TFA Prevalences'!Z79*('RR TFA'!AA50-1)+1))</f>
        <v>2.1916528588389103E-6</v>
      </c>
      <c r="AA80">
        <f t="shared" ca="1" si="28"/>
        <v>4.0519959377550978E-2</v>
      </c>
    </row>
    <row r="81" spans="1:30" ht="15.5" x14ac:dyDescent="0.35">
      <c r="A81" s="43" t="s">
        <v>55</v>
      </c>
      <c r="B81" s="49">
        <f ca="1">('TFA Prevalences'!B80*('RR TFA'!C51-1))/(('TFA Prevalences'!B80*('RR TFA'!C51-1)+1))</f>
        <v>0</v>
      </c>
      <c r="C81" s="49">
        <f ca="1">('TFA Prevalences'!C80*('RR TFA'!D51-1))/(('TFA Prevalences'!C80*('RR TFA'!D51-1)+1))</f>
        <v>4.4687222437896958E-7</v>
      </c>
      <c r="D81" s="49">
        <f ca="1">('TFA Prevalences'!D80*('RR TFA'!E51-1))/(('TFA Prevalences'!D80*('RR TFA'!E51-1)+1))</f>
        <v>7.1966122274888438E-5</v>
      </c>
      <c r="E81" s="49">
        <f ca="1">('TFA Prevalences'!E80*('RR TFA'!F51-1))/(('TFA Prevalences'!E80*('RR TFA'!F51-1)+1))</f>
        <v>8.6692129689690852E-4</v>
      </c>
      <c r="F81" s="49">
        <f ca="1">('TFA Prevalences'!F80*('RR TFA'!G51-1))/(('TFA Prevalences'!F80*('RR TFA'!G51-1)+1))</f>
        <v>3.0075351421880968E-3</v>
      </c>
      <c r="G81" s="49">
        <f ca="1">('TFA Prevalences'!G80*('RR TFA'!H51-1))/(('TFA Prevalences'!G80*('RR TFA'!H51-1)+1))</f>
        <v>5.2632131332012435E-3</v>
      </c>
      <c r="H81" s="49">
        <f ca="1">('TFA Prevalences'!H80*('RR TFA'!I51-1))/(('TFA Prevalences'!H80*('RR TFA'!I51-1)+1))</f>
        <v>6.1625534258179784E-3</v>
      </c>
      <c r="I81" s="49">
        <f ca="1">('TFA Prevalences'!I80*('RR TFA'!J51-1))/(('TFA Prevalences'!I80*('RR TFA'!J51-1)+1))</f>
        <v>5.6246010765916487E-3</v>
      </c>
      <c r="J81" s="49">
        <f ca="1">('TFA Prevalences'!J80*('RR TFA'!K51-1))/(('TFA Prevalences'!J80*('RR TFA'!K51-1)+1))</f>
        <v>4.3686737385511204E-3</v>
      </c>
      <c r="K81" s="49">
        <f ca="1">('TFA Prevalences'!K80*('RR TFA'!L51-1))/(('TFA Prevalences'!K80*('RR TFA'!L51-1)+1))</f>
        <v>3.0461501658767143E-3</v>
      </c>
      <c r="L81" s="49">
        <f ca="1">('TFA Prevalences'!L80*('RR TFA'!M51-1))/(('TFA Prevalences'!L80*('RR TFA'!M51-1)+1))</f>
        <v>1.97330093699575E-3</v>
      </c>
      <c r="M81" s="49">
        <f ca="1">('TFA Prevalences'!M80*('RR TFA'!N51-1))/(('TFA Prevalences'!M80*('RR TFA'!N51-1)+1))</f>
        <v>1.2151294524446331E-3</v>
      </c>
      <c r="N81" s="49">
        <f ca="1">('TFA Prevalences'!N80*('RR TFA'!O51-1))/(('TFA Prevalences'!N80*('RR TFA'!O51-1)+1))</f>
        <v>7.2256725492051332E-4</v>
      </c>
      <c r="O81" s="49">
        <f ca="1">('TFA Prevalences'!O80*('RR TFA'!P51-1))/(('TFA Prevalences'!O80*('RR TFA'!P51-1)+1))</f>
        <v>4.1953473456670493E-4</v>
      </c>
      <c r="P81" s="49">
        <f ca="1">('TFA Prevalences'!P80*('RR TFA'!Q51-1))/(('TFA Prevalences'!P80*('RR TFA'!Q51-1)+1))</f>
        <v>2.3973444193910268E-4</v>
      </c>
      <c r="Q81" s="49">
        <f ca="1">('TFA Prevalences'!Q80*('RR TFA'!R51-1))/(('TFA Prevalences'!Q80*('RR TFA'!R51-1)+1))</f>
        <v>1.3560063637918778E-4</v>
      </c>
      <c r="R81" s="49">
        <f ca="1">('TFA Prevalences'!R80*('RR TFA'!S51-1))/(('TFA Prevalences'!R80*('RR TFA'!S51-1)+1))</f>
        <v>7.6242176495251634E-5</v>
      </c>
      <c r="S81" s="49">
        <f ca="1">('TFA Prevalences'!S80*('RR TFA'!T51-1))/(('TFA Prevalences'!S80*('RR TFA'!T51-1)+1))</f>
        <v>4.2745582093331589E-5</v>
      </c>
      <c r="T81" s="49">
        <f ca="1">('TFA Prevalences'!T80*('RR TFA'!U51-1))/(('TFA Prevalences'!T80*('RR TFA'!U51-1)+1))</f>
        <v>2.3953348007207875E-5</v>
      </c>
      <c r="U81" s="49">
        <f ca="1">('TFA Prevalences'!U80*('RR TFA'!V51-1))/(('TFA Prevalences'!U80*('RR TFA'!V51-1)+1))</f>
        <v>1.3439532165450098E-5</v>
      </c>
      <c r="V81" s="49">
        <f ca="1">('TFA Prevalences'!V80*('RR TFA'!W51-1))/(('TFA Prevalences'!V80*('RR TFA'!W51-1)+1))</f>
        <v>7.5599791023773534E-6</v>
      </c>
      <c r="W81" s="49">
        <f ca="1">('TFA Prevalences'!W80*('RR TFA'!X51-1))/(('TFA Prevalences'!W80*('RR TFA'!X51-1)+1))</f>
        <v>4.2678510888378086E-6</v>
      </c>
      <c r="X81" s="49">
        <f ca="1">('TFA Prevalences'!X80*('RR TFA'!Y51-1))/(('TFA Prevalences'!X80*('RR TFA'!Y51-1)+1))</f>
        <v>2.4197801771301382E-6</v>
      </c>
      <c r="Y81" s="49">
        <f ca="1">('TFA Prevalences'!Y80*('RR TFA'!Z51-1))/(('TFA Prevalences'!Y80*('RR TFA'!Z51-1)+1))</f>
        <v>1.378680239067934E-6</v>
      </c>
      <c r="Z81" s="49">
        <f ca="1">('TFA Prevalences'!Z80*('RR TFA'!AA51-1))/(('TFA Prevalences'!Z80*('RR TFA'!AA51-1)+1))</f>
        <v>1.7816509830933081E-6</v>
      </c>
      <c r="AA81">
        <f t="shared" ca="1" si="28"/>
        <v>3.3291717011220613E-2</v>
      </c>
    </row>
    <row r="82" spans="1:30" ht="15.5" x14ac:dyDescent="0.35">
      <c r="A82" s="43" t="s">
        <v>56</v>
      </c>
      <c r="B82" s="49">
        <f ca="1">('TFA Prevalences'!B81*('RR TFA'!C52-1))/(('TFA Prevalences'!B81*('RR TFA'!C52-1)+1))</f>
        <v>0</v>
      </c>
      <c r="C82" s="49">
        <f ca="1">('TFA Prevalences'!C81*('RR TFA'!D52-1))/(('TFA Prevalences'!C81*('RR TFA'!D52-1)+1))</f>
        <v>4.4687222437896958E-7</v>
      </c>
      <c r="D82" s="49">
        <f ca="1">('TFA Prevalences'!D81*('RR TFA'!E52-1))/(('TFA Prevalences'!D81*('RR TFA'!E52-1)+1))</f>
        <v>7.1966122274888438E-5</v>
      </c>
      <c r="E82" s="49">
        <f ca="1">('TFA Prevalences'!E81*('RR TFA'!F52-1))/(('TFA Prevalences'!E81*('RR TFA'!F52-1)+1))</f>
        <v>8.6692129689690863E-4</v>
      </c>
      <c r="F82" s="49">
        <f ca="1">('TFA Prevalences'!F81*('RR TFA'!G52-1))/(('TFA Prevalences'!F81*('RR TFA'!G52-1)+1))</f>
        <v>3.0075351421880968E-3</v>
      </c>
      <c r="G82" s="49">
        <f ca="1">('TFA Prevalences'!G81*('RR TFA'!H52-1))/(('TFA Prevalences'!G81*('RR TFA'!H52-1)+1))</f>
        <v>5.2632131332012435E-3</v>
      </c>
      <c r="H82" s="49">
        <f ca="1">('TFA Prevalences'!H81*('RR TFA'!I52-1))/(('TFA Prevalences'!H81*('RR TFA'!I52-1)+1))</f>
        <v>6.1625534258179784E-3</v>
      </c>
      <c r="I82" s="49">
        <f ca="1">('TFA Prevalences'!I81*('RR TFA'!J52-1))/(('TFA Prevalences'!I81*('RR TFA'!J52-1)+1))</f>
        <v>5.6246010765916487E-3</v>
      </c>
      <c r="J82" s="49">
        <f ca="1">('TFA Prevalences'!J81*('RR TFA'!K52-1))/(('TFA Prevalences'!J81*('RR TFA'!K52-1)+1))</f>
        <v>4.3686737385511204E-3</v>
      </c>
      <c r="K82" s="49">
        <f ca="1">('TFA Prevalences'!K81*('RR TFA'!L52-1))/(('TFA Prevalences'!K81*('RR TFA'!L52-1)+1))</f>
        <v>3.0461501658767143E-3</v>
      </c>
      <c r="L82" s="49">
        <f ca="1">('TFA Prevalences'!L81*('RR TFA'!M52-1))/(('TFA Prevalences'!L81*('RR TFA'!M52-1)+1))</f>
        <v>1.9733009369957504E-3</v>
      </c>
      <c r="M82" s="49">
        <f ca="1">('TFA Prevalences'!M81*('RR TFA'!N52-1))/(('TFA Prevalences'!M81*('RR TFA'!N52-1)+1))</f>
        <v>1.2151294524446331E-3</v>
      </c>
      <c r="N82" s="49">
        <f ca="1">('TFA Prevalences'!N81*('RR TFA'!O52-1))/(('TFA Prevalences'!N81*('RR TFA'!O52-1)+1))</f>
        <v>7.2256725492051332E-4</v>
      </c>
      <c r="O82" s="49">
        <f ca="1">('TFA Prevalences'!O81*('RR TFA'!P52-1))/(('TFA Prevalences'!O81*('RR TFA'!P52-1)+1))</f>
        <v>4.1953473456670493E-4</v>
      </c>
      <c r="P82" s="49">
        <f ca="1">('TFA Prevalences'!P81*('RR TFA'!Q52-1))/(('TFA Prevalences'!P81*('RR TFA'!Q52-1)+1))</f>
        <v>2.3973444193910268E-4</v>
      </c>
      <c r="Q82" s="49">
        <f ca="1">('TFA Prevalences'!Q81*('RR TFA'!R52-1))/(('TFA Prevalences'!Q81*('RR TFA'!R52-1)+1))</f>
        <v>1.3560063637918781E-4</v>
      </c>
      <c r="R82" s="49">
        <f ca="1">('TFA Prevalences'!R81*('RR TFA'!S52-1))/(('TFA Prevalences'!R81*('RR TFA'!S52-1)+1))</f>
        <v>7.6242176495251634E-5</v>
      </c>
      <c r="S82" s="49">
        <f ca="1">('TFA Prevalences'!S81*('RR TFA'!T52-1))/(('TFA Prevalences'!S81*('RR TFA'!T52-1)+1))</f>
        <v>4.2745582093331583E-5</v>
      </c>
      <c r="T82" s="49">
        <f ca="1">('TFA Prevalences'!T81*('RR TFA'!U52-1))/(('TFA Prevalences'!T81*('RR TFA'!U52-1)+1))</f>
        <v>2.3953348007207872E-5</v>
      </c>
      <c r="U82" s="49">
        <f ca="1">('TFA Prevalences'!U81*('RR TFA'!V52-1))/(('TFA Prevalences'!U81*('RR TFA'!V52-1)+1))</f>
        <v>1.3439532165450098E-5</v>
      </c>
      <c r="V82" s="49">
        <f ca="1">('TFA Prevalences'!V81*('RR TFA'!W52-1))/(('TFA Prevalences'!V81*('RR TFA'!W52-1)+1))</f>
        <v>7.5599791023773534E-6</v>
      </c>
      <c r="W82" s="49">
        <f ca="1">('TFA Prevalences'!W81*('RR TFA'!X52-1))/(('TFA Prevalences'!W81*('RR TFA'!X52-1)+1))</f>
        <v>4.2678510888378095E-6</v>
      </c>
      <c r="X82" s="49">
        <f ca="1">('TFA Prevalences'!X81*('RR TFA'!Y52-1))/(('TFA Prevalences'!X81*('RR TFA'!Y52-1)+1))</f>
        <v>2.4197801771301387E-6</v>
      </c>
      <c r="Y82" s="49">
        <f ca="1">('TFA Prevalences'!Y81*('RR TFA'!Z52-1))/(('TFA Prevalences'!Y81*('RR TFA'!Z52-1)+1))</f>
        <v>1.3786802390679342E-6</v>
      </c>
      <c r="Z82" s="49">
        <f ca="1">('TFA Prevalences'!Z81*('RR TFA'!AA52-1))/(('TFA Prevalences'!Z81*('RR TFA'!AA52-1)+1))</f>
        <v>1.7816509830933079E-6</v>
      </c>
      <c r="AA82">
        <f t="shared" ca="1" si="28"/>
        <v>3.3291717011220613E-2</v>
      </c>
    </row>
    <row r="83" spans="1:30" ht="15.5" x14ac:dyDescent="0.35">
      <c r="A83" s="43" t="s">
        <v>57</v>
      </c>
      <c r="B83" s="49">
        <f ca="1">('TFA Prevalences'!B82*('RR TFA'!C53-1))/(('TFA Prevalences'!B82*('RR TFA'!C53-1)+1))</f>
        <v>0</v>
      </c>
      <c r="C83" s="49">
        <f ca="1">('TFA Prevalences'!C82*('RR TFA'!D53-1))/(('TFA Prevalences'!C82*('RR TFA'!D53-1)+1))</f>
        <v>3.2932333699849077E-7</v>
      </c>
      <c r="D83" s="49">
        <f ca="1">('TFA Prevalences'!D82*('RR TFA'!E53-1))/(('TFA Prevalences'!D82*('RR TFA'!E53-1)+1))</f>
        <v>5.3000172071695394E-5</v>
      </c>
      <c r="E83" s="49">
        <f ca="1">('TFA Prevalences'!E82*('RR TFA'!F53-1))/(('TFA Prevalences'!E82*('RR TFA'!F53-1)+1))</f>
        <v>6.3814803660499893E-4</v>
      </c>
      <c r="F83" s="49">
        <f ca="1">('TFA Prevalences'!F82*('RR TFA'!G53-1))/(('TFA Prevalences'!F82*('RR TFA'!G53-1)+1))</f>
        <v>2.2136027993777856E-3</v>
      </c>
      <c r="G83" s="49">
        <f ca="1">('TFA Prevalences'!G82*('RR TFA'!H53-1))/(('TFA Prevalences'!G82*('RR TFA'!H53-1)+1))</f>
        <v>3.873477699619798E-3</v>
      </c>
      <c r="H83" s="49">
        <f ca="1">('TFA Prevalences'!H82*('RR TFA'!I53-1))/(('TFA Prevalences'!H82*('RR TFA'!I53-1)+1))</f>
        <v>4.5333149958729311E-3</v>
      </c>
      <c r="I83" s="49">
        <f ca="1">('TFA Prevalences'!I82*('RR TFA'!J53-1))/(('TFA Prevalences'!I82*('RR TFA'!J53-1)+1))</f>
        <v>4.134144195375041E-3</v>
      </c>
      <c r="J83" s="49">
        <f ca="1">('TFA Prevalences'!J82*('RR TFA'!K53-1))/(('TFA Prevalences'!J82*('RR TFA'!K53-1)+1))</f>
        <v>3.2077335830429867E-3</v>
      </c>
      <c r="K83" s="49">
        <f ca="1">('TFA Prevalences'!K82*('RR TFA'!L53-1))/(('TFA Prevalences'!K82*('RR TFA'!L53-1)+1))</f>
        <v>2.2343236618057E-3</v>
      </c>
      <c r="L83" s="49">
        <f ca="1">('TFA Prevalences'!L82*('RR TFA'!M53-1))/(('TFA Prevalences'!L82*('RR TFA'!M53-1)+1))</f>
        <v>1.4459798704184383E-3</v>
      </c>
      <c r="M83" s="49">
        <f ca="1">('TFA Prevalences'!M82*('RR TFA'!N53-1))/(('TFA Prevalences'!M82*('RR TFA'!N53-1)+1))</f>
        <v>8.8961354444786085E-4</v>
      </c>
      <c r="N83" s="49">
        <f ca="1">('TFA Prevalences'!N82*('RR TFA'!O53-1))/(('TFA Prevalences'!N82*('RR TFA'!O53-1)+1))</f>
        <v>5.285636038342039E-4</v>
      </c>
      <c r="O83" s="49">
        <f ca="1">('TFA Prevalences'!O82*('RR TFA'!P53-1))/(('TFA Prevalences'!O82*('RR TFA'!P53-1)+1))</f>
        <v>3.0665393141288469E-4</v>
      </c>
      <c r="P83" s="49">
        <f ca="1">('TFA Prevalences'!P82*('RR TFA'!Q53-1))/(('TFA Prevalences'!P82*('RR TFA'!Q53-1)+1))</f>
        <v>1.751001559122575E-4</v>
      </c>
      <c r="Q83" s="49">
        <f ca="1">('TFA Prevalences'!Q82*('RR TFA'!R53-1))/(('TFA Prevalences'!Q82*('RR TFA'!R53-1)+1))</f>
        <v>9.8969565873811466E-5</v>
      </c>
      <c r="R83" s="49">
        <f ca="1">('TFA Prevalences'!R82*('RR TFA'!S53-1))/(('TFA Prevalences'!R82*('RR TFA'!S53-1)+1))</f>
        <v>5.5606278274396394E-5</v>
      </c>
      <c r="S83" s="49">
        <f ca="1">('TFA Prevalences'!S82*('RR TFA'!T53-1))/(('TFA Prevalences'!S82*('RR TFA'!T53-1)+1))</f>
        <v>3.115379476496977E-5</v>
      </c>
      <c r="T83" s="49">
        <f ca="1">('TFA Prevalences'!T82*('RR TFA'!U53-1))/(('TFA Prevalences'!T82*('RR TFA'!U53-1)+1))</f>
        <v>1.7445297908567484E-5</v>
      </c>
      <c r="U83" s="49">
        <f ca="1">('TFA Prevalences'!U82*('RR TFA'!V53-1))/(('TFA Prevalences'!U82*('RR TFA'!V53-1)+1))</f>
        <v>9.7811357211540962E-6</v>
      </c>
      <c r="V83" s="49">
        <f ca="1">('TFA Prevalences'!V82*('RR TFA'!W53-1))/(('TFA Prevalences'!V82*('RR TFA'!W53-1)+1))</f>
        <v>5.4981779561227548E-6</v>
      </c>
      <c r="W83" s="49">
        <f ca="1">('TFA Prevalences'!W82*('RR TFA'!X53-1))/(('TFA Prevalences'!W82*('RR TFA'!X53-1)+1))</f>
        <v>3.1017041680100083E-6</v>
      </c>
      <c r="X83" s="49">
        <f ca="1">('TFA Prevalences'!X82*('RR TFA'!Y53-1))/(('TFA Prevalences'!X82*('RR TFA'!Y53-1)+1))</f>
        <v>1.7573556824894441E-6</v>
      </c>
      <c r="Y83" s="49">
        <f ca="1">('TFA Prevalences'!Y82*('RR TFA'!Z53-1))/(('TFA Prevalences'!Y82*('RR TFA'!Z53-1)+1))</f>
        <v>1.0005518332942653E-6</v>
      </c>
      <c r="Z83" s="49">
        <f ca="1">('TFA Prevalences'!Z82*('RR TFA'!AA53-1))/(('TFA Prevalences'!Z82*('RR TFA'!AA53-1)+1))</f>
        <v>1.2920838013373219E-6</v>
      </c>
      <c r="AA83">
        <f t="shared" ca="1" si="28"/>
        <v>2.4459591519117727E-2</v>
      </c>
    </row>
    <row r="84" spans="1:30" ht="15.5" x14ac:dyDescent="0.35">
      <c r="A84" s="43" t="s">
        <v>77</v>
      </c>
      <c r="B84" s="49">
        <f ca="1">('TFA Prevalences'!B83*('RR TFA'!C54-1))/(('TFA Prevalences'!B83*('RR TFA'!C54-1)+1))</f>
        <v>0</v>
      </c>
      <c r="C84" s="49">
        <f ca="1">('TFA Prevalences'!C83*('RR TFA'!D54-1))/(('TFA Prevalences'!C83*('RR TFA'!D54-1)+1))</f>
        <v>3.2932333699849077E-7</v>
      </c>
      <c r="D84" s="49">
        <f ca="1">('TFA Prevalences'!D83*('RR TFA'!E54-1))/(('TFA Prevalences'!D83*('RR TFA'!E54-1)+1))</f>
        <v>5.3000172071695387E-5</v>
      </c>
      <c r="E84" s="49">
        <f ca="1">('TFA Prevalences'!E83*('RR TFA'!F54-1))/(('TFA Prevalences'!E83*('RR TFA'!F54-1)+1))</f>
        <v>6.3814803660499893E-4</v>
      </c>
      <c r="F84" s="49">
        <f ca="1">('TFA Prevalences'!F83*('RR TFA'!G54-1))/(('TFA Prevalences'!F83*('RR TFA'!G54-1)+1))</f>
        <v>2.2136027993777856E-3</v>
      </c>
      <c r="G84" s="49">
        <f ca="1">('TFA Prevalences'!G83*('RR TFA'!H54-1))/(('TFA Prevalences'!G83*('RR TFA'!H54-1)+1))</f>
        <v>3.873477699619798E-3</v>
      </c>
      <c r="H84" s="49">
        <f ca="1">('TFA Prevalences'!H83*('RR TFA'!I54-1))/(('TFA Prevalences'!H83*('RR TFA'!I54-1)+1))</f>
        <v>4.5333149958729311E-3</v>
      </c>
      <c r="I84" s="49">
        <f ca="1">('TFA Prevalences'!I83*('RR TFA'!J54-1))/(('TFA Prevalences'!I83*('RR TFA'!J54-1)+1))</f>
        <v>4.134144195375041E-3</v>
      </c>
      <c r="J84" s="49">
        <f ca="1">('TFA Prevalences'!J83*('RR TFA'!K54-1))/(('TFA Prevalences'!J83*('RR TFA'!K54-1)+1))</f>
        <v>3.2077335830429867E-3</v>
      </c>
      <c r="K84" s="49">
        <f ca="1">('TFA Prevalences'!K83*('RR TFA'!L54-1))/(('TFA Prevalences'!K83*('RR TFA'!L54-1)+1))</f>
        <v>2.2343236618057E-3</v>
      </c>
      <c r="L84" s="49">
        <f ca="1">('TFA Prevalences'!L83*('RR TFA'!M54-1))/(('TFA Prevalences'!L83*('RR TFA'!M54-1)+1))</f>
        <v>1.4459798704184383E-3</v>
      </c>
      <c r="M84" s="49">
        <f ca="1">('TFA Prevalences'!M83*('RR TFA'!N54-1))/(('TFA Prevalences'!M83*('RR TFA'!N54-1)+1))</f>
        <v>8.8961354444786085E-4</v>
      </c>
      <c r="N84" s="49">
        <f ca="1">('TFA Prevalences'!N83*('RR TFA'!O54-1))/(('TFA Prevalences'!N83*('RR TFA'!O54-1)+1))</f>
        <v>5.285636038342039E-4</v>
      </c>
      <c r="O84" s="49">
        <f ca="1">('TFA Prevalences'!O83*('RR TFA'!P54-1))/(('TFA Prevalences'!O83*('RR TFA'!P54-1)+1))</f>
        <v>3.0665393141288469E-4</v>
      </c>
      <c r="P84" s="49">
        <f ca="1">('TFA Prevalences'!P83*('RR TFA'!Q54-1))/(('TFA Prevalences'!P83*('RR TFA'!Q54-1)+1))</f>
        <v>1.751001559122575E-4</v>
      </c>
      <c r="Q84" s="49">
        <f ca="1">('TFA Prevalences'!Q83*('RR TFA'!R54-1))/(('TFA Prevalences'!Q83*('RR TFA'!R54-1)+1))</f>
        <v>9.8969565873811466E-5</v>
      </c>
      <c r="R84" s="49">
        <f ca="1">('TFA Prevalences'!R83*('RR TFA'!S54-1))/(('TFA Prevalences'!R83*('RR TFA'!S54-1)+1))</f>
        <v>5.5606278274396401E-5</v>
      </c>
      <c r="S84" s="49">
        <f ca="1">('TFA Prevalences'!S83*('RR TFA'!T54-1))/(('TFA Prevalences'!S83*('RR TFA'!T54-1)+1))</f>
        <v>3.115379476496977E-5</v>
      </c>
      <c r="T84" s="49">
        <f ca="1">('TFA Prevalences'!T83*('RR TFA'!U54-1))/(('TFA Prevalences'!T83*('RR TFA'!U54-1)+1))</f>
        <v>1.7445297908567484E-5</v>
      </c>
      <c r="U84" s="49">
        <f ca="1">('TFA Prevalences'!U83*('RR TFA'!V54-1))/(('TFA Prevalences'!U83*('RR TFA'!V54-1)+1))</f>
        <v>9.7811357211540962E-6</v>
      </c>
      <c r="V84" s="49">
        <f ca="1">('TFA Prevalences'!V83*('RR TFA'!W54-1))/(('TFA Prevalences'!V83*('RR TFA'!W54-1)+1))</f>
        <v>5.4981779561227548E-6</v>
      </c>
      <c r="W84" s="49">
        <f ca="1">('TFA Prevalences'!W83*('RR TFA'!X54-1))/(('TFA Prevalences'!W83*('RR TFA'!X54-1)+1))</f>
        <v>3.1017041680100083E-6</v>
      </c>
      <c r="X84" s="49">
        <f ca="1">('TFA Prevalences'!X83*('RR TFA'!Y54-1))/(('TFA Prevalences'!X83*('RR TFA'!Y54-1)+1))</f>
        <v>1.7573556824894441E-6</v>
      </c>
      <c r="Y84" s="49">
        <f ca="1">('TFA Prevalences'!Y83*('RR TFA'!Z54-1))/(('TFA Prevalences'!Y83*('RR TFA'!Z54-1)+1))</f>
        <v>1.0005518332942653E-6</v>
      </c>
      <c r="Z84" s="49">
        <f ca="1">('TFA Prevalences'!Z83*('RR TFA'!AA54-1))/(('TFA Prevalences'!Z83*('RR TFA'!AA54-1)+1))</f>
        <v>1.2920838013373219E-6</v>
      </c>
      <c r="AA84">
        <f t="shared" ca="1" si="28"/>
        <v>2.4459591519117727E-2</v>
      </c>
    </row>
    <row r="85" spans="1:30" ht="15.5" x14ac:dyDescent="0.35">
      <c r="A85" s="44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/>
    </row>
    <row r="86" spans="1:30" ht="15.5" x14ac:dyDescent="0.35">
      <c r="A86" s="43" t="s">
        <v>60</v>
      </c>
      <c r="B86" s="49">
        <f ca="1">('TFA Prevalences'!B85*('RR TFA'!C58-1))/(('TFA Prevalences'!B85*('RR TFA'!C58-1)+1))</f>
        <v>0</v>
      </c>
      <c r="C86" s="49">
        <f ca="1">('TFA Prevalences'!C85*('RR TFA'!D58-1))/(('TFA Prevalences'!C85*('RR TFA'!D58-1)+1))</f>
        <v>-6.4059188567883458E-17</v>
      </c>
      <c r="D86" s="49">
        <f ca="1">('TFA Prevalences'!D85*('RR TFA'!E58-1))/(('TFA Prevalences'!D85*('RR TFA'!E58-1)+1))</f>
        <v>-1.0290934828288178E-14</v>
      </c>
      <c r="E86" s="49">
        <f ca="1">('TFA Prevalences'!E85*('RR TFA'!F58-1))/(('TFA Prevalences'!E85*('RR TFA'!F58-1)+1))</f>
        <v>-1.237387007458523E-13</v>
      </c>
      <c r="F86" s="49">
        <f ca="1">('TFA Prevalences'!F85*('RR TFA'!G58-1))/(('TFA Prevalences'!F85*('RR TFA'!G58-1)+1))</f>
        <v>-4.2908392361515892E-13</v>
      </c>
      <c r="G86" s="49">
        <f ca="1">('TFA Prevalences'!G85*('RR TFA'!H58-1))/(('TFA Prevalences'!G85*('RR TFA'!H58-1)+1))</f>
        <v>-7.5062365925114473E-13</v>
      </c>
      <c r="H86" s="49">
        <f ca="1">('TFA Prevalences'!H85*('RR TFA'!I58-1))/(('TFA Prevalences'!H85*('RR TFA'!I58-1)+1))</f>
        <v>-8.7736848803624746E-13</v>
      </c>
      <c r="I86" s="49">
        <f ca="1">('TFA Prevalences'!I85*('RR TFA'!J58-1))/(('TFA Prevalences'!I85*('RR TFA'!J58-1)+1))</f>
        <v>-7.9826059004915982E-13</v>
      </c>
      <c r="J86" s="49">
        <f ca="1">('TFA Prevalences'!J85*('RR TFA'!K58-1))/(('TFA Prevalences'!J85*('RR TFA'!K58-1)+1))</f>
        <v>-6.176045470924846E-13</v>
      </c>
      <c r="K86" s="49">
        <f ca="1">('TFA Prevalences'!K85*('RR TFA'!L58-1))/(('TFA Prevalences'!K85*('RR TFA'!L58-1)+1))</f>
        <v>-4.2894212019484689E-13</v>
      </c>
      <c r="L86" s="49">
        <f ca="1">('TFA Prevalences'!L85*('RR TFA'!M58-1))/(('TFA Prevalences'!L85*('RR TFA'!M58-1)+1))</f>
        <v>-2.7683966168124297E-13</v>
      </c>
      <c r="M86" s="49">
        <f ca="1">('TFA Prevalences'!M85*('RR TFA'!N58-1))/(('TFA Prevalences'!M85*('RR TFA'!N58-1)+1))</f>
        <v>-1.6989554123660771E-13</v>
      </c>
      <c r="N86" s="49">
        <f ca="1">('TFA Prevalences'!N85*('RR TFA'!O58-1))/(('TFA Prevalences'!N85*('RR TFA'!O58-1)+1))</f>
        <v>-1.007123173902436E-13</v>
      </c>
      <c r="O86" s="49">
        <f ca="1">('TFA Prevalences'!O85*('RR TFA'!P58-1))/(('TFA Prevalences'!O85*('RR TFA'!P58-1)+1))</f>
        <v>-5.8303295577892395E-14</v>
      </c>
      <c r="P86" s="49">
        <f ca="1">('TFA Prevalences'!P85*('RR TFA'!Q58-1))/(('TFA Prevalences'!P85*('RR TFA'!Q58-1)+1))</f>
        <v>-3.3222625490216067E-14</v>
      </c>
      <c r="Q86" s="49">
        <f ca="1">('TFA Prevalences'!Q85*('RR TFA'!R58-1))/(('TFA Prevalences'!Q85*('RR TFA'!R58-1)+1))</f>
        <v>-1.8740052987101551E-14</v>
      </c>
      <c r="R86" s="49">
        <f ca="1">('TFA Prevalences'!R85*('RR TFA'!S58-1))/(('TFA Prevalences'!R85*('RR TFA'!S58-1)+1))</f>
        <v>-1.0508207428456521E-14</v>
      </c>
      <c r="S86" s="49">
        <f ca="1">('TFA Prevalences'!S85*('RR TFA'!T58-1))/(('TFA Prevalences'!S85*('RR TFA'!T58-1)+1))</f>
        <v>-5.875746771939939E-15</v>
      </c>
      <c r="T86" s="49">
        <f ca="1">('TFA Prevalences'!T85*('RR TFA'!U58-1))/(('TFA Prevalences'!T85*('RR TFA'!U58-1)+1))</f>
        <v>-3.2838106764942318E-15</v>
      </c>
      <c r="U86" s="49">
        <f ca="1">('TFA Prevalences'!U85*('RR TFA'!V58-1))/(('TFA Prevalences'!U85*('RR TFA'!V58-1)+1))</f>
        <v>-1.8375629994621989E-15</v>
      </c>
      <c r="V86" s="49">
        <f ca="1">('TFA Prevalences'!V85*('RR TFA'!W58-1))/(('TFA Prevalences'!V85*('RR TFA'!W58-1)+1))</f>
        <v>-1.0309141202200479E-15</v>
      </c>
      <c r="W86" s="49">
        <f ca="1">('TFA Prevalences'!W85*('RR TFA'!X58-1))/(('TFA Prevalences'!W85*('RR TFA'!X58-1)+1))</f>
        <v>-5.8043718262183457E-16</v>
      </c>
      <c r="X86" s="49">
        <f ca="1">('TFA Prevalences'!X85*('RR TFA'!Y58-1))/(('TFA Prevalences'!X85*('RR TFA'!Y58-1)+1))</f>
        <v>-3.2822271419841668E-16</v>
      </c>
      <c r="Y86" s="49">
        <f ca="1">('TFA Prevalences'!Y85*('RR TFA'!Z58-1))/(('TFA Prevalences'!Y85*('RR TFA'!Z58-1)+1))</f>
        <v>-1.865088448218056E-16</v>
      </c>
      <c r="Z86" s="49">
        <f ca="1">('TFA Prevalences'!Z85*('RR TFA'!AA58-1))/(('TFA Prevalences'!Z85*('RR TFA'!AA58-1)+1))</f>
        <v>-2.4038318948819305E-16</v>
      </c>
      <c r="AA86">
        <f ca="1">SUM(B86:Z86)</f>
        <v>-4.7175623112927594E-12</v>
      </c>
    </row>
    <row r="87" spans="1:30" ht="15.5" x14ac:dyDescent="0.35">
      <c r="A87" s="43" t="s">
        <v>61</v>
      </c>
      <c r="B87" s="49">
        <f ca="1">('TFA Prevalences'!B86*('RR TFA'!C59-1))/(('TFA Prevalences'!B86*('RR TFA'!C59-1)+1))</f>
        <v>0</v>
      </c>
      <c r="C87" s="49">
        <f ca="1">('TFA Prevalences'!C86*('RR TFA'!D59-1))/(('TFA Prevalences'!C86*('RR TFA'!D59-1)+1))</f>
        <v>-6.4059188567883458E-17</v>
      </c>
      <c r="D87" s="49">
        <f ca="1">('TFA Prevalences'!D86*('RR TFA'!E59-1))/(('TFA Prevalences'!D86*('RR TFA'!E59-1)+1))</f>
        <v>-1.0290934828288178E-14</v>
      </c>
      <c r="E87" s="49">
        <f ca="1">('TFA Prevalences'!E86*('RR TFA'!F59-1))/(('TFA Prevalences'!E86*('RR TFA'!F59-1)+1))</f>
        <v>-1.237387007458523E-13</v>
      </c>
      <c r="F87" s="49">
        <f ca="1">('TFA Prevalences'!F86*('RR TFA'!G59-1))/(('TFA Prevalences'!F86*('RR TFA'!G59-1)+1))</f>
        <v>-4.2908392361515892E-13</v>
      </c>
      <c r="G87" s="49">
        <f ca="1">('TFA Prevalences'!G86*('RR TFA'!H59-1))/(('TFA Prevalences'!G86*('RR TFA'!H59-1)+1))</f>
        <v>-7.5062365925114473E-13</v>
      </c>
      <c r="H87" s="49">
        <f ca="1">('TFA Prevalences'!H86*('RR TFA'!I59-1))/(('TFA Prevalences'!H86*('RR TFA'!I59-1)+1))</f>
        <v>-8.7736848803624746E-13</v>
      </c>
      <c r="I87" s="49">
        <f ca="1">('TFA Prevalences'!I86*('RR TFA'!J59-1))/(('TFA Prevalences'!I86*('RR TFA'!J59-1)+1))</f>
        <v>-7.9826059004915982E-13</v>
      </c>
      <c r="J87" s="49">
        <f ca="1">('TFA Prevalences'!J86*('RR TFA'!K59-1))/(('TFA Prevalences'!J86*('RR TFA'!K59-1)+1))</f>
        <v>-6.176045470924846E-13</v>
      </c>
      <c r="K87" s="49">
        <f ca="1">('TFA Prevalences'!K86*('RR TFA'!L59-1))/(('TFA Prevalences'!K86*('RR TFA'!L59-1)+1))</f>
        <v>-4.2894212019484689E-13</v>
      </c>
      <c r="L87" s="49">
        <f ca="1">('TFA Prevalences'!L86*('RR TFA'!M59-1))/(('TFA Prevalences'!L86*('RR TFA'!M59-1)+1))</f>
        <v>-2.7683966168124297E-13</v>
      </c>
      <c r="M87" s="49">
        <f ca="1">('TFA Prevalences'!M86*('RR TFA'!N59-1))/(('TFA Prevalences'!M86*('RR TFA'!N59-1)+1))</f>
        <v>-1.6989554123660771E-13</v>
      </c>
      <c r="N87" s="49">
        <f ca="1">('TFA Prevalences'!N86*('RR TFA'!O59-1))/(('TFA Prevalences'!N86*('RR TFA'!O59-1)+1))</f>
        <v>-1.007123173902436E-13</v>
      </c>
      <c r="O87" s="49">
        <f ca="1">('TFA Prevalences'!O86*('RR TFA'!P59-1))/(('TFA Prevalences'!O86*('RR TFA'!P59-1)+1))</f>
        <v>-5.8303295577892395E-14</v>
      </c>
      <c r="P87" s="49">
        <f ca="1">('TFA Prevalences'!P86*('RR TFA'!Q59-1))/(('TFA Prevalences'!P86*('RR TFA'!Q59-1)+1))</f>
        <v>-3.3222625490216067E-14</v>
      </c>
      <c r="Q87" s="49">
        <f ca="1">('TFA Prevalences'!Q86*('RR TFA'!R59-1))/(('TFA Prevalences'!Q86*('RR TFA'!R59-1)+1))</f>
        <v>-1.8740052987101551E-14</v>
      </c>
      <c r="R87" s="49">
        <f ca="1">('TFA Prevalences'!R86*('RR TFA'!S59-1))/(('TFA Prevalences'!R86*('RR TFA'!S59-1)+1))</f>
        <v>-1.0508207428456521E-14</v>
      </c>
      <c r="S87" s="49">
        <f ca="1">('TFA Prevalences'!S86*('RR TFA'!T59-1))/(('TFA Prevalences'!S86*('RR TFA'!T59-1)+1))</f>
        <v>-5.875746771939939E-15</v>
      </c>
      <c r="T87" s="49">
        <f ca="1">('TFA Prevalences'!T86*('RR TFA'!U59-1))/(('TFA Prevalences'!T86*('RR TFA'!U59-1)+1))</f>
        <v>-3.2838106764942314E-15</v>
      </c>
      <c r="U87" s="49">
        <f ca="1">('TFA Prevalences'!U86*('RR TFA'!V59-1))/(('TFA Prevalences'!U86*('RR TFA'!V59-1)+1))</f>
        <v>-1.8375629994621989E-15</v>
      </c>
      <c r="V87" s="49">
        <f ca="1">('TFA Prevalences'!V86*('RR TFA'!W59-1))/(('TFA Prevalences'!V86*('RR TFA'!W59-1)+1))</f>
        <v>-1.0309141202200479E-15</v>
      </c>
      <c r="W87" s="49">
        <f ca="1">('TFA Prevalences'!W86*('RR TFA'!X59-1))/(('TFA Prevalences'!W86*('RR TFA'!X59-1)+1))</f>
        <v>-5.8043718262183457E-16</v>
      </c>
      <c r="X87" s="49">
        <f ca="1">('TFA Prevalences'!X86*('RR TFA'!Y59-1))/(('TFA Prevalences'!X86*('RR TFA'!Y59-1)+1))</f>
        <v>-3.2822271419841668E-16</v>
      </c>
      <c r="Y87" s="49">
        <f ca="1">('TFA Prevalences'!Y86*('RR TFA'!Z59-1))/(('TFA Prevalences'!Y86*('RR TFA'!Z59-1)+1))</f>
        <v>-1.865088448218056E-16</v>
      </c>
      <c r="Z87" s="49">
        <f ca="1">('TFA Prevalences'!Z86*('RR TFA'!AA59-1))/(('TFA Prevalences'!Z86*('RR TFA'!AA59-1)+1))</f>
        <v>-2.4038318948819305E-16</v>
      </c>
      <c r="AA87">
        <f t="shared" ref="AA87:AA99" ca="1" si="29">SUM(B87:Z87)</f>
        <v>-4.7175623112927594E-12</v>
      </c>
    </row>
    <row r="88" spans="1:30" ht="15.5" x14ac:dyDescent="0.35">
      <c r="A88" s="43" t="s">
        <v>62</v>
      </c>
      <c r="B88" s="49">
        <f ca="1">('TFA Prevalences'!B87*('RR TFA'!C60-1))/(('TFA Prevalences'!B87*('RR TFA'!C60-1)+1))</f>
        <v>0</v>
      </c>
      <c r="C88" s="49">
        <f ca="1">('TFA Prevalences'!C87*('RR TFA'!D60-1))/(('TFA Prevalences'!C87*('RR TFA'!D60-1)+1))</f>
        <v>8.2097375431033195E-7</v>
      </c>
      <c r="D88" s="49">
        <f ca="1">('TFA Prevalences'!D87*('RR TFA'!E60-1))/(('TFA Prevalences'!D87*('RR TFA'!E60-1)+1))</f>
        <v>1.3249375568143805E-4</v>
      </c>
      <c r="E88" s="49">
        <f ca="1">('TFA Prevalences'!E87*('RR TFA'!F60-1))/(('TFA Prevalences'!E87*('RR TFA'!F60-1)+1))</f>
        <v>1.5984719479394801E-3</v>
      </c>
      <c r="F88" s="49">
        <f ca="1">('TFA Prevalences'!F87*('RR TFA'!G60-1))/(('TFA Prevalences'!F87*('RR TFA'!G60-1)+1))</f>
        <v>5.5475151274405488E-3</v>
      </c>
      <c r="G88" s="49">
        <f ca="1">('TFA Prevalences'!G87*('RR TFA'!H60-1))/(('TFA Prevalences'!G87*('RR TFA'!H60-1)+1))</f>
        <v>9.7107985746301747E-3</v>
      </c>
      <c r="H88" s="49">
        <f ca="1">('TFA Prevalences'!H87*('RR TFA'!I60-1))/(('TFA Prevalences'!H87*('RR TFA'!I60-1)+1))</f>
        <v>1.1386203968397499E-2</v>
      </c>
      <c r="I88" s="49">
        <f ca="1">('TFA Prevalences'!I87*('RR TFA'!J60-1))/(('TFA Prevalences'!I87*('RR TFA'!J60-1)+1))</f>
        <v>1.0419777982711605E-2</v>
      </c>
      <c r="J88" s="49">
        <f ca="1">('TFA Prevalences'!J87*('RR TFA'!K60-1))/(('TFA Prevalences'!J87*('RR TFA'!K60-1)+1))</f>
        <v>8.1196614733086338E-3</v>
      </c>
      <c r="K88" s="49">
        <f ca="1">('TFA Prevalences'!K87*('RR TFA'!L60-1))/(('TFA Prevalences'!K87*('RR TFA'!L60-1)+1))</f>
        <v>5.6805914516413151E-3</v>
      </c>
      <c r="L88" s="49">
        <f ca="1">('TFA Prevalences'!L87*('RR TFA'!M60-1))/(('TFA Prevalences'!L87*('RR TFA'!M60-1)+1))</f>
        <v>3.6914969365028356E-3</v>
      </c>
      <c r="M88" s="49">
        <f ca="1">('TFA Prevalences'!M87*('RR TFA'!N60-1))/(('TFA Prevalences'!M87*('RR TFA'!N60-1)+1))</f>
        <v>2.2797401559936491E-3</v>
      </c>
      <c r="N88" s="49">
        <f ca="1">('TFA Prevalences'!N87*('RR TFA'!O60-1))/(('TFA Prevalences'!N87*('RR TFA'!O60-1)+1))</f>
        <v>1.3592465034481204E-3</v>
      </c>
      <c r="O88" s="49">
        <f ca="1">('TFA Prevalences'!O87*('RR TFA'!P60-1))/(('TFA Prevalences'!O87*('RR TFA'!P60-1)+1))</f>
        <v>7.9118175659499094E-4</v>
      </c>
      <c r="P88" s="49">
        <f ca="1">('TFA Prevalences'!P87*('RR TFA'!Q60-1))/(('TFA Prevalences'!P87*('RR TFA'!Q60-1)+1))</f>
        <v>4.531927612574941E-4</v>
      </c>
      <c r="Q88" s="49">
        <f ca="1">('TFA Prevalences'!Q87*('RR TFA'!R60-1))/(('TFA Prevalences'!Q87*('RR TFA'!R60-1)+1))</f>
        <v>2.5694018713454673E-4</v>
      </c>
      <c r="R88" s="49">
        <f ca="1">('TFA Prevalences'!R87*('RR TFA'!S60-1))/(('TFA Prevalences'!R87*('RR TFA'!S60-1)+1))</f>
        <v>1.4480001095797874E-4</v>
      </c>
      <c r="S88" s="49">
        <f ca="1">('TFA Prevalences'!S87*('RR TFA'!T60-1))/(('TFA Prevalences'!S87*('RR TFA'!T60-1)+1))</f>
        <v>8.1369180183522765E-5</v>
      </c>
      <c r="T88" s="49">
        <f ca="1">('TFA Prevalences'!T87*('RR TFA'!U60-1))/(('TFA Prevalences'!T87*('RR TFA'!U60-1)+1))</f>
        <v>4.5701133751318311E-5</v>
      </c>
      <c r="U88" s="49">
        <f ca="1">('TFA Prevalences'!U87*('RR TFA'!V60-1))/(('TFA Prevalences'!U87*('RR TFA'!V60-1)+1))</f>
        <v>2.5700173681421578E-5</v>
      </c>
      <c r="V88" s="49">
        <f ca="1">('TFA Prevalences'!V87*('RR TFA'!W60-1))/(('TFA Prevalences'!V87*('RR TFA'!W60-1)+1))</f>
        <v>1.4489859531774297E-5</v>
      </c>
      <c r="W88" s="49">
        <f ca="1">('TFA Prevalences'!W87*('RR TFA'!X60-1))/(('TFA Prevalences'!W87*('RR TFA'!X60-1)+1))</f>
        <v>8.1987155503080996E-6</v>
      </c>
      <c r="X88" s="49">
        <f ca="1">('TFA Prevalences'!X87*('RR TFA'!Y60-1))/(('TFA Prevalences'!X87*('RR TFA'!Y60-1)+1))</f>
        <v>4.6591555369549346E-6</v>
      </c>
      <c r="Y88" s="49">
        <f ca="1">('TFA Prevalences'!Y87*('RR TFA'!Z60-1))/(('TFA Prevalences'!Y87*('RR TFA'!Z60-1)+1))</f>
        <v>2.6606734647119588E-6</v>
      </c>
      <c r="Z88" s="49">
        <f ca="1">('TFA Prevalences'!Z87*('RR TFA'!AA60-1))/(('TFA Prevalences'!Z87*('RR TFA'!AA60-1)+1))</f>
        <v>3.4462686517417622E-6</v>
      </c>
      <c r="AA88">
        <f t="shared" ca="1" si="29"/>
        <v>6.1759158727746365E-2</v>
      </c>
    </row>
    <row r="89" spans="1:30" ht="15.5" x14ac:dyDescent="0.35">
      <c r="A89" s="43" t="s">
        <v>63</v>
      </c>
      <c r="B89" s="49">
        <f ca="1">('TFA Prevalences'!B88*('RR TFA'!C61-1))/(('TFA Prevalences'!B88*('RR TFA'!C61-1)+1))</f>
        <v>0</v>
      </c>
      <c r="C89" s="49">
        <f ca="1">('TFA Prevalences'!C88*('RR TFA'!D61-1))/(('TFA Prevalences'!C88*('RR TFA'!D61-1)+1))</f>
        <v>8.2097375431033195E-7</v>
      </c>
      <c r="D89" s="49">
        <f ca="1">('TFA Prevalences'!D88*('RR TFA'!E61-1))/(('TFA Prevalences'!D88*('RR TFA'!E61-1)+1))</f>
        <v>1.3249375568143805E-4</v>
      </c>
      <c r="E89" s="49">
        <f ca="1">('TFA Prevalences'!E88*('RR TFA'!F61-1))/(('TFA Prevalences'!E88*('RR TFA'!F61-1)+1))</f>
        <v>1.5984719479394801E-3</v>
      </c>
      <c r="F89" s="49">
        <f ca="1">('TFA Prevalences'!F88*('RR TFA'!G61-1))/(('TFA Prevalences'!F88*('RR TFA'!G61-1)+1))</f>
        <v>5.5475151274405488E-3</v>
      </c>
      <c r="G89" s="49">
        <f ca="1">('TFA Prevalences'!G88*('RR TFA'!H61-1))/(('TFA Prevalences'!G88*('RR TFA'!H61-1)+1))</f>
        <v>9.7107985746301747E-3</v>
      </c>
      <c r="H89" s="49">
        <f ca="1">('TFA Prevalences'!H88*('RR TFA'!I61-1))/(('TFA Prevalences'!H88*('RR TFA'!I61-1)+1))</f>
        <v>1.1386203968397499E-2</v>
      </c>
      <c r="I89" s="49">
        <f ca="1">('TFA Prevalences'!I88*('RR TFA'!J61-1))/(('TFA Prevalences'!I88*('RR TFA'!J61-1)+1))</f>
        <v>1.0419777982711605E-2</v>
      </c>
      <c r="J89" s="49">
        <f ca="1">('TFA Prevalences'!J88*('RR TFA'!K61-1))/(('TFA Prevalences'!J88*('RR TFA'!K61-1)+1))</f>
        <v>8.1196614733086338E-3</v>
      </c>
      <c r="K89" s="49">
        <f ca="1">('TFA Prevalences'!K88*('RR TFA'!L61-1))/(('TFA Prevalences'!K88*('RR TFA'!L61-1)+1))</f>
        <v>5.6805914516413151E-3</v>
      </c>
      <c r="L89" s="49">
        <f ca="1">('TFA Prevalences'!L88*('RR TFA'!M61-1))/(('TFA Prevalences'!L88*('RR TFA'!M61-1)+1))</f>
        <v>3.6914969365028356E-3</v>
      </c>
      <c r="M89" s="49">
        <f ca="1">('TFA Prevalences'!M88*('RR TFA'!N61-1))/(('TFA Prevalences'!M88*('RR TFA'!N61-1)+1))</f>
        <v>2.2797401559936491E-3</v>
      </c>
      <c r="N89" s="49">
        <f ca="1">('TFA Prevalences'!N88*('RR TFA'!O61-1))/(('TFA Prevalences'!N88*('RR TFA'!O61-1)+1))</f>
        <v>1.3592465034481204E-3</v>
      </c>
      <c r="O89" s="49">
        <f ca="1">('TFA Prevalences'!O88*('RR TFA'!P61-1))/(('TFA Prevalences'!O88*('RR TFA'!P61-1)+1))</f>
        <v>7.9118175659499094E-4</v>
      </c>
      <c r="P89" s="49">
        <f ca="1">('TFA Prevalences'!P88*('RR TFA'!Q61-1))/(('TFA Prevalences'!P88*('RR TFA'!Q61-1)+1))</f>
        <v>4.531927612574941E-4</v>
      </c>
      <c r="Q89" s="49">
        <f ca="1">('TFA Prevalences'!Q88*('RR TFA'!R61-1))/(('TFA Prevalences'!Q88*('RR TFA'!R61-1)+1))</f>
        <v>2.5694018713454673E-4</v>
      </c>
      <c r="R89" s="49">
        <f ca="1">('TFA Prevalences'!R88*('RR TFA'!S61-1))/(('TFA Prevalences'!R88*('RR TFA'!S61-1)+1))</f>
        <v>1.4480001095797874E-4</v>
      </c>
      <c r="S89" s="49">
        <f ca="1">('TFA Prevalences'!S88*('RR TFA'!T61-1))/(('TFA Prevalences'!S88*('RR TFA'!T61-1)+1))</f>
        <v>8.1369180183522765E-5</v>
      </c>
      <c r="T89" s="49">
        <f ca="1">('TFA Prevalences'!T88*('RR TFA'!U61-1))/(('TFA Prevalences'!T88*('RR TFA'!U61-1)+1))</f>
        <v>4.5701133751318318E-5</v>
      </c>
      <c r="U89" s="49">
        <f ca="1">('TFA Prevalences'!U88*('RR TFA'!V61-1))/(('TFA Prevalences'!U88*('RR TFA'!V61-1)+1))</f>
        <v>2.5700173681421578E-5</v>
      </c>
      <c r="V89" s="49">
        <f ca="1">('TFA Prevalences'!V88*('RR TFA'!W61-1))/(('TFA Prevalences'!V88*('RR TFA'!W61-1)+1))</f>
        <v>1.4489859531774297E-5</v>
      </c>
      <c r="W89" s="49">
        <f ca="1">('TFA Prevalences'!W88*('RR TFA'!X61-1))/(('TFA Prevalences'!W88*('RR TFA'!X61-1)+1))</f>
        <v>8.1987155503080996E-6</v>
      </c>
      <c r="X89" s="49">
        <f ca="1">('TFA Prevalences'!X88*('RR TFA'!Y61-1))/(('TFA Prevalences'!X88*('RR TFA'!Y61-1)+1))</f>
        <v>4.6591555369549346E-6</v>
      </c>
      <c r="Y89" s="49">
        <f ca="1">('TFA Prevalences'!Y88*('RR TFA'!Z61-1))/(('TFA Prevalences'!Y88*('RR TFA'!Z61-1)+1))</f>
        <v>2.6606734647119588E-6</v>
      </c>
      <c r="Z89" s="49">
        <f ca="1">('TFA Prevalences'!Z88*('RR TFA'!AA61-1))/(('TFA Prevalences'!Z88*('RR TFA'!AA61-1)+1))</f>
        <v>3.4462686517417622E-6</v>
      </c>
      <c r="AA89">
        <f t="shared" ca="1" si="29"/>
        <v>6.1759158727746365E-2</v>
      </c>
    </row>
    <row r="90" spans="1:30" ht="15.5" x14ac:dyDescent="0.35">
      <c r="A90" s="43" t="s">
        <v>64</v>
      </c>
      <c r="B90" s="49">
        <f ca="1">('TFA Prevalences'!B89*('RR TFA'!C62-1))/(('TFA Prevalences'!B89*('RR TFA'!C62-1)+1))</f>
        <v>0</v>
      </c>
      <c r="C90" s="49">
        <f ca="1">('TFA Prevalences'!C89*('RR TFA'!D62-1))/(('TFA Prevalences'!C89*('RR TFA'!D62-1)+1))</f>
        <v>7.852222317912322E-7</v>
      </c>
      <c r="D90" s="49">
        <f ca="1">('TFA Prevalences'!D89*('RR TFA'!E62-1))/(('TFA Prevalences'!D89*('RR TFA'!E62-1)+1))</f>
        <v>1.2669829314653543E-4</v>
      </c>
      <c r="E90" s="49">
        <f ca="1">('TFA Prevalences'!E89*('RR TFA'!F62-1))/(('TFA Prevalences'!E89*('RR TFA'!F62-1)+1))</f>
        <v>1.5283317010041182E-3</v>
      </c>
      <c r="F90" s="49">
        <f ca="1">('TFA Prevalences'!F89*('RR TFA'!G62-1))/(('TFA Prevalences'!F89*('RR TFA'!G62-1)+1))</f>
        <v>5.3039074716231442E-3</v>
      </c>
      <c r="G90" s="49">
        <f ca="1">('TFA Prevalences'!G89*('RR TFA'!H62-1))/(('TFA Prevalences'!G89*('RR TFA'!H62-1)+1))</f>
        <v>9.2841421579754786E-3</v>
      </c>
      <c r="H90" s="49">
        <f ca="1">('TFA Prevalences'!H89*('RR TFA'!I62-1))/(('TFA Prevalences'!H89*('RR TFA'!I62-1)+1))</f>
        <v>1.0884475100602335E-2</v>
      </c>
      <c r="I90" s="49">
        <f ca="1">('TFA Prevalences'!I89*('RR TFA'!J62-1))/(('TFA Prevalences'!I89*('RR TFA'!J62-1)+1))</f>
        <v>9.9581195959915318E-3</v>
      </c>
      <c r="J90" s="49">
        <f ca="1">('TFA Prevalences'!J89*('RR TFA'!K62-1))/(('TFA Prevalences'!J89*('RR TFA'!K62-1)+1))</f>
        <v>7.7574795787547241E-3</v>
      </c>
      <c r="K90" s="49">
        <f ca="1">('TFA Prevalences'!K89*('RR TFA'!L62-1))/(('TFA Prevalences'!K89*('RR TFA'!L62-1)+1))</f>
        <v>5.4254618508606037E-3</v>
      </c>
      <c r="L90" s="49">
        <f ca="1">('TFA Prevalences'!L89*('RR TFA'!M62-1))/(('TFA Prevalences'!L89*('RR TFA'!M62-1)+1))</f>
        <v>3.524635987754412E-3</v>
      </c>
      <c r="M90" s="49">
        <f ca="1">('TFA Prevalences'!M89*('RR TFA'!N62-1))/(('TFA Prevalences'!M89*('RR TFA'!N62-1)+1))</f>
        <v>2.1760882586749236E-3</v>
      </c>
      <c r="N90" s="49">
        <f ca="1">('TFA Prevalences'!N89*('RR TFA'!O62-1))/(('TFA Prevalences'!N89*('RR TFA'!O62-1)+1))</f>
        <v>1.297113607530286E-3</v>
      </c>
      <c r="O90" s="49">
        <f ca="1">('TFA Prevalences'!O89*('RR TFA'!P62-1))/(('TFA Prevalences'!O89*('RR TFA'!P62-1)+1))</f>
        <v>7.5483370378337761E-4</v>
      </c>
      <c r="P90" s="49">
        <f ca="1">('TFA Prevalences'!P89*('RR TFA'!Q62-1))/(('TFA Prevalences'!P89*('RR TFA'!Q62-1)+1))</f>
        <v>4.3227233732869426E-4</v>
      </c>
      <c r="Q90" s="49">
        <f ca="1">('TFA Prevalences'!Q89*('RR TFA'!R62-1))/(('TFA Prevalences'!Q89*('RR TFA'!R62-1)+1))</f>
        <v>2.4502392469090732E-4</v>
      </c>
      <c r="R90" s="49">
        <f ca="1">('TFA Prevalences'!R89*('RR TFA'!S62-1))/(('TFA Prevalences'!R89*('RR TFA'!S62-1)+1))</f>
        <v>1.3805381518166323E-4</v>
      </c>
      <c r="S90" s="49">
        <f ca="1">('TFA Prevalences'!S89*('RR TFA'!T62-1))/(('TFA Prevalences'!S89*('RR TFA'!T62-1)+1))</f>
        <v>7.7561073417571296E-5</v>
      </c>
      <c r="T90" s="49">
        <f ca="1">('TFA Prevalences'!T89*('RR TFA'!U62-1))/(('TFA Prevalences'!T89*('RR TFA'!U62-1)+1))</f>
        <v>4.355270886233254E-5</v>
      </c>
      <c r="U90" s="49">
        <f ca="1">('TFA Prevalences'!U89*('RR TFA'!V62-1))/(('TFA Prevalences'!U89*('RR TFA'!V62-1)+1))</f>
        <v>2.4486607420102988E-5</v>
      </c>
      <c r="V90" s="49">
        <f ca="1">('TFA Prevalences'!V89*('RR TFA'!W62-1))/(('TFA Prevalences'!V89*('RR TFA'!W62-1)+1))</f>
        <v>1.3802602953086727E-5</v>
      </c>
      <c r="W90" s="49">
        <f ca="1">('TFA Prevalences'!W89*('RR TFA'!X62-1))/(('TFA Prevalences'!W89*('RR TFA'!X62-1)+1))</f>
        <v>7.8081243017616298E-6</v>
      </c>
      <c r="X90" s="49">
        <f ca="1">('TFA Prevalences'!X89*('RR TFA'!Y62-1))/(('TFA Prevalences'!X89*('RR TFA'!Y62-1)+1))</f>
        <v>4.4362086464578732E-6</v>
      </c>
      <c r="Y90" s="49">
        <f ca="1">('TFA Prevalences'!Y89*('RR TFA'!Z62-1))/(('TFA Prevalences'!Y89*('RR TFA'!Z62-1)+1))</f>
        <v>2.5327944224986144E-6</v>
      </c>
      <c r="Z90" s="49">
        <f ca="1">('TFA Prevalences'!Z89*('RR TFA'!AA62-1))/(('TFA Prevalences'!Z89*('RR TFA'!AA62-1)+1))</f>
        <v>3.2799020814613199E-6</v>
      </c>
      <c r="AA90">
        <f t="shared" ca="1" si="29"/>
        <v>5.901488262923979E-2</v>
      </c>
    </row>
    <row r="91" spans="1:30" ht="15.5" x14ac:dyDescent="0.35">
      <c r="A91" s="43" t="s">
        <v>65</v>
      </c>
      <c r="B91" s="49">
        <f ca="1">('TFA Prevalences'!B90*('RR TFA'!C63-1))/(('TFA Prevalences'!B90*('RR TFA'!C63-1)+1))</f>
        <v>0</v>
      </c>
      <c r="C91" s="49">
        <f ca="1">('TFA Prevalences'!C90*('RR TFA'!D63-1))/(('TFA Prevalences'!C90*('RR TFA'!D63-1)+1))</f>
        <v>7.852222317912323E-7</v>
      </c>
      <c r="D91" s="49">
        <f ca="1">('TFA Prevalences'!D90*('RR TFA'!E63-1))/(('TFA Prevalences'!D90*('RR TFA'!E63-1)+1))</f>
        <v>1.2669829314653543E-4</v>
      </c>
      <c r="E91" s="49">
        <f ca="1">('TFA Prevalences'!E90*('RR TFA'!F63-1))/(('TFA Prevalences'!E90*('RR TFA'!F63-1)+1))</f>
        <v>1.5283317010041182E-3</v>
      </c>
      <c r="F91" s="49">
        <f ca="1">('TFA Prevalences'!F90*('RR TFA'!G63-1))/(('TFA Prevalences'!F90*('RR TFA'!G63-1)+1))</f>
        <v>5.3039074716231442E-3</v>
      </c>
      <c r="G91" s="49">
        <f ca="1">('TFA Prevalences'!G90*('RR TFA'!H63-1))/(('TFA Prevalences'!G90*('RR TFA'!H63-1)+1))</f>
        <v>9.2841421579754786E-3</v>
      </c>
      <c r="H91" s="49">
        <f ca="1">('TFA Prevalences'!H90*('RR TFA'!I63-1))/(('TFA Prevalences'!H90*('RR TFA'!I63-1)+1))</f>
        <v>1.0884475100602335E-2</v>
      </c>
      <c r="I91" s="49">
        <f ca="1">('TFA Prevalences'!I90*('RR TFA'!J63-1))/(('TFA Prevalences'!I90*('RR TFA'!J63-1)+1))</f>
        <v>9.9581195959915318E-3</v>
      </c>
      <c r="J91" s="49">
        <f ca="1">('TFA Prevalences'!J90*('RR TFA'!K63-1))/(('TFA Prevalences'!J90*('RR TFA'!K63-1)+1))</f>
        <v>7.7574795787547241E-3</v>
      </c>
      <c r="K91" s="49">
        <f ca="1">('TFA Prevalences'!K90*('RR TFA'!L63-1))/(('TFA Prevalences'!K90*('RR TFA'!L63-1)+1))</f>
        <v>5.4254618508606037E-3</v>
      </c>
      <c r="L91" s="49">
        <f ca="1">('TFA Prevalences'!L90*('RR TFA'!M63-1))/(('TFA Prevalences'!L90*('RR TFA'!M63-1)+1))</f>
        <v>3.524635987754412E-3</v>
      </c>
      <c r="M91" s="49">
        <f ca="1">('TFA Prevalences'!M90*('RR TFA'!N63-1))/(('TFA Prevalences'!M90*('RR TFA'!N63-1)+1))</f>
        <v>2.1760882586749236E-3</v>
      </c>
      <c r="N91" s="49">
        <f ca="1">('TFA Prevalences'!N90*('RR TFA'!O63-1))/(('TFA Prevalences'!N90*('RR TFA'!O63-1)+1))</f>
        <v>1.297113607530286E-3</v>
      </c>
      <c r="O91" s="49">
        <f ca="1">('TFA Prevalences'!O90*('RR TFA'!P63-1))/(('TFA Prevalences'!O90*('RR TFA'!P63-1)+1))</f>
        <v>7.5483370378337761E-4</v>
      </c>
      <c r="P91" s="49">
        <f ca="1">('TFA Prevalences'!P90*('RR TFA'!Q63-1))/(('TFA Prevalences'!P90*('RR TFA'!Q63-1)+1))</f>
        <v>4.3227233732869426E-4</v>
      </c>
      <c r="Q91" s="49">
        <f ca="1">('TFA Prevalences'!Q90*('RR TFA'!R63-1))/(('TFA Prevalences'!Q90*('RR TFA'!R63-1)+1))</f>
        <v>2.4502392469090732E-4</v>
      </c>
      <c r="R91" s="49">
        <f ca="1">('TFA Prevalences'!R90*('RR TFA'!S63-1))/(('TFA Prevalences'!R90*('RR TFA'!S63-1)+1))</f>
        <v>1.3805381518166323E-4</v>
      </c>
      <c r="S91" s="49">
        <f ca="1">('TFA Prevalences'!S90*('RR TFA'!T63-1))/(('TFA Prevalences'!S90*('RR TFA'!T63-1)+1))</f>
        <v>7.7561073417571296E-5</v>
      </c>
      <c r="T91" s="49">
        <f ca="1">('TFA Prevalences'!T90*('RR TFA'!U63-1))/(('TFA Prevalences'!T90*('RR TFA'!U63-1)+1))</f>
        <v>4.355270886233254E-5</v>
      </c>
      <c r="U91" s="49">
        <f ca="1">('TFA Prevalences'!U90*('RR TFA'!V63-1))/(('TFA Prevalences'!U90*('RR TFA'!V63-1)+1))</f>
        <v>2.4486607420102988E-5</v>
      </c>
      <c r="V91" s="49">
        <f ca="1">('TFA Prevalences'!V90*('RR TFA'!W63-1))/(('TFA Prevalences'!V90*('RR TFA'!W63-1)+1))</f>
        <v>1.3802602953086727E-5</v>
      </c>
      <c r="W91" s="49">
        <f ca="1">('TFA Prevalences'!W90*('RR TFA'!X63-1))/(('TFA Prevalences'!W90*('RR TFA'!X63-1)+1))</f>
        <v>7.8081243017616298E-6</v>
      </c>
      <c r="X91" s="49">
        <f ca="1">('TFA Prevalences'!X90*('RR TFA'!Y63-1))/(('TFA Prevalences'!X90*('RR TFA'!Y63-1)+1))</f>
        <v>4.4362086464578723E-6</v>
      </c>
      <c r="Y91" s="49">
        <f ca="1">('TFA Prevalences'!Y90*('RR TFA'!Z63-1))/(('TFA Prevalences'!Y90*('RR TFA'!Z63-1)+1))</f>
        <v>2.532794422498614E-6</v>
      </c>
      <c r="Z91" s="49">
        <f ca="1">('TFA Prevalences'!Z90*('RR TFA'!AA63-1))/(('TFA Prevalences'!Z90*('RR TFA'!AA63-1)+1))</f>
        <v>3.2799020814613199E-6</v>
      </c>
      <c r="AA91">
        <f t="shared" ca="1" si="29"/>
        <v>5.901488262923979E-2</v>
      </c>
    </row>
    <row r="92" spans="1:30" ht="15.5" x14ac:dyDescent="0.35">
      <c r="A92" s="43" t="s">
        <v>66</v>
      </c>
      <c r="B92" s="49">
        <f ca="1">('TFA Prevalences'!B91*('RR TFA'!C64-1))/(('TFA Prevalences'!B91*('RR TFA'!C64-1)+1))</f>
        <v>0</v>
      </c>
      <c r="C92" s="49">
        <f ca="1">('TFA Prevalences'!C91*('RR TFA'!D64-1))/(('TFA Prevalences'!C91*('RR TFA'!D64-1)+1))</f>
        <v>6.578247459589323E-7</v>
      </c>
      <c r="D92" s="49">
        <f ca="1">('TFA Prevalences'!D91*('RR TFA'!E64-1))/(('TFA Prevalences'!D91*('RR TFA'!E64-1)+1))</f>
        <v>1.060656560955249E-4</v>
      </c>
      <c r="E92" s="49">
        <f ca="1">('TFA Prevalences'!E91*('RR TFA'!F64-1))/(('TFA Prevalences'!E91*('RR TFA'!F64-1)+1))</f>
        <v>1.2787857829396954E-3</v>
      </c>
      <c r="F92" s="49">
        <f ca="1">('TFA Prevalences'!F91*('RR TFA'!G64-1))/(('TFA Prevalences'!F91*('RR TFA'!G64-1)+1))</f>
        <v>4.4373273952212737E-3</v>
      </c>
      <c r="G92" s="49">
        <f ca="1">('TFA Prevalences'!G91*('RR TFA'!H64-1))/(('TFA Prevalences'!G91*('RR TFA'!H64-1)+1))</f>
        <v>7.7665592438962124E-3</v>
      </c>
      <c r="H92" s="49">
        <f ca="1">('TFA Prevalences'!H91*('RR TFA'!I64-1))/(('TFA Prevalences'!H91*('RR TFA'!I64-1)+1))</f>
        <v>9.1009329544126695E-3</v>
      </c>
      <c r="I92" s="49">
        <f ca="1">('TFA Prevalences'!I91*('RR TFA'!J64-1))/(('TFA Prevalences'!I91*('RR TFA'!J64-1)+1))</f>
        <v>8.3188794610159419E-3</v>
      </c>
      <c r="J92" s="49">
        <f ca="1">('TFA Prevalences'!J91*('RR TFA'!K64-1))/(('TFA Prevalences'!J91*('RR TFA'!K64-1)+1))</f>
        <v>6.4732662521166549E-3</v>
      </c>
      <c r="K92" s="49">
        <f ca="1">('TFA Prevalences'!K91*('RR TFA'!L64-1))/(('TFA Prevalences'!K91*('RR TFA'!L64-1)+1))</f>
        <v>4.5221324941281602E-3</v>
      </c>
      <c r="L92" s="49">
        <f ca="1">('TFA Prevalences'!L91*('RR TFA'!M64-1))/(('TFA Prevalences'!L91*('RR TFA'!M64-1)+1))</f>
        <v>2.9346338558937008E-3</v>
      </c>
      <c r="M92" s="49">
        <f ca="1">('TFA Prevalences'!M91*('RR TFA'!N64-1))/(('TFA Prevalences'!M91*('RR TFA'!N64-1)+1))</f>
        <v>1.8100383442895935E-3</v>
      </c>
      <c r="N92" s="49">
        <f ca="1">('TFA Prevalences'!N91*('RR TFA'!O64-1))/(('TFA Prevalences'!N91*('RR TFA'!O64-1)+1))</f>
        <v>1.0779380078119035E-3</v>
      </c>
      <c r="O92" s="49">
        <f ca="1">('TFA Prevalences'!O91*('RR TFA'!P64-1))/(('TFA Prevalences'!O91*('RR TFA'!P64-1)+1))</f>
        <v>6.2675096231321861E-4</v>
      </c>
      <c r="P92" s="49">
        <f ca="1">('TFA Prevalences'!P91*('RR TFA'!Q64-1))/(('TFA Prevalences'!P91*('RR TFA'!Q64-1)+1))</f>
        <v>3.5862800048261384E-4</v>
      </c>
      <c r="Q92" s="49">
        <f ca="1">('TFA Prevalences'!Q91*('RR TFA'!R64-1))/(('TFA Prevalences'!Q91*('RR TFA'!R64-1)+1))</f>
        <v>2.0311745373813824E-4</v>
      </c>
      <c r="R92" s="49">
        <f ca="1">('TFA Prevalences'!R91*('RR TFA'!S64-1))/(('TFA Prevalences'!R91*('RR TFA'!S64-1)+1))</f>
        <v>1.1435210147022802E-4</v>
      </c>
      <c r="S92" s="49">
        <f ca="1">('TFA Prevalences'!S91*('RR TFA'!T64-1))/(('TFA Prevalences'!S91*('RR TFA'!T64-1)+1))</f>
        <v>6.4194682331821364E-5</v>
      </c>
      <c r="T92" s="49">
        <f ca="1">('TFA Prevalences'!T91*('RR TFA'!U64-1))/(('TFA Prevalences'!T91*('RR TFA'!U64-1)+1))</f>
        <v>3.6018944236095027E-5</v>
      </c>
      <c r="U92" s="49">
        <f ca="1">('TFA Prevalences'!U91*('RR TFA'!V64-1))/(('TFA Prevalences'!U91*('RR TFA'!V64-1)+1))</f>
        <v>2.0235092700544085E-5</v>
      </c>
      <c r="V92" s="49">
        <f ca="1">('TFA Prevalences'!V91*('RR TFA'!W64-1))/(('TFA Prevalences'!V91*('RR TFA'!W64-1)+1))</f>
        <v>1.1397197488489245E-5</v>
      </c>
      <c r="W92" s="49">
        <f ca="1">('TFA Prevalences'!W91*('RR TFA'!X64-1))/(('TFA Prevalences'!W91*('RR TFA'!X64-1)+1))</f>
        <v>6.4423415828895155E-6</v>
      </c>
      <c r="X92" s="49">
        <f ca="1">('TFA Prevalences'!X91*('RR TFA'!Y64-1))/(('TFA Prevalences'!X91*('RR TFA'!Y64-1)+1))</f>
        <v>3.6573644871050621E-6</v>
      </c>
      <c r="Y92" s="49">
        <f ca="1">('TFA Prevalences'!Y91*('RR TFA'!Z64-1))/(('TFA Prevalences'!Y91*('RR TFA'!Z64-1)+1))</f>
        <v>2.0864821996686916E-6</v>
      </c>
      <c r="Z92" s="49">
        <f ca="1">('TFA Prevalences'!Z91*('RR TFA'!AA64-1))/(('TFA Prevalences'!Z91*('RR TFA'!AA64-1)+1))</f>
        <v>2.6998111705680529E-6</v>
      </c>
      <c r="AA92">
        <f t="shared" ca="1" si="29"/>
        <v>4.9276797706768669E-2</v>
      </c>
    </row>
    <row r="93" spans="1:30" ht="15.5" x14ac:dyDescent="0.35">
      <c r="A93" s="43" t="s">
        <v>67</v>
      </c>
      <c r="B93" s="49">
        <f ca="1">('TFA Prevalences'!B92*('RR TFA'!C65-1))/(('TFA Prevalences'!B92*('RR TFA'!C65-1)+1))</f>
        <v>0</v>
      </c>
      <c r="C93" s="49">
        <f ca="1">('TFA Prevalences'!C92*('RR TFA'!D65-1))/(('TFA Prevalences'!C92*('RR TFA'!D65-1)+1))</f>
        <v>6.578247459589323E-7</v>
      </c>
      <c r="D93" s="49">
        <f ca="1">('TFA Prevalences'!D92*('RR TFA'!E65-1))/(('TFA Prevalences'!D92*('RR TFA'!E65-1)+1))</f>
        <v>1.060656560955249E-4</v>
      </c>
      <c r="E93" s="49">
        <f ca="1">('TFA Prevalences'!E92*('RR TFA'!F65-1))/(('TFA Prevalences'!E92*('RR TFA'!F65-1)+1))</f>
        <v>1.2787857829396954E-3</v>
      </c>
      <c r="F93" s="49">
        <f ca="1">('TFA Prevalences'!F92*('RR TFA'!G65-1))/(('TFA Prevalences'!F92*('RR TFA'!G65-1)+1))</f>
        <v>4.4373273952212737E-3</v>
      </c>
      <c r="G93" s="49">
        <f ca="1">('TFA Prevalences'!G92*('RR TFA'!H65-1))/(('TFA Prevalences'!G92*('RR TFA'!H65-1)+1))</f>
        <v>7.7665592438962141E-3</v>
      </c>
      <c r="H93" s="49">
        <f ca="1">('TFA Prevalences'!H92*('RR TFA'!I65-1))/(('TFA Prevalences'!H92*('RR TFA'!I65-1)+1))</f>
        <v>9.1009329544126695E-3</v>
      </c>
      <c r="I93" s="49">
        <f ca="1">('TFA Prevalences'!I92*('RR TFA'!J65-1))/(('TFA Prevalences'!I92*('RR TFA'!J65-1)+1))</f>
        <v>8.3188794610159419E-3</v>
      </c>
      <c r="J93" s="49">
        <f ca="1">('TFA Prevalences'!J92*('RR TFA'!K65-1))/(('TFA Prevalences'!J92*('RR TFA'!K65-1)+1))</f>
        <v>6.4732662521166549E-3</v>
      </c>
      <c r="K93" s="49">
        <f ca="1">('TFA Prevalences'!K92*('RR TFA'!L65-1))/(('TFA Prevalences'!K92*('RR TFA'!L65-1)+1))</f>
        <v>4.5221324941281602E-3</v>
      </c>
      <c r="L93" s="49">
        <f ca="1">('TFA Prevalences'!L92*('RR TFA'!M65-1))/(('TFA Prevalences'!L92*('RR TFA'!M65-1)+1))</f>
        <v>2.9346338558937008E-3</v>
      </c>
      <c r="M93" s="49">
        <f ca="1">('TFA Prevalences'!M92*('RR TFA'!N65-1))/(('TFA Prevalences'!M92*('RR TFA'!N65-1)+1))</f>
        <v>1.8100383442895935E-3</v>
      </c>
      <c r="N93" s="49">
        <f ca="1">('TFA Prevalences'!N92*('RR TFA'!O65-1))/(('TFA Prevalences'!N92*('RR TFA'!O65-1)+1))</f>
        <v>1.0779380078119035E-3</v>
      </c>
      <c r="O93" s="49">
        <f ca="1">('TFA Prevalences'!O92*('RR TFA'!P65-1))/(('TFA Prevalences'!O92*('RR TFA'!P65-1)+1))</f>
        <v>6.2675096231321851E-4</v>
      </c>
      <c r="P93" s="49">
        <f ca="1">('TFA Prevalences'!P92*('RR TFA'!Q65-1))/(('TFA Prevalences'!P92*('RR TFA'!Q65-1)+1))</f>
        <v>3.5862800048261389E-4</v>
      </c>
      <c r="Q93" s="49">
        <f ca="1">('TFA Prevalences'!Q92*('RR TFA'!R65-1))/(('TFA Prevalences'!Q92*('RR TFA'!R65-1)+1))</f>
        <v>2.0311745373813824E-4</v>
      </c>
      <c r="R93" s="49">
        <f ca="1">('TFA Prevalences'!R92*('RR TFA'!S65-1))/(('TFA Prevalences'!R92*('RR TFA'!S65-1)+1))</f>
        <v>1.1435210147022802E-4</v>
      </c>
      <c r="S93" s="49">
        <f ca="1">('TFA Prevalences'!S92*('RR TFA'!T65-1))/(('TFA Prevalences'!S92*('RR TFA'!T65-1)+1))</f>
        <v>6.4194682331821364E-5</v>
      </c>
      <c r="T93" s="49">
        <f ca="1">('TFA Prevalences'!T92*('RR TFA'!U65-1))/(('TFA Prevalences'!T92*('RR TFA'!U65-1)+1))</f>
        <v>3.601894423609502E-5</v>
      </c>
      <c r="U93" s="49">
        <f ca="1">('TFA Prevalences'!U92*('RR TFA'!V65-1))/(('TFA Prevalences'!U92*('RR TFA'!V65-1)+1))</f>
        <v>2.0235092700544085E-5</v>
      </c>
      <c r="V93" s="49">
        <f ca="1">('TFA Prevalences'!V92*('RR TFA'!W65-1))/(('TFA Prevalences'!V92*('RR TFA'!W65-1)+1))</f>
        <v>1.1397197488489245E-5</v>
      </c>
      <c r="W93" s="49">
        <f ca="1">('TFA Prevalences'!W92*('RR TFA'!X65-1))/(('TFA Prevalences'!W92*('RR TFA'!X65-1)+1))</f>
        <v>6.4423415828895155E-6</v>
      </c>
      <c r="X93" s="49">
        <f ca="1">('TFA Prevalences'!X92*('RR TFA'!Y65-1))/(('TFA Prevalences'!X92*('RR TFA'!Y65-1)+1))</f>
        <v>3.6573644871050621E-6</v>
      </c>
      <c r="Y93" s="49">
        <f ca="1">('TFA Prevalences'!Y92*('RR TFA'!Z65-1))/(('TFA Prevalences'!Y92*('RR TFA'!Z65-1)+1))</f>
        <v>2.0864821996686916E-6</v>
      </c>
      <c r="Z93" s="49">
        <f ca="1">('TFA Prevalences'!Z92*('RR TFA'!AA65-1))/(('TFA Prevalences'!Z92*('RR TFA'!AA65-1)+1))</f>
        <v>2.6998111705680529E-6</v>
      </c>
      <c r="AA93">
        <f t="shared" ca="1" si="29"/>
        <v>4.9276797706768669E-2</v>
      </c>
    </row>
    <row r="94" spans="1:30" ht="15.5" x14ac:dyDescent="0.35">
      <c r="A94" s="43" t="s">
        <v>68</v>
      </c>
      <c r="B94" s="49">
        <f ca="1">('TFA Prevalences'!B93*('RR TFA'!C66-1))/(('TFA Prevalences'!B93*('RR TFA'!C66-1)+1))</f>
        <v>0</v>
      </c>
      <c r="C94" s="49">
        <f ca="1">('TFA Prevalences'!C93*('RR TFA'!D66-1))/(('TFA Prevalences'!C93*('RR TFA'!D66-1)+1))</f>
        <v>5.4254646634685649E-7</v>
      </c>
      <c r="D94" s="49">
        <f ca="1">('TFA Prevalences'!D93*('RR TFA'!E66-1))/(('TFA Prevalences'!D93*('RR TFA'!E66-1)+1))</f>
        <v>8.7421354101789749E-5</v>
      </c>
      <c r="E94" s="49">
        <f ca="1">('TFA Prevalences'!E93*('RR TFA'!F66-1))/(('TFA Prevalences'!E93*('RR TFA'!F66-1)+1))</f>
        <v>1.053507631490677E-3</v>
      </c>
      <c r="F94" s="49">
        <f ca="1">('TFA Prevalences'!F93*('RR TFA'!G66-1))/(('TFA Prevalences'!F93*('RR TFA'!G66-1)+1))</f>
        <v>3.655199368039941E-3</v>
      </c>
      <c r="G94" s="49">
        <f ca="1">('TFA Prevalences'!G93*('RR TFA'!H66-1))/(('TFA Prevalences'!G93*('RR TFA'!H66-1)+1))</f>
        <v>6.397085099494982E-3</v>
      </c>
      <c r="H94" s="49">
        <f ca="1">('TFA Prevalences'!H93*('RR TFA'!I66-1))/(('TFA Prevalences'!H93*('RR TFA'!I66-1)+1))</f>
        <v>7.4928983229794917E-3</v>
      </c>
      <c r="I94" s="49">
        <f ca="1">('TFA Prevalences'!I93*('RR TFA'!J66-1))/(('TFA Prevalences'!I93*('RR TFA'!J66-1)+1))</f>
        <v>6.843445150361338E-3</v>
      </c>
      <c r="J94" s="49">
        <f ca="1">('TFA Prevalences'!J93*('RR TFA'!K66-1))/(('TFA Prevalences'!J93*('RR TFA'!K66-1)+1))</f>
        <v>5.3198032071415362E-3</v>
      </c>
      <c r="K94" s="49">
        <f ca="1">('TFA Prevalences'!K93*('RR TFA'!L66-1))/(('TFA Prevalences'!K93*('RR TFA'!L66-1)+1))</f>
        <v>3.7125109675517089E-3</v>
      </c>
      <c r="L94" s="49">
        <f ca="1">('TFA Prevalences'!L93*('RR TFA'!M66-1))/(('TFA Prevalences'!L93*('RR TFA'!M66-1)+1))</f>
        <v>2.4068978465560248E-3</v>
      </c>
      <c r="M94" s="49">
        <f ca="1">('TFA Prevalences'!M93*('RR TFA'!N66-1))/(('TFA Prevalences'!M93*('RR TFA'!N66-1)+1))</f>
        <v>1.4832205266841576E-3</v>
      </c>
      <c r="N94" s="49">
        <f ca="1">('TFA Prevalences'!N93*('RR TFA'!O66-1))/(('TFA Prevalences'!N93*('RR TFA'!O66-1)+1))</f>
        <v>8.8258322459332532E-4</v>
      </c>
      <c r="O94" s="49">
        <f ca="1">('TFA Prevalences'!O93*('RR TFA'!P66-1))/(('TFA Prevalences'!O93*('RR TFA'!P66-1)+1))</f>
        <v>5.127692752593413E-4</v>
      </c>
      <c r="P94" s="49">
        <f ca="1">('TFA Prevalences'!P93*('RR TFA'!Q66-1))/(('TFA Prevalences'!P93*('RR TFA'!Q66-1)+1))</f>
        <v>2.9319050194032543E-4</v>
      </c>
      <c r="Q94" s="49">
        <f ca="1">('TFA Prevalences'!Q93*('RR TFA'!R66-1))/(('TFA Prevalences'!Q93*('RR TFA'!R66-1)+1))</f>
        <v>1.6593569093557259E-4</v>
      </c>
      <c r="R94" s="49">
        <f ca="1">('TFA Prevalences'!R93*('RR TFA'!S66-1))/(('TFA Prevalences'!R93*('RR TFA'!S66-1)+1))</f>
        <v>9.3352971367475533E-5</v>
      </c>
      <c r="S94" s="49">
        <f ca="1">('TFA Prevalences'!S93*('RR TFA'!T66-1))/(('TFA Prevalences'!S93*('RR TFA'!T66-1)+1))</f>
        <v>5.2369309545323957E-5</v>
      </c>
      <c r="T94" s="49">
        <f ca="1">('TFA Prevalences'!T93*('RR TFA'!U66-1))/(('TFA Prevalences'!T93*('RR TFA'!U66-1)+1))</f>
        <v>2.9363216842300033E-5</v>
      </c>
      <c r="U94" s="49">
        <f ca="1">('TFA Prevalences'!U93*('RR TFA'!V66-1))/(('TFA Prevalences'!U93*('RR TFA'!V66-1)+1))</f>
        <v>1.648439515666384E-5</v>
      </c>
      <c r="V94" s="49">
        <f ca="1">('TFA Prevalences'!V93*('RR TFA'!W66-1))/(('TFA Prevalences'!V93*('RR TFA'!W66-1)+1))</f>
        <v>9.2781402296117089E-6</v>
      </c>
      <c r="W94" s="49">
        <f ca="1">('TFA Prevalences'!W93*('RR TFA'!X66-1))/(('TFA Prevalences'!W93*('RR TFA'!X66-1)+1))</f>
        <v>5.2408445578456231E-6</v>
      </c>
      <c r="X94" s="49">
        <f ca="1">('TFA Prevalences'!X93*('RR TFA'!Y66-1))/(('TFA Prevalences'!X93*('RR TFA'!Y66-1)+1))</f>
        <v>2.9731713745675357E-6</v>
      </c>
      <c r="Y94" s="49">
        <f ca="1">('TFA Prevalences'!Y93*('RR TFA'!Z66-1))/(('TFA Prevalences'!Y93*('RR TFA'!Z66-1)+1))</f>
        <v>1.6949620217919246E-6</v>
      </c>
      <c r="Z94" s="49">
        <f ca="1">('TFA Prevalences'!Z93*('RR TFA'!AA66-1))/(('TFA Prevalences'!Z93*('RR TFA'!AA66-1)+1))</f>
        <v>2.1916528588389108E-6</v>
      </c>
      <c r="AA94">
        <f t="shared" ca="1" si="29"/>
        <v>4.0519959377550978E-2</v>
      </c>
      <c r="AB94" s="67"/>
      <c r="AC94" s="67"/>
      <c r="AD94" s="67"/>
    </row>
    <row r="95" spans="1:30" ht="15.5" x14ac:dyDescent="0.35">
      <c r="A95" s="43" t="s">
        <v>69</v>
      </c>
      <c r="B95" s="49">
        <f ca="1">('TFA Prevalences'!B94*('RR TFA'!C67-1))/(('TFA Prevalences'!B94*('RR TFA'!C67-1)+1))</f>
        <v>0</v>
      </c>
      <c r="C95" s="49">
        <f ca="1">('TFA Prevalences'!C94*('RR TFA'!D67-1))/(('TFA Prevalences'!C94*('RR TFA'!D67-1)+1))</f>
        <v>5.4254646634685649E-7</v>
      </c>
      <c r="D95" s="49">
        <f ca="1">('TFA Prevalences'!D94*('RR TFA'!E67-1))/(('TFA Prevalences'!D94*('RR TFA'!E67-1)+1))</f>
        <v>8.7421354101789749E-5</v>
      </c>
      <c r="E95" s="49">
        <f ca="1">('TFA Prevalences'!E94*('RR TFA'!F67-1))/(('TFA Prevalences'!E94*('RR TFA'!F67-1)+1))</f>
        <v>1.053507631490677E-3</v>
      </c>
      <c r="F95" s="49">
        <f ca="1">('TFA Prevalences'!F94*('RR TFA'!G67-1))/(('TFA Prevalences'!F94*('RR TFA'!G67-1)+1))</f>
        <v>3.655199368039941E-3</v>
      </c>
      <c r="G95" s="49">
        <f ca="1">('TFA Prevalences'!G94*('RR TFA'!H67-1))/(('TFA Prevalences'!G94*('RR TFA'!H67-1)+1))</f>
        <v>6.397085099494982E-3</v>
      </c>
      <c r="H95" s="49">
        <f ca="1">('TFA Prevalences'!H94*('RR TFA'!I67-1))/(('TFA Prevalences'!H94*('RR TFA'!I67-1)+1))</f>
        <v>7.4928983229794917E-3</v>
      </c>
      <c r="I95" s="49">
        <f ca="1">('TFA Prevalences'!I94*('RR TFA'!J67-1))/(('TFA Prevalences'!I94*('RR TFA'!J67-1)+1))</f>
        <v>6.843445150361338E-3</v>
      </c>
      <c r="J95" s="49">
        <f ca="1">('TFA Prevalences'!J94*('RR TFA'!K67-1))/(('TFA Prevalences'!J94*('RR TFA'!K67-1)+1))</f>
        <v>5.3198032071415354E-3</v>
      </c>
      <c r="K95" s="49">
        <f ca="1">('TFA Prevalences'!K94*('RR TFA'!L67-1))/(('TFA Prevalences'!K94*('RR TFA'!L67-1)+1))</f>
        <v>3.7125109675517089E-3</v>
      </c>
      <c r="L95" s="49">
        <f ca="1">('TFA Prevalences'!L94*('RR TFA'!M67-1))/(('TFA Prevalences'!L94*('RR TFA'!M67-1)+1))</f>
        <v>2.4068978465560248E-3</v>
      </c>
      <c r="M95" s="49">
        <f ca="1">('TFA Prevalences'!M94*('RR TFA'!N67-1))/(('TFA Prevalences'!M94*('RR TFA'!N67-1)+1))</f>
        <v>1.4832205266841576E-3</v>
      </c>
      <c r="N95" s="49">
        <f ca="1">('TFA Prevalences'!N94*('RR TFA'!O67-1))/(('TFA Prevalences'!N94*('RR TFA'!O67-1)+1))</f>
        <v>8.8258322459332532E-4</v>
      </c>
      <c r="O95" s="49">
        <f ca="1">('TFA Prevalences'!O94*('RR TFA'!P67-1))/(('TFA Prevalences'!O94*('RR TFA'!P67-1)+1))</f>
        <v>5.127692752593413E-4</v>
      </c>
      <c r="P95" s="49">
        <f ca="1">('TFA Prevalences'!P94*('RR TFA'!Q67-1))/(('TFA Prevalences'!P94*('RR TFA'!Q67-1)+1))</f>
        <v>2.9319050194032543E-4</v>
      </c>
      <c r="Q95" s="49">
        <f ca="1">('TFA Prevalences'!Q94*('RR TFA'!R67-1))/(('TFA Prevalences'!Q94*('RR TFA'!R67-1)+1))</f>
        <v>1.6593569093557257E-4</v>
      </c>
      <c r="R95" s="49">
        <f ca="1">('TFA Prevalences'!R94*('RR TFA'!S67-1))/(('TFA Prevalences'!R94*('RR TFA'!S67-1)+1))</f>
        <v>9.3352971367475533E-5</v>
      </c>
      <c r="S95" s="49">
        <f ca="1">('TFA Prevalences'!S94*('RR TFA'!T67-1))/(('TFA Prevalences'!S94*('RR TFA'!T67-1)+1))</f>
        <v>5.236930954532395E-5</v>
      </c>
      <c r="T95" s="49">
        <f ca="1">('TFA Prevalences'!T94*('RR TFA'!U67-1))/(('TFA Prevalences'!T94*('RR TFA'!U67-1)+1))</f>
        <v>2.9363216842300033E-5</v>
      </c>
      <c r="U95" s="49">
        <f ca="1">('TFA Prevalences'!U94*('RR TFA'!V67-1))/(('TFA Prevalences'!U94*('RR TFA'!V67-1)+1))</f>
        <v>1.648439515666384E-5</v>
      </c>
      <c r="V95" s="49">
        <f ca="1">('TFA Prevalences'!V94*('RR TFA'!W67-1))/(('TFA Prevalences'!V94*('RR TFA'!W67-1)+1))</f>
        <v>9.2781402296117089E-6</v>
      </c>
      <c r="W95" s="49">
        <f ca="1">('TFA Prevalences'!W94*('RR TFA'!X67-1))/(('TFA Prevalences'!W94*('RR TFA'!X67-1)+1))</f>
        <v>5.2408445578456231E-6</v>
      </c>
      <c r="X95" s="49">
        <f ca="1">('TFA Prevalences'!X94*('RR TFA'!Y67-1))/(('TFA Prevalences'!X94*('RR TFA'!Y67-1)+1))</f>
        <v>2.9731713745675361E-6</v>
      </c>
      <c r="Y95" s="49">
        <f ca="1">('TFA Prevalences'!Y94*('RR TFA'!Z67-1))/(('TFA Prevalences'!Y94*('RR TFA'!Z67-1)+1))</f>
        <v>1.6949620217919246E-6</v>
      </c>
      <c r="Z95" s="49">
        <f ca="1">('TFA Prevalences'!Z94*('RR TFA'!AA67-1))/(('TFA Prevalences'!Z94*('RR TFA'!AA67-1)+1))</f>
        <v>2.1916528588389103E-6</v>
      </c>
      <c r="AA95">
        <f t="shared" ca="1" si="29"/>
        <v>4.0519959377550978E-2</v>
      </c>
      <c r="AB95" s="67"/>
      <c r="AC95" s="67"/>
      <c r="AD95" s="67"/>
    </row>
    <row r="96" spans="1:30" ht="15.5" x14ac:dyDescent="0.35">
      <c r="A96" s="43" t="s">
        <v>70</v>
      </c>
      <c r="B96" s="49">
        <f ca="1">('TFA Prevalences'!B95*('RR TFA'!C68-1))/(('TFA Prevalences'!B95*('RR TFA'!C68-1)+1))</f>
        <v>0</v>
      </c>
      <c r="C96" s="49">
        <f ca="1">('TFA Prevalences'!C95*('RR TFA'!D68-1))/(('TFA Prevalences'!C95*('RR TFA'!D68-1)+1))</f>
        <v>4.4687222437896963E-7</v>
      </c>
      <c r="D96" s="49">
        <f ca="1">('TFA Prevalences'!D95*('RR TFA'!E68-1))/(('TFA Prevalences'!D95*('RR TFA'!E68-1)+1))</f>
        <v>7.1966122274888438E-5</v>
      </c>
      <c r="E96" s="49">
        <f ca="1">('TFA Prevalences'!E95*('RR TFA'!F68-1))/(('TFA Prevalences'!E95*('RR TFA'!F68-1)+1))</f>
        <v>8.6692129689690863E-4</v>
      </c>
      <c r="F96" s="49">
        <f ca="1">('TFA Prevalences'!F95*('RR TFA'!G68-1))/(('TFA Prevalences'!F95*('RR TFA'!G68-1)+1))</f>
        <v>3.0075351421880968E-3</v>
      </c>
      <c r="G96" s="49">
        <f ca="1">('TFA Prevalences'!G95*('RR TFA'!H68-1))/(('TFA Prevalences'!G95*('RR TFA'!H68-1)+1))</f>
        <v>5.2632131332012435E-3</v>
      </c>
      <c r="H96" s="49">
        <f ca="1">('TFA Prevalences'!H95*('RR TFA'!I68-1))/(('TFA Prevalences'!H95*('RR TFA'!I68-1)+1))</f>
        <v>6.1625534258179784E-3</v>
      </c>
      <c r="I96" s="49">
        <f ca="1">('TFA Prevalences'!I95*('RR TFA'!J68-1))/(('TFA Prevalences'!I95*('RR TFA'!J68-1)+1))</f>
        <v>5.6246010765916487E-3</v>
      </c>
      <c r="J96" s="49">
        <f ca="1">('TFA Prevalences'!J95*('RR TFA'!K68-1))/(('TFA Prevalences'!J95*('RR TFA'!K68-1)+1))</f>
        <v>4.3686737385511196E-3</v>
      </c>
      <c r="K96" s="49">
        <f ca="1">('TFA Prevalences'!K95*('RR TFA'!L68-1))/(('TFA Prevalences'!K95*('RR TFA'!L68-1)+1))</f>
        <v>3.0461501658767143E-3</v>
      </c>
      <c r="L96" s="49">
        <f ca="1">('TFA Prevalences'!L95*('RR TFA'!M68-1))/(('TFA Prevalences'!L95*('RR TFA'!M68-1)+1))</f>
        <v>1.97330093699575E-3</v>
      </c>
      <c r="M96" s="49">
        <f ca="1">('TFA Prevalences'!M95*('RR TFA'!N68-1))/(('TFA Prevalences'!M95*('RR TFA'!N68-1)+1))</f>
        <v>1.2151294524446331E-3</v>
      </c>
      <c r="N96" s="49">
        <f ca="1">('TFA Prevalences'!N95*('RR TFA'!O68-1))/(('TFA Prevalences'!N95*('RR TFA'!O68-1)+1))</f>
        <v>7.2256725492051343E-4</v>
      </c>
      <c r="O96" s="49">
        <f ca="1">('TFA Prevalences'!O95*('RR TFA'!P68-1))/(('TFA Prevalences'!O95*('RR TFA'!P68-1)+1))</f>
        <v>4.1953473456670493E-4</v>
      </c>
      <c r="P96" s="49">
        <f ca="1">('TFA Prevalences'!P95*('RR TFA'!Q68-1))/(('TFA Prevalences'!P95*('RR TFA'!Q68-1)+1))</f>
        <v>2.3973444193910268E-4</v>
      </c>
      <c r="Q96" s="49">
        <f ca="1">('TFA Prevalences'!Q95*('RR TFA'!R68-1))/(('TFA Prevalences'!Q95*('RR TFA'!R68-1)+1))</f>
        <v>1.3560063637918781E-4</v>
      </c>
      <c r="R96" s="49">
        <f ca="1">('TFA Prevalences'!R95*('RR TFA'!S68-1))/(('TFA Prevalences'!R95*('RR TFA'!S68-1)+1))</f>
        <v>7.6242176495251634E-5</v>
      </c>
      <c r="S96" s="49">
        <f ca="1">('TFA Prevalences'!S95*('RR TFA'!T68-1))/(('TFA Prevalences'!S95*('RR TFA'!T68-1)+1))</f>
        <v>4.2745582093331589E-5</v>
      </c>
      <c r="T96" s="49">
        <f ca="1">('TFA Prevalences'!T95*('RR TFA'!U68-1))/(('TFA Prevalences'!T95*('RR TFA'!U68-1)+1))</f>
        <v>2.3953348007207872E-5</v>
      </c>
      <c r="U96" s="49">
        <f ca="1">('TFA Prevalences'!U95*('RR TFA'!V68-1))/(('TFA Prevalences'!U95*('RR TFA'!V68-1)+1))</f>
        <v>1.3439532165450098E-5</v>
      </c>
      <c r="V96" s="49">
        <f ca="1">('TFA Prevalences'!V95*('RR TFA'!W68-1))/(('TFA Prevalences'!V95*('RR TFA'!W68-1)+1))</f>
        <v>7.5599791023773534E-6</v>
      </c>
      <c r="W96" s="49">
        <f ca="1">('TFA Prevalences'!W95*('RR TFA'!X68-1))/(('TFA Prevalences'!W95*('RR TFA'!X68-1)+1))</f>
        <v>4.2678510888378086E-6</v>
      </c>
      <c r="X96" s="49">
        <f ca="1">('TFA Prevalences'!X95*('RR TFA'!Y68-1))/(('TFA Prevalences'!X95*('RR TFA'!Y68-1)+1))</f>
        <v>2.4197801771301382E-6</v>
      </c>
      <c r="Y96" s="49">
        <f ca="1">('TFA Prevalences'!Y95*('RR TFA'!Z68-1))/(('TFA Prevalences'!Y95*('RR TFA'!Z68-1)+1))</f>
        <v>1.378680239067934E-6</v>
      </c>
      <c r="Z96" s="49">
        <f ca="1">('TFA Prevalences'!Z95*('RR TFA'!AA68-1))/(('TFA Prevalences'!Z95*('RR TFA'!AA68-1)+1))</f>
        <v>1.7816509830933079E-6</v>
      </c>
      <c r="AA96">
        <f t="shared" ca="1" si="29"/>
        <v>3.3291717011220613E-2</v>
      </c>
    </row>
    <row r="97" spans="1:27" ht="15.5" x14ac:dyDescent="0.35">
      <c r="A97" s="43" t="s">
        <v>71</v>
      </c>
      <c r="B97" s="49">
        <f ca="1">('TFA Prevalences'!B96*('RR TFA'!C69-1))/(('TFA Prevalences'!B96*('RR TFA'!C69-1)+1))</f>
        <v>0</v>
      </c>
      <c r="C97" s="49">
        <f ca="1">('TFA Prevalences'!C96*('RR TFA'!D69-1))/(('TFA Prevalences'!C96*('RR TFA'!D69-1)+1))</f>
        <v>4.4687222437896958E-7</v>
      </c>
      <c r="D97" s="49">
        <f ca="1">('TFA Prevalences'!D96*('RR TFA'!E69-1))/(('TFA Prevalences'!D96*('RR TFA'!E69-1)+1))</f>
        <v>7.1966122274888438E-5</v>
      </c>
      <c r="E97" s="49">
        <f ca="1">('TFA Prevalences'!E96*('RR TFA'!F69-1))/(('TFA Prevalences'!E96*('RR TFA'!F69-1)+1))</f>
        <v>8.6692129689690863E-4</v>
      </c>
      <c r="F97" s="49">
        <f ca="1">('TFA Prevalences'!F96*('RR TFA'!G69-1))/(('TFA Prevalences'!F96*('RR TFA'!G69-1)+1))</f>
        <v>3.0075351421880968E-3</v>
      </c>
      <c r="G97" s="49">
        <f ca="1">('TFA Prevalences'!G96*('RR TFA'!H69-1))/(('TFA Prevalences'!G96*('RR TFA'!H69-1)+1))</f>
        <v>5.2632131332012435E-3</v>
      </c>
      <c r="H97" s="49">
        <f ca="1">('TFA Prevalences'!H96*('RR TFA'!I69-1))/(('TFA Prevalences'!H96*('RR TFA'!I69-1)+1))</f>
        <v>6.1625534258179784E-3</v>
      </c>
      <c r="I97" s="49">
        <f ca="1">('TFA Prevalences'!I96*('RR TFA'!J69-1))/(('TFA Prevalences'!I96*('RR TFA'!J69-1)+1))</f>
        <v>5.6246010765916487E-3</v>
      </c>
      <c r="J97" s="49">
        <f ca="1">('TFA Prevalences'!J96*('RR TFA'!K69-1))/(('TFA Prevalences'!J96*('RR TFA'!K69-1)+1))</f>
        <v>4.3686737385511204E-3</v>
      </c>
      <c r="K97" s="49">
        <f ca="1">('TFA Prevalences'!K96*('RR TFA'!L69-1))/(('TFA Prevalences'!K96*('RR TFA'!L69-1)+1))</f>
        <v>3.0461501658767143E-3</v>
      </c>
      <c r="L97" s="49">
        <f ca="1">('TFA Prevalences'!L96*('RR TFA'!M69-1))/(('TFA Prevalences'!L96*('RR TFA'!M69-1)+1))</f>
        <v>1.97330093699575E-3</v>
      </c>
      <c r="M97" s="49">
        <f ca="1">('TFA Prevalences'!M96*('RR TFA'!N69-1))/(('TFA Prevalences'!M96*('RR TFA'!N69-1)+1))</f>
        <v>1.2151294524446331E-3</v>
      </c>
      <c r="N97" s="49">
        <f ca="1">('TFA Prevalences'!N96*('RR TFA'!O69-1))/(('TFA Prevalences'!N96*('RR TFA'!O69-1)+1))</f>
        <v>7.2256725492051332E-4</v>
      </c>
      <c r="O97" s="49">
        <f ca="1">('TFA Prevalences'!O96*('RR TFA'!P69-1))/(('TFA Prevalences'!O96*('RR TFA'!P69-1)+1))</f>
        <v>4.1953473456670493E-4</v>
      </c>
      <c r="P97" s="49">
        <f ca="1">('TFA Prevalences'!P96*('RR TFA'!Q69-1))/(('TFA Prevalences'!P96*('RR TFA'!Q69-1)+1))</f>
        <v>2.3973444193910268E-4</v>
      </c>
      <c r="Q97" s="49">
        <f ca="1">('TFA Prevalences'!Q96*('RR TFA'!R69-1))/(('TFA Prevalences'!Q96*('RR TFA'!R69-1)+1))</f>
        <v>1.3560063637918781E-4</v>
      </c>
      <c r="R97" s="49">
        <f ca="1">('TFA Prevalences'!R96*('RR TFA'!S69-1))/(('TFA Prevalences'!R96*('RR TFA'!S69-1)+1))</f>
        <v>7.6242176495251634E-5</v>
      </c>
      <c r="S97" s="49">
        <f ca="1">('TFA Prevalences'!S96*('RR TFA'!T69-1))/(('TFA Prevalences'!S96*('RR TFA'!T69-1)+1))</f>
        <v>4.2745582093331583E-5</v>
      </c>
      <c r="T97" s="49">
        <f ca="1">('TFA Prevalences'!T96*('RR TFA'!U69-1))/(('TFA Prevalences'!T96*('RR TFA'!U69-1)+1))</f>
        <v>2.3953348007207872E-5</v>
      </c>
      <c r="U97" s="49">
        <f ca="1">('TFA Prevalences'!U96*('RR TFA'!V69-1))/(('TFA Prevalences'!U96*('RR TFA'!V69-1)+1))</f>
        <v>1.3439532165450098E-5</v>
      </c>
      <c r="V97" s="49">
        <f ca="1">('TFA Prevalences'!V96*('RR TFA'!W69-1))/(('TFA Prevalences'!V96*('RR TFA'!W69-1)+1))</f>
        <v>7.5599791023773534E-6</v>
      </c>
      <c r="W97" s="49">
        <f ca="1">('TFA Prevalences'!W96*('RR TFA'!X69-1))/(('TFA Prevalences'!W96*('RR TFA'!X69-1)+1))</f>
        <v>4.2678510888378086E-6</v>
      </c>
      <c r="X97" s="49">
        <f ca="1">('TFA Prevalences'!X96*('RR TFA'!Y69-1))/(('TFA Prevalences'!X96*('RR TFA'!Y69-1)+1))</f>
        <v>2.4197801771301382E-6</v>
      </c>
      <c r="Y97" s="49">
        <f ca="1">('TFA Prevalences'!Y96*('RR TFA'!Z69-1))/(('TFA Prevalences'!Y96*('RR TFA'!Z69-1)+1))</f>
        <v>1.378680239067934E-6</v>
      </c>
      <c r="Z97" s="49">
        <f ca="1">('TFA Prevalences'!Z96*('RR TFA'!AA69-1))/(('TFA Prevalences'!Z96*('RR TFA'!AA69-1)+1))</f>
        <v>1.7816509830933079E-6</v>
      </c>
      <c r="AA97">
        <f t="shared" ca="1" si="29"/>
        <v>3.3291717011220613E-2</v>
      </c>
    </row>
    <row r="98" spans="1:27" ht="15.5" x14ac:dyDescent="0.35">
      <c r="A98" s="43" t="s">
        <v>72</v>
      </c>
      <c r="B98" s="49">
        <f ca="1">('TFA Prevalences'!B97*('RR TFA'!C70-1))/(('TFA Prevalences'!B97*('RR TFA'!C70-1)+1))</f>
        <v>0</v>
      </c>
      <c r="C98" s="49">
        <f ca="1">('TFA Prevalences'!C97*('RR TFA'!D70-1))/(('TFA Prevalences'!C97*('RR TFA'!D70-1)+1))</f>
        <v>3.2932333699849077E-7</v>
      </c>
      <c r="D98" s="49">
        <f ca="1">('TFA Prevalences'!D97*('RR TFA'!E70-1))/(('TFA Prevalences'!D97*('RR TFA'!E70-1)+1))</f>
        <v>5.3000172071695381E-5</v>
      </c>
      <c r="E98" s="49">
        <f ca="1">('TFA Prevalences'!E97*('RR TFA'!F70-1))/(('TFA Prevalences'!E97*('RR TFA'!F70-1)+1))</f>
        <v>6.3814803660499893E-4</v>
      </c>
      <c r="F98" s="49">
        <f ca="1">('TFA Prevalences'!F97*('RR TFA'!G70-1))/(('TFA Prevalences'!F97*('RR TFA'!G70-1)+1))</f>
        <v>2.2136027993777856E-3</v>
      </c>
      <c r="G98" s="49">
        <f ca="1">('TFA Prevalences'!G97*('RR TFA'!H70-1))/(('TFA Prevalences'!G97*('RR TFA'!H70-1)+1))</f>
        <v>3.873477699619798E-3</v>
      </c>
      <c r="H98" s="49">
        <f ca="1">('TFA Prevalences'!H97*('RR TFA'!I70-1))/(('TFA Prevalences'!H97*('RR TFA'!I70-1)+1))</f>
        <v>4.5333149958729311E-3</v>
      </c>
      <c r="I98" s="49">
        <f ca="1">('TFA Prevalences'!I97*('RR TFA'!J70-1))/(('TFA Prevalences'!I97*('RR TFA'!J70-1)+1))</f>
        <v>4.134144195375041E-3</v>
      </c>
      <c r="J98" s="49">
        <f ca="1">('TFA Prevalences'!J97*('RR TFA'!K70-1))/(('TFA Prevalences'!J97*('RR TFA'!K70-1)+1))</f>
        <v>3.2077335830429867E-3</v>
      </c>
      <c r="K98" s="49">
        <f ca="1">('TFA Prevalences'!K97*('RR TFA'!L70-1))/(('TFA Prevalences'!K97*('RR TFA'!L70-1)+1))</f>
        <v>2.2343236618057E-3</v>
      </c>
      <c r="L98" s="49">
        <f ca="1">('TFA Prevalences'!L97*('RR TFA'!M70-1))/(('TFA Prevalences'!L97*('RR TFA'!M70-1)+1))</f>
        <v>1.4459798704184383E-3</v>
      </c>
      <c r="M98" s="49">
        <f ca="1">('TFA Prevalences'!M97*('RR TFA'!N70-1))/(('TFA Prevalences'!M97*('RR TFA'!N70-1)+1))</f>
        <v>8.8961354444786085E-4</v>
      </c>
      <c r="N98" s="49">
        <f ca="1">('TFA Prevalences'!N97*('RR TFA'!O70-1))/(('TFA Prevalences'!N97*('RR TFA'!O70-1)+1))</f>
        <v>5.285636038342039E-4</v>
      </c>
      <c r="O98" s="49">
        <f ca="1">('TFA Prevalences'!O97*('RR TFA'!P70-1))/(('TFA Prevalences'!O97*('RR TFA'!P70-1)+1))</f>
        <v>3.0665393141288469E-4</v>
      </c>
      <c r="P98" s="49">
        <f ca="1">('TFA Prevalences'!P97*('RR TFA'!Q70-1))/(('TFA Prevalences'!P97*('RR TFA'!Q70-1)+1))</f>
        <v>1.751001559122575E-4</v>
      </c>
      <c r="Q98" s="49">
        <f ca="1">('TFA Prevalences'!Q97*('RR TFA'!R70-1))/(('TFA Prevalences'!Q97*('RR TFA'!R70-1)+1))</f>
        <v>9.8969565873811466E-5</v>
      </c>
      <c r="R98" s="49">
        <f ca="1">('TFA Prevalences'!R97*('RR TFA'!S70-1))/(('TFA Prevalences'!R97*('RR TFA'!S70-1)+1))</f>
        <v>5.5606278274396401E-5</v>
      </c>
      <c r="S98" s="49">
        <f ca="1">('TFA Prevalences'!S97*('RR TFA'!T70-1))/(('TFA Prevalences'!S97*('RR TFA'!T70-1)+1))</f>
        <v>3.115379476496977E-5</v>
      </c>
      <c r="T98" s="49">
        <f ca="1">('TFA Prevalences'!T97*('RR TFA'!U70-1))/(('TFA Prevalences'!T97*('RR TFA'!U70-1)+1))</f>
        <v>1.7445297908567484E-5</v>
      </c>
      <c r="U98" s="49">
        <f ca="1">('TFA Prevalences'!U97*('RR TFA'!V70-1))/(('TFA Prevalences'!U97*('RR TFA'!V70-1)+1))</f>
        <v>9.7811357211540962E-6</v>
      </c>
      <c r="V98" s="49">
        <f ca="1">('TFA Prevalences'!V97*('RR TFA'!W70-1))/(('TFA Prevalences'!V97*('RR TFA'!W70-1)+1))</f>
        <v>5.4981779561227548E-6</v>
      </c>
      <c r="W98" s="49">
        <f ca="1">('TFA Prevalences'!W97*('RR TFA'!X70-1))/(('TFA Prevalences'!W97*('RR TFA'!X70-1)+1))</f>
        <v>3.1017041680100083E-6</v>
      </c>
      <c r="X98" s="49">
        <f ca="1">('TFA Prevalences'!X97*('RR TFA'!Y70-1))/(('TFA Prevalences'!X97*('RR TFA'!Y70-1)+1))</f>
        <v>1.7573556824894441E-6</v>
      </c>
      <c r="Y98" s="49">
        <f ca="1">('TFA Prevalences'!Y97*('RR TFA'!Z70-1))/(('TFA Prevalences'!Y97*('RR TFA'!Z70-1)+1))</f>
        <v>1.0005518332942653E-6</v>
      </c>
      <c r="Z98" s="49">
        <f ca="1">('TFA Prevalences'!Z97*('RR TFA'!AA70-1))/(('TFA Prevalences'!Z97*('RR TFA'!AA70-1)+1))</f>
        <v>1.2920838013373219E-6</v>
      </c>
      <c r="AA98">
        <f t="shared" ca="1" si="29"/>
        <v>2.4459591519117727E-2</v>
      </c>
    </row>
    <row r="99" spans="1:27" ht="15.5" x14ac:dyDescent="0.35">
      <c r="A99" s="43" t="s">
        <v>78</v>
      </c>
      <c r="B99" s="49">
        <f ca="1">('TFA Prevalences'!B98*('RR TFA'!C71-1))/(('TFA Prevalences'!B98*('RR TFA'!C71-1)+1))</f>
        <v>0</v>
      </c>
      <c r="C99" s="49">
        <f ca="1">('TFA Prevalences'!C98*('RR TFA'!D71-1))/(('TFA Prevalences'!C98*('RR TFA'!D71-1)+1))</f>
        <v>3.2932333699849077E-7</v>
      </c>
      <c r="D99" s="49">
        <f ca="1">('TFA Prevalences'!D98*('RR TFA'!E71-1))/(('TFA Prevalences'!D98*('RR TFA'!E71-1)+1))</f>
        <v>5.3000172071695387E-5</v>
      </c>
      <c r="E99" s="49">
        <f ca="1">('TFA Prevalences'!E98*('RR TFA'!F71-1))/(('TFA Prevalences'!E98*('RR TFA'!F71-1)+1))</f>
        <v>6.3814803660499893E-4</v>
      </c>
      <c r="F99" s="49">
        <f ca="1">('TFA Prevalences'!F98*('RR TFA'!G71-1))/(('TFA Prevalences'!F98*('RR TFA'!G71-1)+1))</f>
        <v>2.2136027993777856E-3</v>
      </c>
      <c r="G99" s="49">
        <f ca="1">('TFA Prevalences'!G98*('RR TFA'!H71-1))/(('TFA Prevalences'!G98*('RR TFA'!H71-1)+1))</f>
        <v>3.873477699619798E-3</v>
      </c>
      <c r="H99" s="49">
        <f ca="1">('TFA Prevalences'!H98*('RR TFA'!I71-1))/(('TFA Prevalences'!H98*('RR TFA'!I71-1)+1))</f>
        <v>4.5333149958729311E-3</v>
      </c>
      <c r="I99" s="49">
        <f ca="1">('TFA Prevalences'!I98*('RR TFA'!J71-1))/(('TFA Prevalences'!I98*('RR TFA'!J71-1)+1))</f>
        <v>4.134144195375041E-3</v>
      </c>
      <c r="J99" s="49">
        <f ca="1">('TFA Prevalences'!J98*('RR TFA'!K71-1))/(('TFA Prevalences'!J98*('RR TFA'!K71-1)+1))</f>
        <v>3.2077335830429867E-3</v>
      </c>
      <c r="K99" s="49">
        <f ca="1">('TFA Prevalences'!K98*('RR TFA'!L71-1))/(('TFA Prevalences'!K98*('RR TFA'!L71-1)+1))</f>
        <v>2.2343236618057E-3</v>
      </c>
      <c r="L99" s="49">
        <f ca="1">('TFA Prevalences'!L98*('RR TFA'!M71-1))/(('TFA Prevalences'!L98*('RR TFA'!M71-1)+1))</f>
        <v>1.4459798704184383E-3</v>
      </c>
      <c r="M99" s="49">
        <f ca="1">('TFA Prevalences'!M98*('RR TFA'!N71-1))/(('TFA Prevalences'!M98*('RR TFA'!N71-1)+1))</f>
        <v>8.8961354444786085E-4</v>
      </c>
      <c r="N99" s="49">
        <f ca="1">('TFA Prevalences'!N98*('RR TFA'!O71-1))/(('TFA Prevalences'!N98*('RR TFA'!O71-1)+1))</f>
        <v>5.285636038342039E-4</v>
      </c>
      <c r="O99" s="49">
        <f ca="1">('TFA Prevalences'!O98*('RR TFA'!P71-1))/(('TFA Prevalences'!O98*('RR TFA'!P71-1)+1))</f>
        <v>3.0665393141288469E-4</v>
      </c>
      <c r="P99" s="49">
        <f ca="1">('TFA Prevalences'!P98*('RR TFA'!Q71-1))/(('TFA Prevalences'!P98*('RR TFA'!Q71-1)+1))</f>
        <v>1.751001559122575E-4</v>
      </c>
      <c r="Q99" s="49">
        <f ca="1">('TFA Prevalences'!Q98*('RR TFA'!R71-1))/(('TFA Prevalences'!Q98*('RR TFA'!R71-1)+1))</f>
        <v>9.8969565873811466E-5</v>
      </c>
      <c r="R99" s="49">
        <f ca="1">('TFA Prevalences'!R98*('RR TFA'!S71-1))/(('TFA Prevalences'!R98*('RR TFA'!S71-1)+1))</f>
        <v>5.5606278274396401E-5</v>
      </c>
      <c r="S99" s="49">
        <f ca="1">('TFA Prevalences'!S98*('RR TFA'!T71-1))/(('TFA Prevalences'!S98*('RR TFA'!T71-1)+1))</f>
        <v>3.115379476496977E-5</v>
      </c>
      <c r="T99" s="49">
        <f ca="1">('TFA Prevalences'!T98*('RR TFA'!U71-1))/(('TFA Prevalences'!T98*('RR TFA'!U71-1)+1))</f>
        <v>1.7445297908567484E-5</v>
      </c>
      <c r="U99" s="49">
        <f ca="1">('TFA Prevalences'!U98*('RR TFA'!V71-1))/(('TFA Prevalences'!U98*('RR TFA'!V71-1)+1))</f>
        <v>9.7811357211540962E-6</v>
      </c>
      <c r="V99" s="49">
        <f ca="1">('TFA Prevalences'!V98*('RR TFA'!W71-1))/(('TFA Prevalences'!V98*('RR TFA'!W71-1)+1))</f>
        <v>5.4981779561227548E-6</v>
      </c>
      <c r="W99" s="49">
        <f ca="1">('TFA Prevalences'!W98*('RR TFA'!X71-1))/(('TFA Prevalences'!W98*('RR TFA'!X71-1)+1))</f>
        <v>3.1017041680100083E-6</v>
      </c>
      <c r="X99" s="49">
        <f ca="1">('TFA Prevalences'!X98*('RR TFA'!Y71-1))/(('TFA Prevalences'!X98*('RR TFA'!Y71-1)+1))</f>
        <v>1.7573556824894441E-6</v>
      </c>
      <c r="Y99" s="49">
        <f ca="1">('TFA Prevalences'!Y98*('RR TFA'!Z71-1))/(('TFA Prevalences'!Y98*('RR TFA'!Z71-1)+1))</f>
        <v>1.0005518332942653E-6</v>
      </c>
      <c r="Z99" s="49">
        <f ca="1">('TFA Prevalences'!Z98*('RR TFA'!AA71-1))/(('TFA Prevalences'!Z98*('RR TFA'!AA71-1)+1))</f>
        <v>1.2920838013373219E-6</v>
      </c>
      <c r="AA99">
        <f t="shared" ca="1" si="29"/>
        <v>2.4459591519117727E-2</v>
      </c>
    </row>
    <row r="100" spans="1:27" x14ac:dyDescent="0.35">
      <c r="A100" s="66"/>
      <c r="M100" s="66"/>
      <c r="W100" s="66"/>
    </row>
    <row r="101" spans="1:27" x14ac:dyDescent="0.35">
      <c r="A101" s="66"/>
      <c r="M101" s="66"/>
      <c r="W101" s="66"/>
    </row>
    <row r="102" spans="1:27" x14ac:dyDescent="0.35">
      <c r="A102" s="66"/>
      <c r="M102" s="66"/>
      <c r="W102" s="66"/>
    </row>
    <row r="103" spans="1:27" x14ac:dyDescent="0.35">
      <c r="A103" s="66"/>
      <c r="M103" s="66"/>
      <c r="W103" s="66"/>
    </row>
    <row r="104" spans="1:27" x14ac:dyDescent="0.35">
      <c r="A104" s="66"/>
      <c r="M104" s="66"/>
      <c r="W104" s="66"/>
    </row>
    <row r="105" spans="1:27" x14ac:dyDescent="0.35">
      <c r="A105" s="66"/>
      <c r="M105" s="66"/>
      <c r="W105" s="66"/>
    </row>
    <row r="106" spans="1:27" x14ac:dyDescent="0.35">
      <c r="A106" s="66"/>
      <c r="M106" s="66"/>
      <c r="W106" s="66"/>
    </row>
    <row r="107" spans="1:27" x14ac:dyDescent="0.35">
      <c r="A107" s="66"/>
      <c r="M107" s="66"/>
      <c r="W107" s="66"/>
    </row>
    <row r="108" spans="1:27" x14ac:dyDescent="0.35">
      <c r="A108" s="66"/>
      <c r="M108" s="66"/>
      <c r="W108" s="66"/>
    </row>
    <row r="109" spans="1:27" x14ac:dyDescent="0.35">
      <c r="A109" s="66"/>
      <c r="M109" s="66"/>
      <c r="W109" s="66"/>
    </row>
    <row r="110" spans="1:27" x14ac:dyDescent="0.35">
      <c r="A110" s="66"/>
      <c r="M110" s="66"/>
      <c r="W110" s="66"/>
    </row>
    <row r="111" spans="1:27" x14ac:dyDescent="0.35">
      <c r="A111" s="66"/>
      <c r="M111" s="66"/>
      <c r="W111" s="66"/>
    </row>
    <row r="112" spans="1:27" x14ac:dyDescent="0.35">
      <c r="A112" s="66"/>
      <c r="M112" s="66"/>
      <c r="W112" s="66"/>
    </row>
    <row r="113" spans="1:23" x14ac:dyDescent="0.35">
      <c r="A113" s="66"/>
      <c r="M113" s="66"/>
      <c r="W113" s="66"/>
    </row>
    <row r="114" spans="1:23" x14ac:dyDescent="0.35">
      <c r="A114" s="66"/>
      <c r="M114" s="66"/>
      <c r="W114" s="66"/>
    </row>
  </sheetData>
  <sheetProtection algorithmName="SHA-512" hashValue="ibFK5rLZuwWeaTEKbaTi2x26zmpq+GZ5sVc3aW6nVTit3P0fNMEAPBFMt9U5UBodn/ZYOFa6kHdlIUUb+QWnrA==" saltValue="wrkOz4yz9WuW6qSlaDQ8dg==" spinCount="100000" sheet="1" formatCells="0" formatColumns="0" formatRows="0" insertColumns="0" insertRows="0" insertHyperlinks="0" deleteColumns="0" deleteRows="0" sort="0" autoFilter="0" pivotTables="0"/>
  <mergeCells count="5">
    <mergeCell ref="A2:E2"/>
    <mergeCell ref="M2:R2"/>
    <mergeCell ref="W2:AA2"/>
    <mergeCell ref="B36:F36"/>
    <mergeCell ref="B69:F6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Baseline and counterfactual</vt:lpstr>
      <vt:lpstr>Results</vt:lpstr>
      <vt:lpstr>Stochastic Inputs</vt:lpstr>
      <vt:lpstr>Stochastic outputs</vt:lpstr>
      <vt:lpstr>CodeStochastic</vt:lpstr>
      <vt:lpstr>Outputs for Ersatz</vt:lpstr>
      <vt:lpstr>Results YLL YPLL</vt:lpstr>
      <vt:lpstr>DALY YLL</vt:lpstr>
      <vt:lpstr>YPLL</vt:lpstr>
      <vt:lpstr>TFA Prevalences</vt:lpstr>
      <vt:lpstr>RR TFA</vt:lpstr>
      <vt:lpstr>PAR CHD</vt:lpstr>
      <vt:lpstr>PAR Stroke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Nilson</dc:creator>
  <cp:lastModifiedBy>EDUARDO NILSON</cp:lastModifiedBy>
  <dcterms:created xsi:type="dcterms:W3CDTF">2019-06-09T18:20:53Z</dcterms:created>
  <dcterms:modified xsi:type="dcterms:W3CDTF">2022-01-28T18:00:57Z</dcterms:modified>
</cp:coreProperties>
</file>